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SEZMOI" sheetId="1" r:id="rId1"/>
    <sheet name="Pieces_a_demander" sheetId="2" r:id="rId2"/>
    <sheet name="Controles" sheetId="3" r:id="rId3"/>
    <sheet name="PnL_annuel" sheetId="4" r:id="rId4"/>
    <sheet name="PnL_mensuel" sheetId="5" r:id="rId5"/>
    <sheet name="Bilan_synth" sheetId="6" r:id="rId6"/>
    <sheet name="Tresorerie" sheetId="7" r:id="rId7"/>
    <sheet name="Creances" sheetId="8" r:id="rId8"/>
    <sheet name="Dettes_fournisseurs" sheetId="9" r:id="rId9"/>
    <sheet name="Social_fiscal" sheetId="10" r:id="rId10"/>
    <sheet name="Stock" sheetId="11" r:id="rId11"/>
    <sheet name="Cloture" sheetId="12" r:id="rId12"/>
    <sheet name="Ecritures_cloture" sheetId="13" r:id="rId13"/>
    <sheet name="Tiers" sheetId="14" r:id="rId14"/>
    <sheet name="Liasse" sheetId="15" r:id="rId15"/>
    <sheet name="Comptes" sheetId="16" r:id="rId16"/>
    <sheet name="Soldes_tiers" sheetId="17" r:id="rId17"/>
    <sheet name="Referentiel" sheetId="18" r:id="rId18"/>
    <sheet name="Journaux" sheetId="19" r:id="rId19"/>
    <sheet name="FEC_2024" sheetId="20" r:id="rId20"/>
    <sheet name="FEC_2025" sheetId="21" r:id="rId21"/>
  </sheets>
  <definedNames>
    <definedName name="_xlnm._FilterDatabase" localSheetId="12" hidden="1">'Ecritures_cloture'!$A$4:$M$11</definedName>
    <definedName name="_xlnm._FilterDatabase" localSheetId="19" hidden="1">'FEC_2024'!$A$1:$R$907</definedName>
    <definedName name="_xlnm._FilterDatabase" localSheetId="20" hidden="1">'FEC_2025'!$A$1:$R$933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#,##0.00;(#,##0.00);-"/>
    <numFmt numFmtId="166" formatCode="0.0%;(0.0%);-"/>
    <numFmt numFmtId="167" formatCode="0&quot; j&quot;;(0&quot; j&quot;);-"/>
    <numFmt numFmtId="168" formatCode="dd/mm/yyyy"/>
    <numFmt numFmtId="169" formatCode="0.0&quot;x&quot;;(0.0&quot;x&quot;)"/>
    <numFmt numFmtId="170" formatCode="#,##0"/>
  </numFmts>
  <fonts count="13"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b/>
      <sz val="9"/>
      <color rgb="FFFFFFFF"/>
      <name val="Arial"/>
      <family val="2"/>
    </font>
    <font>
      <b/>
      <sz val="13"/>
      <color rgb="FF1F3A5F"/>
      <name val="Arial"/>
      <family val="2"/>
    </font>
    <font>
      <i/>
      <sz val="9"/>
      <color rgb="FF666666"/>
      <name val="Arial"/>
      <family val="2"/>
    </font>
    <font>
      <sz val="7"/>
      <color rgb="FF999999"/>
      <name val="Arial"/>
      <family val="2"/>
    </font>
    <font>
      <b/>
      <sz val="9"/>
      <color rgb="FF1F3A5F"/>
      <name val="Arial"/>
      <family val="2"/>
    </font>
    <font>
      <b/>
      <i/>
      <sz val="9"/>
      <name val="Arial"/>
      <family val="2"/>
    </font>
    <font>
      <b/>
      <sz val="9"/>
      <color rgb="FFC00000"/>
      <name val="Arial"/>
      <family val="2"/>
    </font>
    <font>
      <b/>
      <sz val="9"/>
      <color rgb="FF2E7D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NumberFormat="1" applyFont="1" applyFill="1"/>
    <xf numFmtId="0" fontId="6" fillId="0" borderId="0" xfId="0" applyNumberFormat="1" applyFont="1" applyFill="1"/>
    <xf numFmtId="0" fontId="7" fillId="0" borderId="0" xfId="0" applyNumberFormat="1" applyFont="1" applyFill="1"/>
    <xf numFmtId="0" fontId="5" fillId="2" borderId="0" xfId="0" applyNumberFormat="1" applyFont="1" applyFill="1" applyAlignment="1">
      <alignment horizontal="center" wrapText="1" vertical="top"/>
    </xf>
    <xf numFmtId="49" fontId="0" fillId="0" borderId="0" xfId="0" applyNumberFormat="1" applyFont="1" applyFill="1"/>
    <xf numFmtId="0" fontId="3" fillId="0" borderId="0" xfId="0" applyNumberFormat="1" applyFont="1" applyFill="1"/>
    <xf numFmtId="49" fontId="3" fillId="0" borderId="0" xfId="0" applyNumberFormat="1" applyFont="1" applyFill="1"/>
    <xf numFmtId="0" fontId="8" fillId="0" borderId="0" xfId="0" applyNumberFormat="1" applyFont="1" applyFill="1"/>
    <xf numFmtId="165" fontId="0" fillId="0" borderId="0" xfId="0" applyNumberFormat="1" applyFont="1" applyFill="1"/>
    <xf numFmtId="0" fontId="0" fillId="4" borderId="0" xfId="0" applyNumberFormat="1" applyFont="1" applyFill="1"/>
    <xf numFmtId="168" fontId="0" fillId="0" borderId="0" xfId="0" applyNumberFormat="1" applyFont="1" applyFill="1"/>
    <xf numFmtId="164" fontId="3" fillId="0" borderId="0" xfId="0" applyNumberFormat="1" applyFont="1" applyFill="1"/>
    <xf numFmtId="164" fontId="0" fillId="0" borderId="0" xfId="0" applyNumberFormat="1" applyFont="1" applyFill="1"/>
    <xf numFmtId="0" fontId="9" fillId="0" borderId="0" xfId="0" applyNumberFormat="1" applyFont="1" applyFill="1"/>
    <xf numFmtId="49" fontId="1" fillId="0" borderId="0" xfId="0" applyNumberFormat="1" applyFont="1" applyFill="1"/>
    <xf numFmtId="0" fontId="1" fillId="0" borderId="0" xfId="0" applyNumberFormat="1" applyFont="1" applyFill="1"/>
    <xf numFmtId="164" fontId="4" fillId="5" borderId="0" xfId="0" applyNumberFormat="1" applyFont="1" applyFill="1"/>
    <xf numFmtId="164" fontId="1" fillId="5" borderId="0" xfId="0" applyNumberFormat="1" applyFont="1" applyFill="1"/>
    <xf numFmtId="166" fontId="2" fillId="0" borderId="0" xfId="0" applyNumberFormat="1" applyFont="1" applyFill="1"/>
    <xf numFmtId="0" fontId="1" fillId="3" borderId="0" xfId="0" applyNumberFormat="1" applyFont="1" applyFill="1"/>
    <xf numFmtId="164" fontId="1" fillId="3" borderId="0" xfId="0" applyNumberFormat="1" applyFont="1" applyFill="1"/>
    <xf numFmtId="166" fontId="10" fillId="3" borderId="0" xfId="0" applyNumberFormat="1" applyFont="1" applyFill="1"/>
    <xf numFmtId="0" fontId="2" fillId="0" borderId="0" xfId="0" applyNumberFormat="1" applyFont="1" applyFill="1"/>
    <xf numFmtId="166" fontId="0" fillId="0" borderId="0" xfId="0" applyNumberFormat="1" applyFont="1" applyFill="1"/>
    <xf numFmtId="166" fontId="3" fillId="4" borderId="0" xfId="0" applyNumberFormat="1" applyFont="1" applyFill="1"/>
    <xf numFmtId="170" fontId="3" fillId="0" borderId="0" xfId="0" applyNumberFormat="1" applyFont="1" applyFill="1"/>
    <xf numFmtId="167" fontId="0" fillId="0" borderId="0" xfId="0" applyNumberFormat="1" applyFont="1" applyFill="1"/>
    <xf numFmtId="169" fontId="0" fillId="0" borderId="0" xfId="0" applyNumberFormat="1" applyFont="1" applyFill="1"/>
    <xf numFmtId="168" fontId="8" fillId="0" borderId="0" xfId="0" applyNumberFormat="1" applyFont="1" applyFill="1"/>
    <xf numFmtId="164" fontId="1" fillId="0" borderId="0" xfId="0" applyNumberFormat="1" applyFont="1" applyFill="1"/>
    <xf numFmtId="0" fontId="7" fillId="0" borderId="0" xfId="0" applyNumberFormat="1" applyFont="1" applyFill="1" applyAlignment="1">
      <alignment wrapText="1" vertical="top"/>
    </xf>
    <xf numFmtId="170" fontId="0" fillId="0" borderId="0" xfId="0" applyNumberFormat="1" applyFont="1" applyFill="1"/>
    <xf numFmtId="0" fontId="0" fillId="0" borderId="0" xfId="0" applyNumberFormat="1" applyFont="1" applyFill="1" applyAlignment="1">
      <alignment wrapText="1" vertical="top"/>
    </xf>
    <xf numFmtId="0" fontId="3" fillId="4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 tabSelected="1"/>
  </sheetViews>
  <sheetFormatPr defaultRowHeight="12.75"/>
  <cols>
    <col min="1" max="1" width="20" customWidth="1"/>
    <col min="2" max="2" width="120" customWidth="1"/>
  </cols>
  <sheetData>
    <row r="1">
      <c r="A1" s="1" t="inlineStr">
        <is>
          <t xml:space="preserve">Vestis — Analyse FEC multi-exercices</t>
        </is>
      </c>
    </row>
    <row r="2">
      <c r="A2" s="2" t="inlineStr">
        <is>
          <t xml:space="preserve">Exercices : 2024, 2025. Généré le 19/10/2026.</t>
        </is>
      </c>
    </row>
    <row r="4">
      <c r="A4" s="15" t="inlineStr">
        <is>
          <t xml:space="preserve">Principe</t>
        </is>
      </c>
      <c r="B4" s="32" t="inlineStr">
        <is>
          <t xml:space="preserve">Toutes les agrégations sont des formules : modifier le référentiel, une surcharge de compte ou le type d'un journal met à jour tout le classeur. Excel recalcule à l'ouverture ; un aperçu (messagerie, téléphone) peut afficher des cellules vides.</t>
        </is>
      </c>
    </row>
    <row r="5">
      <c r="A5" s="15" t="inlineStr">
        <is>
          <t xml:space="preserve">Chaîne de calcul</t>
        </is>
      </c>
      <c r="B5" s="32" t="inlineStr">
        <is>
          <t xml:space="preserve">FEC_xxxx (données) → Comptes (soldes et affectation par exercice) → Liasse (rapprochement) → PnL_annuel, PnL_mensuel, Bilan_synth, Tresorerie.</t>
        </is>
      </c>
    </row>
    <row r="6">
      <c r="A6" s="15" t="inlineStr">
        <is>
          <t xml:space="preserve">Où intervenir</t>
        </is>
      </c>
      <c r="B6" s="32" t="inlineStr">
        <is>
          <t xml:space="preserve">Referentiel : colonnes C à F. Comptes : colonnes D et E (jaunes) pour une exception propre au dossier. Journaux : colonne E. Bilan_synth : taux de TVA.</t>
        </is>
      </c>
    </row>
    <row r="7">
      <c r="A7" s="15" t="inlineStr">
        <is>
          <t xml:space="preserve">Couleurs</t>
        </is>
      </c>
      <c r="B7" s="32" t="inlineStr">
        <is>
          <t xml:space="preserve">Bleu = donnée saisie ou lue automatiquement ; noir = formule ; fond jaune = hypothèse ou surcharge.</t>
        </is>
      </c>
    </row>
    <row r="8">
      <c r="A8" s="15" t="inlineStr">
        <is>
          <t xml:space="preserve">Signes</t>
        </is>
      </c>
      <c r="B8" s="32" t="inlineStr">
        <is>
          <t xml:space="preserve">Compte de résultat : produits positifs, charges négatives. Bilan : fournisseurs et trésorerie en négatif.</t>
        </is>
      </c>
    </row>
    <row r="9">
      <c r="A9" s="15" t="inlineStr">
        <is>
          <t xml:space="preserve">Valeurs figées</t>
        </is>
      </c>
      <c r="B9" s="32" t="inlineStr">
        <is>
          <t xml:space="preserve">Onglet Tiers, et dans Controles : écritures déséquilibrées, postes ouverts, continuité. Calculés par l'application ; relancer l'application si un FEC change.</t>
        </is>
      </c>
    </row>
    <row r="10">
      <c r="A10" s="15" t="inlineStr">
        <is>
          <t xml:space="preserve">Ordre de lecture</t>
        </is>
      </c>
      <c r="B10" s="32" t="inlineStr">
        <is>
          <t xml:space="preserve">1. Controles (tout doit être OK)  2. Liasse  3. PnL_annuel  4. Cloture (qualité du résultat)  5. Bilan_synth  6. PnL_mensuel, Tresorerie, Tiers.</t>
        </is>
      </c>
    </row>
    <row r="11">
      <c r="A11" s="15" t="inlineStr">
        <is>
          <t xml:space="preserve">Clôture</t>
        </is>
      </c>
      <c r="B11" s="32" t="inlineStr">
        <is>
          <t xml:space="preserve">Cloture : ce que les écritures d'inventaire apportent au résultat, provisions, comptes de régularisation, produits sans encaissement. Ecritures_cloture : liste des écritures, avec un statut et un commentaire à renseigner (colonnes jaunes) ; la synthèse se recalcule sur cette liste.</t>
        </is>
      </c>
    </row>
    <row r="12">
      <c r="A12" s="15" t="inlineStr">
        <is>
          <t xml:space="preserve">Confidentialité</t>
        </is>
      </c>
      <c r="B12" s="32" t="inlineStr">
        <is>
          <t xml:space="preserve">Classeur produit localement : les fichiers n'ont été transmis à aucun serveur.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2.75"/>
  <cols>
    <col min="1" max="1" width="18" customWidth="1"/>
    <col min="2" max="2" width="70" customWidth="1"/>
    <col min="3" max="3" width="60" customWidth="1"/>
    <col min="4" max="4" width="12" customWidth="1"/>
    <col min="5" max="5" width="13" customWidth="1"/>
    <col min="6" max="6" width="13" customWidth="1"/>
  </cols>
  <sheetData>
    <row r="1">
      <c r="A1" s="1" t="inlineStr">
        <is>
          <t xml:space="preserve">Pièces à demander à la société</t>
        </is>
      </c>
    </row>
    <row r="2">
      <c r="A2" s="2" t="inlineStr">
        <is>
          <t xml:space="preserve">Liste établie à partir de ce que révèlent les comptes. Colonnes E et F (jaunes) : suivi des demandes.</t>
        </is>
      </c>
    </row>
    <row r="4">
      <c r="A4" s="3" t="inlineStr">
        <is>
          <t xml:space="preserve">Domaine</t>
        </is>
      </c>
      <c r="B4" s="3" t="inlineStr">
        <is>
          <t xml:space="preserve">Pièce</t>
        </is>
      </c>
      <c r="C4" s="3" t="inlineStr">
        <is>
          <t xml:space="preserve">Pourquoi / détail</t>
        </is>
      </c>
      <c r="D4" s="3" t="inlineStr">
        <is>
          <t xml:space="preserve">Statut</t>
        </is>
      </c>
      <c r="E4" s="3" t="inlineStr">
        <is>
          <t xml:space="preserve">Demandée le</t>
        </is>
      </c>
      <c r="F4" s="3" t="inlineStr">
        <is>
          <t xml:space="preserve">Reçue le</t>
        </is>
      </c>
    </row>
    <row r="5">
      <c r="A5" s="0" t="inlineStr">
        <is>
          <t xml:space="preserve">Comptabilité</t>
        </is>
      </c>
      <c r="B5" s="32" t="inlineStr">
        <is>
          <t xml:space="preserve">FEC des 3 derniers exercices clos</t>
        </is>
      </c>
      <c r="C5" s="30" t="inlineStr">
        <is>
          <t xml:space="preserve">2 exercice(s) clos fourni(s)</t>
        </is>
      </c>
      <c r="D5" s="15" t="inlineStr">
        <is>
          <t xml:space="preserve">Incomplet</t>
        </is>
      </c>
      <c r="E5" s="9"/>
      <c r="F5" s="9"/>
    </row>
    <row r="6">
      <c r="A6" s="0" t="inlineStr">
        <is>
          <t xml:space="preserve">Comptabilité</t>
        </is>
      </c>
      <c r="B6" s="32" t="inlineStr">
        <is>
          <t xml:space="preserve">FEC de l'exercice en cours (situation récente)</t>
        </is>
      </c>
      <c r="C6" s="30"/>
      <c r="D6" s="15" t="inlineStr">
        <is>
          <t xml:space="preserve">À demander</t>
        </is>
      </c>
      <c r="E6" s="9"/>
      <c r="F6" s="9"/>
    </row>
    <row r="7">
      <c r="A7" s="0" t="inlineStr">
        <is>
          <t xml:space="preserve">Comptabilité</t>
        </is>
      </c>
      <c r="B7" s="32" t="inlineStr">
        <is>
          <t xml:space="preserve">Liasses fiscales des exercices clos</t>
        </is>
      </c>
      <c r="C7" s="30" t="inlineStr">
        <is>
          <t xml:space="preserve">0 liasse(s) lue(s) sur 2</t>
        </is>
      </c>
      <c r="D7" s="15" t="inlineStr">
        <is>
          <t xml:space="preserve">Incomplet</t>
        </is>
      </c>
      <c r="E7" s="9"/>
      <c r="F7" s="9"/>
    </row>
    <row r="8">
      <c r="A8" s="0" t="inlineStr">
        <is>
          <t xml:space="preserve">Trésorerie</t>
        </is>
      </c>
      <c r="B8" s="32" t="inlineStr">
        <is>
          <t xml:space="preserve">Relevés bancaires PDF + export CSV, tous comptes, 12 derniers mois</t>
        </is>
      </c>
      <c r="C8" s="30" t="inlineStr">
        <is>
          <t xml:space="preserve">Comptes : 512000 Banque Fictive</t>
        </is>
      </c>
      <c r="D8" s="15" t="inlineStr">
        <is>
          <t xml:space="preserve">À demander</t>
        </is>
      </c>
      <c r="E8" s="9"/>
      <c r="F8" s="9"/>
    </row>
    <row r="9">
      <c r="A9" s="0" t="inlineStr">
        <is>
          <t xml:space="preserve">Social</t>
        </is>
      </c>
      <c r="B9" s="32" t="inlineStr">
        <is>
          <t xml:space="preserve">URSSAF : attestation de vigilance et situation du compte (dettes, majorations)</t>
        </is>
      </c>
      <c r="C9" s="30" t="inlineStr">
        <is>
          <t xml:space="preserve">Espace en ligne URSSAF de la société</t>
        </is>
      </c>
      <c r="D9" s="15" t="inlineStr">
        <is>
          <t xml:space="preserve">À demander</t>
        </is>
      </c>
      <c r="E9" s="9"/>
      <c r="F9" s="9"/>
    </row>
    <row r="10">
      <c r="A10" s="0" t="inlineStr">
        <is>
          <t xml:space="preserve">Social</t>
        </is>
      </c>
      <c r="B10" s="32" t="inlineStr">
        <is>
          <t xml:space="preserve">État mensuel des cotisations par organisme (logiciel de paie) ou récapitulatifs DSN, 12 derniers mois</t>
        </is>
      </c>
      <c r="C10" s="30" t="inlineStr">
        <is>
          <t xml:space="preserve">Base du rapprochement dû / payé</t>
        </is>
      </c>
      <c r="D10" s="15" t="inlineStr">
        <is>
          <t xml:space="preserve">À demander</t>
        </is>
      </c>
      <c r="E10" s="9"/>
      <c r="F10" s="9"/>
    </row>
    <row r="11">
      <c r="A11" s="0" t="inlineStr">
        <is>
          <t xml:space="preserve">Fiscal</t>
        </is>
      </c>
      <c r="B11" s="32" t="inlineStr">
        <is>
          <t xml:space="preserve">Relevé du compte fiscal (espace professionnel impots.gouv) : TVA, IS, CFE, CVAE</t>
        </is>
      </c>
      <c r="C11" s="30"/>
      <c r="D11" s="15" t="inlineStr">
        <is>
          <t xml:space="preserve">À demander</t>
        </is>
      </c>
      <c r="E11" s="9"/>
      <c r="F11" s="9"/>
    </row>
    <row r="12">
      <c r="A12" s="0" t="inlineStr">
        <is>
          <t xml:space="preserve">Fiscal</t>
        </is>
      </c>
      <c r="B12" s="32" t="inlineStr">
        <is>
          <t xml:space="preserve">Attestation de régularité fiscale</t>
        </is>
      </c>
      <c r="C12" s="30"/>
      <c r="D12" s="15" t="inlineStr">
        <is>
          <t xml:space="preserve">À demander</t>
        </is>
      </c>
      <c r="E12" s="9"/>
      <c r="F12" s="9"/>
    </row>
    <row r="13">
      <c r="A13" s="0" t="inlineStr">
        <is>
          <t xml:space="preserve">Fiscal</t>
        </is>
      </c>
      <c r="B13" s="32" t="inlineStr">
        <is>
          <t xml:space="preserve">Déclarations de TVA des 12 derniers mois</t>
        </is>
      </c>
      <c r="C13" s="30" t="inlineStr">
        <is>
          <t xml:space="preserve">Rapprochement TVA déclarée / payée</t>
        </is>
      </c>
      <c r="D13" s="15" t="inlineStr">
        <is>
          <t xml:space="preserve">À demander</t>
        </is>
      </c>
      <c r="E13" s="9"/>
      <c r="F13" s="9"/>
    </row>
    <row r="14">
      <c r="A14" s="0" t="inlineStr">
        <is>
          <t xml:space="preserve">Dette financière</t>
        </is>
      </c>
      <c r="B14" s="32" t="inlineStr">
        <is>
          <t xml:space="preserve">Contrats de prêt et tableaux d'amortissement (dont PGE), sûretés</t>
        </is>
      </c>
      <c r="C14" s="30" t="inlineStr">
        <is>
          <t xml:space="preserve">Emprunts au bilan</t>
        </is>
      </c>
      <c r="D14" s="15" t="inlineStr">
        <is>
          <t xml:space="preserve">À demander</t>
        </is>
      </c>
      <c r="E14" s="9"/>
      <c r="F14" s="9"/>
    </row>
    <row r="15">
      <c r="A15" s="0" t="inlineStr">
        <is>
          <t xml:space="preserve">Exploitation</t>
        </is>
      </c>
      <c r="B15" s="32" t="inlineStr">
        <is>
          <t xml:space="preserve">Baux et loyers (échéances, garanties, impayés)</t>
        </is>
      </c>
      <c r="C15" s="30" t="inlineStr">
        <is>
          <t xml:space="preserve">Loyers comptabilisés</t>
        </is>
      </c>
      <c r="D15" s="15" t="inlineStr">
        <is>
          <t xml:space="preserve">À demander</t>
        </is>
      </c>
      <c r="E15" s="9"/>
      <c r="F15" s="9"/>
    </row>
    <row r="16">
      <c r="A16" s="0" t="inlineStr">
        <is>
          <t xml:space="preserve">Exploitation</t>
        </is>
      </c>
      <c r="B16" s="32" t="inlineStr">
        <is>
          <t xml:space="preserve">État d'inventaire valorisé à la dernière clôture (par article, avec dates de dernier mouvement)</t>
        </is>
      </c>
      <c r="C16" s="30" t="inlineStr">
        <is>
          <t xml:space="preserve">Stock au bilan</t>
        </is>
      </c>
      <c r="D16" s="15" t="inlineStr">
        <is>
          <t xml:space="preserve">À demander</t>
        </is>
      </c>
      <c r="E16" s="9"/>
      <c r="F16" s="9"/>
    </row>
    <row r="17">
      <c r="A17" s="0" t="inlineStr">
        <is>
          <t xml:space="preserve">Exploitation</t>
        </is>
      </c>
      <c r="B17" s="32" t="inlineStr">
        <is>
          <t xml:space="preserve">Balance âgée clients et fournisseurs à date (logiciel de gestion)</t>
        </is>
      </c>
      <c r="C17" s="30" t="inlineStr">
        <is>
          <t xml:space="preserve">Validation de l'ancienneté calculée par l'outil</t>
        </is>
      </c>
      <c r="D17" s="15" t="inlineStr">
        <is>
          <t xml:space="preserve">À demander</t>
        </is>
      </c>
      <c r="E17" s="9"/>
      <c r="F17" s="9"/>
    </row>
    <row r="18">
      <c r="A18" s="0" t="inlineStr">
        <is>
          <t xml:space="preserve">Groupe</t>
        </is>
      </c>
      <c r="B18" s="32" t="inlineStr">
        <is>
          <t xml:space="preserve">Organigramme juridique, conventions de trésorerie et de refacturation intragroupe</t>
        </is>
      </c>
      <c r="C18" s="30" t="inlineStr">
        <is>
          <t xml:space="preserve">Comptes courants de groupe</t>
        </is>
      </c>
      <c r="D18" s="15" t="inlineStr">
        <is>
          <t xml:space="preserve">À demander</t>
        </is>
      </c>
      <c r="E18" s="9"/>
      <c r="F18" s="9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50" customWidth="1"/>
    <col min="2" max="2" width="14" customWidth="1"/>
    <col min="3" max="3" width="9" customWidth="1"/>
    <col min="4" max="4" width="14" customWidth="1"/>
    <col min="5" max="5" width="9" customWidth="1"/>
    <col min="6" max="6" width="70" customWidth="1"/>
  </cols>
  <sheetData>
    <row r="1">
      <c r="A1" s="1" t="inlineStr">
        <is>
          <t xml:space="preserve">Contrôles d'intégrité</t>
        </is>
      </c>
    </row>
    <row r="2">
      <c r="A2" s="2" t="inlineStr">
        <is>
          <t xml:space="preserve">Généré le 19/10/2026 par l'application Vestis (traitement local, aucune donnée transmise).</t>
        </is>
      </c>
    </row>
    <row r="4">
      <c r="A4" s="3" t="inlineStr">
        <is>
          <t xml:space="preserve">Contrôle</t>
        </is>
      </c>
      <c r="B4" s="3" t="inlineStr">
        <is>
          <t xml:space="preserve">2024</t>
        </is>
      </c>
      <c r="C4" s="3" t="inlineStr">
        <is>
          <t xml:space="preserve">Statut</t>
        </is>
      </c>
      <c r="D4" s="3" t="inlineStr">
        <is>
          <t xml:space="preserve">2025</t>
        </is>
      </c>
      <c r="E4" s="3" t="inlineStr">
        <is>
          <t xml:space="preserve">Statut</t>
        </is>
      </c>
      <c r="F4" s="3" t="inlineStr">
        <is>
          <t xml:space="preserve">Commentaire</t>
        </is>
      </c>
    </row>
    <row r="5">
      <c r="A5" s="0" t="inlineStr">
        <is>
          <t xml:space="preserve">Total débit - total crédit</t>
        </is>
      </c>
      <c r="B5" s="8">
        <f>ROUND(SUM(FEC_2024!$I:$I)-SUM(FEC_2024!$J:$J),2)</f>
      </c>
      <c r="C5" s="15">
        <f>IF(ISNUMBER(B5),IF(ABS(B5)&lt;=1,"OK","À VOIR"),"n.d.")</f>
      </c>
      <c r="D5" s="8">
        <f>ROUND(SUM(FEC_2025!$I:$I)-SUM(FEC_2025!$J:$J),2)</f>
      </c>
      <c r="E5" s="15">
        <f>IF(ISNUMBER(D5),IF(ABS(D5)&lt;=1,"OK","À VOIR"),"n.d.")</f>
      </c>
      <c r="F5" s="30"/>
    </row>
    <row r="6">
      <c r="A6" s="0" t="inlineStr">
        <is>
          <t xml:space="preserve">Écritures déséquilibrées (journal + numéro)</t>
        </is>
      </c>
      <c r="B6" s="31">
        <v>0</v>
      </c>
      <c r="C6" s="15">
        <f>IF(ISNUMBER(B6),IF(ABS(B6)&lt;=0,"OK","À VOIR"),"n.d.")</f>
      </c>
      <c r="D6" s="31">
        <v>1</v>
      </c>
      <c r="E6" s="15">
        <f>IF(ISNUMBER(D6),IF(ABS(D6)&lt;=0,"OK","À VOIR"),"n.d.")</f>
      </c>
      <c r="F6" s="30" t="inlineStr">
        <is>
          <t xml:space="preserve">Calculé par l'application.</t>
        </is>
      </c>
    </row>
    <row r="7">
      <c r="A7" s="0" t="inlineStr">
        <is>
          <t xml:space="preserve">Lignes sans date d'écriture valide</t>
        </is>
      </c>
      <c r="B7" s="31">
        <v>0</v>
      </c>
      <c r="C7" s="15">
        <f>IF(ISNUMBER(B7),IF(ABS(B7)&lt;=0,"OK","À VOIR"),"n.d.")</f>
      </c>
      <c r="D7" s="31">
        <v>0</v>
      </c>
      <c r="E7" s="15">
        <f>IF(ISNUMBER(D7),IF(ABS(D7)&lt;=0,"OK","À VOIR"),"n.d.")</f>
      </c>
      <c r="F7" s="30"/>
    </row>
    <row r="8">
      <c r="A8" s="0" t="inlineStr">
        <is>
          <t xml:space="preserve">Comptes non affectés par le référentiel</t>
        </is>
      </c>
      <c r="B8" s="31">
        <v>0</v>
      </c>
      <c r="C8" s="15">
        <f>IF(ISNUMBER(B8),IF(ABS(B8)&lt;=0,"OK","À VOIR"),"n.d.")</f>
      </c>
      <c r="D8" s="31">
        <v>0</v>
      </c>
      <c r="E8" s="15">
        <f>IF(ISNUMBER(D8),IF(ABS(D8)&lt;=0,"OK","À VOIR"),"n.d.")</f>
      </c>
      <c r="F8" s="30"/>
    </row>
    <row r="9">
      <c r="A9" s="0" t="inlineStr">
        <is>
          <t xml:space="preserve">Postes de liasse en écart (&gt; 1 €)</t>
        </is>
      </c>
      <c r="B9" s="8" t="inlineStr">
        <is>
          <t xml:space="preserve">n.d.</t>
        </is>
      </c>
      <c r="C9" s="15">
        <f>IF(ISNUMBER(B9),IF(ABS(B9)&lt;=0,"OK","À VOIR"),"n.d.")</f>
      </c>
      <c r="D9" s="8" t="inlineStr">
        <is>
          <t xml:space="preserve">n.d.</t>
        </is>
      </c>
      <c r="E9" s="15">
        <f>IF(ISNUMBER(D9),IF(ABS(D9)&lt;=0,"OK","À VOIR"),"n.d.")</f>
      </c>
      <c r="F9" s="30" t="inlineStr">
        <is>
          <t xml:space="preserve">Un écart sur une ligne de détail dont les totaux sont OK est une différence de présentation de la liasse, pas une erreur d'affectation.</t>
        </is>
      </c>
    </row>
    <row r="10">
      <c r="A10" s="0" t="inlineStr">
        <is>
          <t xml:space="preserve">Résultat net économique - résultat liasse</t>
        </is>
      </c>
      <c r="B10" s="8" t="inlineStr">
        <is>
          <t xml:space="preserve">n.d.</t>
        </is>
      </c>
      <c r="C10" s="15">
        <f>IF(ISNUMBER(B10),IF(ABS(B10)&lt;=1,"OK","À VOIR"),"n.d.")</f>
      </c>
      <c r="D10" s="8" t="inlineStr">
        <is>
          <t xml:space="preserve">n.d.</t>
        </is>
      </c>
      <c r="E10" s="15">
        <f>IF(ISNUMBER(D10),IF(ABS(D10)&lt;=1,"OK","À VOIR"),"n.d.")</f>
      </c>
      <c r="F10" s="30"/>
    </row>
    <row r="11">
      <c r="A11" s="0" t="inlineStr">
        <is>
          <t xml:space="preserve">Équilibre du bilan économique</t>
        </is>
      </c>
      <c r="B11" s="8">
        <f>Bilan_synth!B32</f>
      </c>
      <c r="C11" s="15">
        <f>IF(ISNUMBER(B11),IF(ABS(B11)&lt;=1,"OK","À VOIR"),"n.d.")</f>
      </c>
      <c r="D11" s="8">
        <f>Bilan_synth!C32</f>
      </c>
      <c r="E11" s="15">
        <f>IF(ISNUMBER(D11),IF(ABS(D11)&lt;=1,"OK","À VOIR"),"n.d.")</f>
      </c>
      <c r="F11" s="30"/>
    </row>
    <row r="12">
      <c r="A12" s="0" t="inlineStr">
        <is>
          <t xml:space="preserve">Postes ouverts (lettrage) - soldes clients et fournisseurs</t>
        </is>
      </c>
      <c r="B12" s="8">
        <v>0</v>
      </c>
      <c r="C12" s="15">
        <f>IF(ISNUMBER(B12),IF(ABS(B12)&lt;=1,"OK","À VOIR"),"n.d.")</f>
      </c>
      <c r="D12" s="8">
        <v>0</v>
      </c>
      <c r="E12" s="15">
        <f>IF(ISNUMBER(D12),IF(ABS(D12)&lt;=1,"OK","À VOIR"),"n.d.")</f>
      </c>
      <c r="F12" s="30" t="inlineStr">
        <is>
          <t xml:space="preserve">Postes ouverts = non lettrés + lettrages partiels non soldés.</t>
        </is>
      </c>
    </row>
    <row r="13">
      <c r="A13" s="0" t="inlineStr">
        <is>
          <t xml:space="preserve">Continuité : à-nouveaux - clôture de l'exercice précédent (écarts cumulés)</t>
        </is>
      </c>
      <c r="B13" s="8" t="inlineStr">
        <is>
          <t xml:space="preserve">n.d.</t>
        </is>
      </c>
      <c r="C13" s="15">
        <f>IF(ISNUMBER(B13),IF(ABS(B13)&lt;=1,"OK","À VOIR"),"n.d.")</f>
      </c>
      <c r="D13" s="8">
        <v>0</v>
      </c>
      <c r="E13" s="15">
        <f>IF(ISNUMBER(D13),IF(ABS(D13)&lt;=1,"OK","À VOIR"),"n.d.")</f>
      </c>
      <c r="F13" s="30" t="inlineStr">
        <is>
          <t xml:space="preserve">Compare, par racine de compte, la balance de clôture de l'exercice précédent et le journal d'à-nouveaux. Détail ci-dessous.</t>
        </is>
      </c>
    </row>
    <row r="14">
      <c r="A14" s="0" t="inlineStr">
        <is>
          <t xml:space="preserve">Écritures validées après le dépôt de la liasse (impact résultat)</t>
        </is>
      </c>
      <c r="B14" s="8" t="inlineStr">
        <is>
          <t xml:space="preserve">n.d.</t>
        </is>
      </c>
      <c r="C14" s="15">
        <f>IF(ISNUMBER(B14),IF(ABS(B14)&lt;=1,"OK","À VOIR"),"n.d.")</f>
      </c>
      <c r="D14" s="8" t="inlineStr">
        <is>
          <t xml:space="preserve">n.d.</t>
        </is>
      </c>
      <c r="E14" s="15">
        <f>IF(ISNUMBER(D14),IF(ABS(D14)&lt;=1,"OK","À VOIR"),"n.d.")</f>
      </c>
      <c r="F14" s="30" t="inlineStr">
        <is>
          <t xml:space="preserve">Compare la colonne ValidDate du FEC à la date de dépôt imprimée sur la liasse. Une écriture passée après le dépôt signifie que le FEC n'est plus celui de la déclaration. « Non mesurable » : le logiciel met la date d'export dans ValidDate. Détail ci-dessous.</t>
        </is>
      </c>
    </row>
    <row r="15">
      <c r="A15" s="0" t="inlineStr">
        <is>
          <t xml:space="preserve">Écritures en double : impact sur le résultat</t>
        </is>
      </c>
      <c r="B15" s="8">
        <v>0</v>
      </c>
      <c r="C15" s="15">
        <f>IF(ISNUMBER(B15),IF(ABS(B15)&lt;=1,"OK","À VOIR"),"n.d.")</f>
      </c>
      <c r="D15" s="8">
        <v>-12000</v>
      </c>
      <c r="E15" s="15">
        <f>IF(ISNUMBER(D15),IF(ABS(D15)&lt;=1,"OK","À VOIR"),"n.d.")</f>
      </c>
      <c r="F15" s="30" t="inlineStr">
        <is>
          <t xml:space="preserve">Écritures identiques (journal, date, lignes) sous des numéros différents : import répété (paie, ventes). Liste ci-dessous. Un petit montant peut être légitime (deux factures identiques le même jour).</t>
        </is>
      </c>
    </row>
    <row r="16">
      <c r="A16" s="0" t="inlineStr">
        <is>
          <t xml:space="preserve">Lignes avec compte auxiliaire (CompAuxNum)</t>
        </is>
      </c>
      <c r="B16" s="8">
        <v>273</v>
      </c>
      <c r="C16" s="15" t="inlineStr">
        <is>
          <t xml:space="preserve">info</t>
        </is>
      </c>
      <c r="D16" s="8">
        <v>282</v>
      </c>
      <c r="E16" s="15" t="inlineStr">
        <is>
          <t xml:space="preserve">info</t>
        </is>
      </c>
      <c r="F16" s="30" t="inlineStr">
        <is>
          <t xml:space="preserve">0 = tiers éclatés dans le plan de comptes (401xxx, 411xxx).</t>
        </is>
      </c>
    </row>
    <row r="17">
      <c r="A17" s="0" t="inlineStr">
        <is>
          <t xml:space="preserve">Comptes tiers « DIVERS »</t>
        </is>
      </c>
      <c r="B17" s="8">
        <v>0</v>
      </c>
      <c r="C17" s="15" t="inlineStr">
        <is>
          <t xml:space="preserve">info</t>
        </is>
      </c>
      <c r="D17" s="8">
        <v>0</v>
      </c>
      <c r="E17" s="15" t="inlineStr">
        <is>
          <t xml:space="preserve">info</t>
        </is>
      </c>
      <c r="F17" s="30" t="inlineStr">
        <is>
          <t xml:space="preserve">Tiers reconstitués à partir du libellé d'écriture.</t>
        </is>
      </c>
    </row>
    <row r="18">
      <c r="A18" s="0" t="inlineStr">
        <is>
          <t xml:space="preserve">Capitaux propres - moitié du capital social (négatif = seuil franchi)</t>
        </is>
      </c>
      <c r="B18" s="12">
        <f>Bilan_synth!B28+Bilan_synth!B29+SUMIFS(Comptes!$F$5:$F$42,Comptes!$A$5:$A$42,"101*")/2</f>
      </c>
      <c r="C18" s="15">
        <f>IF(B18&gt;=0,"OK","À VOIR")</f>
      </c>
      <c r="D18" s="12">
        <f>Bilan_synth!C28+Bilan_synth!C29+SUMIFS(Comptes!$I$5:$I$42,Comptes!$A$5:$A$42,"101*")/2</f>
      </c>
      <c r="E18" s="15">
        <f>IF(D18&gt;=0,"OK","À VOIR")</f>
      </c>
      <c r="F18" s="30" t="inlineStr">
        <is>
          <t xml:space="preserve">Capitaux propres devenus inférieurs à la moitié du capital social : obligation de consulter les associés dans les 4 mois suivant l'approbation des comptes (C. com. L223-42 / L225-248). À vérifier par le conseil juridique.</t>
        </is>
      </c>
    </row>
    <row r="20">
      <c r="A20" s="13" t="inlineStr">
        <is>
          <t xml:space="preserve">Profil des fichiers</t>
        </is>
      </c>
    </row>
    <row r="21">
      <c r="A21" s="0" t="inlineStr">
        <is>
          <t xml:space="preserve">Logiciel (saisi)</t>
        </is>
      </c>
      <c r="B21" s="0"/>
      <c r="D21" s="0"/>
    </row>
    <row r="22">
      <c r="A22" s="0" t="inlineStr">
        <is>
          <t xml:space="preserve">Fichier FEC</t>
        </is>
      </c>
      <c r="B22" s="0" t="inlineStr">
        <is>
          <t xml:space="preserve">999000111FEC20241231.txt</t>
        </is>
      </c>
      <c r="D22" s="0" t="inlineStr">
        <is>
          <t xml:space="preserve">999000111FEC20251231.txt</t>
        </is>
      </c>
    </row>
    <row r="23">
      <c r="A23" s="0" t="inlineStr">
        <is>
          <t xml:space="preserve">Période</t>
        </is>
      </c>
      <c r="B23" s="0" t="inlineStr">
        <is>
          <t xml:space="preserve">01/01/2024 - 31/12/2024</t>
        </is>
      </c>
      <c r="D23" s="0" t="inlineStr">
        <is>
          <t xml:space="preserve">01/01/2025 - 31/12/2025</t>
        </is>
      </c>
    </row>
    <row r="24">
      <c r="A24" s="0" t="inlineStr">
        <is>
          <t xml:space="preserve">Encodage</t>
        </is>
      </c>
      <c r="B24" s="0" t="inlineStr">
        <is>
          <t xml:space="preserve">UTF-8</t>
        </is>
      </c>
      <c r="D24" s="0" t="inlineStr">
        <is>
          <t xml:space="preserve">UTF-8</t>
        </is>
      </c>
    </row>
    <row r="25">
      <c r="A25" s="0" t="inlineStr">
        <is>
          <t xml:space="preserve">Séparateur</t>
        </is>
      </c>
      <c r="B25" s="0" t="inlineStr">
        <is>
          <t xml:space="preserve">tabulation</t>
        </is>
      </c>
      <c r="D25" s="0" t="inlineStr">
        <is>
          <t xml:space="preserve">tabulation</t>
        </is>
      </c>
    </row>
    <row r="26">
      <c r="A26" s="0" t="inlineStr">
        <is>
          <t xml:space="preserve">Séparateur décimal</t>
        </is>
      </c>
      <c r="B26" s="0" t="inlineStr">
        <is>
          <t xml:space="preserve">virgule</t>
        </is>
      </c>
      <c r="D26" s="0" t="inlineStr">
        <is>
          <t xml:space="preserve">virgule</t>
        </is>
      </c>
    </row>
    <row r="27">
      <c r="A27" s="0" t="inlineStr">
        <is>
          <t xml:space="preserve">Format des montants</t>
        </is>
      </c>
      <c r="B27" s="0" t="inlineStr">
        <is>
          <t xml:space="preserve">Débit / Crédit</t>
        </is>
      </c>
      <c r="D27" s="0" t="inlineStr">
        <is>
          <t xml:space="preserve">Débit / Crédit</t>
        </is>
      </c>
    </row>
    <row r="28">
      <c r="A28" s="0" t="inlineStr">
        <is>
          <t xml:space="preserve">Nombre de colonnes</t>
        </is>
      </c>
      <c r="B28" s="0">
        <v>18</v>
      </c>
      <c r="D28" s="0">
        <v>18</v>
      </c>
    </row>
    <row r="29">
      <c r="A29" s="0" t="inlineStr">
        <is>
          <t xml:space="preserve">Nombre de lignes</t>
        </is>
      </c>
      <c r="B29" s="0">
        <v>906</v>
      </c>
      <c r="D29" s="0">
        <v>932</v>
      </c>
    </row>
    <row r="30">
      <c r="A30" s="0" t="inlineStr">
        <is>
          <t xml:space="preserve">Régime fiscal (liasse)</t>
        </is>
      </c>
      <c r="B30" s="0" t="inlineStr">
        <is>
          <t xml:space="preserve">Régime réel normal (2050-2053) (par défaut, pas de liasse)</t>
        </is>
      </c>
      <c r="D30" s="0" t="inlineStr">
        <is>
          <t xml:space="preserve">Régime réel normal (2050-2053) (par défaut, pas de liasse)</t>
        </is>
      </c>
    </row>
    <row r="31">
      <c r="A31" s="0" t="inlineStr">
        <is>
          <t xml:space="preserve">Liasse</t>
        </is>
      </c>
      <c r="B31" s="0" t="inlineStr">
        <is>
          <t xml:space="preserve">non fournie</t>
        </is>
      </c>
      <c r="D31" s="0" t="inlineStr">
        <is>
          <t xml:space="preserve">non fournie</t>
        </is>
      </c>
    </row>
    <row r="32">
      <c r="A32" s="0" t="inlineStr">
        <is>
          <t xml:space="preserve">Journaux</t>
        </is>
      </c>
      <c r="B32" s="32" t="inlineStr">
        <is>
          <t xml:space="preserve">AN A-NOUVEAUX, VT VENTES, AC ACHATS, BQ BANQUE, OD OD, SA OD, INV INVENTAIRE</t>
        </is>
      </c>
      <c r="D32" s="32" t="inlineStr">
        <is>
          <t xml:space="preserve">AN A-NOUVEAUX, AC ACHATS, BQ BANQUE, VT VENTES, OD OD, SA OD, INV INVENTAIRE</t>
        </is>
      </c>
    </row>
    <row r="34">
      <c r="A34" s="13" t="inlineStr">
        <is>
          <t xml:space="preserve">Continuité 2024 → 2025 : aucun écart</t>
        </is>
      </c>
    </row>
    <row r="35">
      <c r="A35" s="3" t="inlineStr">
        <is>
          <t xml:space="preserve">Racine</t>
        </is>
      </c>
      <c r="B35" s="3" t="inlineStr">
        <is>
          <t xml:space="preserve">Clôture 2024</t>
        </is>
      </c>
      <c r="C35" s="3" t="inlineStr">
        <is>
          <t xml:space="preserve">À-nouveaux 2025</t>
        </is>
      </c>
      <c r="D35" s="3" t="inlineStr">
        <is>
          <t xml:space="preserve">Écart</t>
        </is>
      </c>
    </row>
    <row r="36">
      <c r="A36" s="22" t="inlineStr">
        <is>
          <t xml:space="preserve">13 racines comparées, toutes identiques.</t>
        </is>
      </c>
    </row>
    <row r="38">
      <c r="A38" s="13" t="inlineStr">
        <is>
          <t xml:space="preserve">2025 : 1 écriture(s) en double, impact résultat -12000 €</t>
        </is>
      </c>
    </row>
    <row r="39">
      <c r="A39" s="3" t="inlineStr">
        <is>
          <t xml:space="preserve">Journal</t>
        </is>
      </c>
      <c r="B39" s="3" t="inlineStr">
        <is>
          <t xml:space="preserve">Date</t>
        </is>
      </c>
      <c r="C39" s="3" t="inlineStr">
        <is>
          <t xml:space="preserve">Nb d'exemplaires</t>
        </is>
      </c>
      <c r="D39" s="3" t="inlineStr">
        <is>
          <t xml:space="preserve">N° d'écriture</t>
        </is>
      </c>
      <c r="E39" s="3" t="inlineStr">
        <is>
          <t xml:space="preserve">Libellé</t>
        </is>
      </c>
      <c r="F39" s="3" t="inlineStr">
        <is>
          <t xml:space="preserve">Montant (débit)</t>
        </is>
      </c>
    </row>
    <row r="40">
      <c r="A40" s="0" t="inlineStr">
        <is>
          <t xml:space="preserve">AC</t>
        </is>
      </c>
      <c r="B40" s="0" t="inlineStr">
        <is>
          <t xml:space="preserve">22/05/2025</t>
        </is>
      </c>
      <c r="C40" s="0">
        <v>2</v>
      </c>
      <c r="D40" s="0" t="inlineStr">
        <is>
          <t xml:space="preserve">AC00077, AC00078</t>
        </is>
      </c>
      <c r="E40" s="0" t="inlineStr">
        <is>
          <t xml:space="preserve">Facture Vernis et Finitions F003-2291</t>
        </is>
      </c>
      <c r="F40" s="12">
        <v>14400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50" customWidth="1"/>
    <col min="2" max="2" width="14" customWidth="1"/>
    <col min="3" max="3" width="8" customWidth="1"/>
    <col min="4" max="4" width="14" customWidth="1"/>
    <col min="5" max="5" width="8" customWidth="1"/>
  </cols>
  <sheetData>
    <row r="1">
      <c r="A1" s="1" t="inlineStr">
        <is>
          <t xml:space="preserve">Compte de résultat économique</t>
        </is>
      </c>
    </row>
    <row r="2">
      <c r="A2" s="2" t="inlineStr">
        <is>
          <t xml:space="preserve">En euros. Produits positifs, charges négatives. Agrégats définis dans Referentiel.</t>
        </is>
      </c>
    </row>
    <row r="4">
      <c r="A4" s="3" t="inlineStr">
        <is>
          <t xml:space="preserve">Agrégat</t>
        </is>
      </c>
      <c r="B4" s="3" t="inlineStr">
        <is>
          <t xml:space="preserve">2024</t>
        </is>
      </c>
      <c r="C4" s="3" t="inlineStr">
        <is>
          <t xml:space="preserve">% CA</t>
        </is>
      </c>
      <c r="D4" s="3" t="inlineStr">
        <is>
          <t xml:space="preserve">2025</t>
        </is>
      </c>
      <c r="E4" s="3" t="inlineStr">
        <is>
          <t xml:space="preserve">% CA</t>
        </is>
      </c>
    </row>
    <row r="5">
      <c r="A5" s="0" t="inlineStr">
        <is>
          <t xml:space="preserve">Chiffre d'affaires</t>
        </is>
      </c>
      <c r="B5" s="12">
        <f>-SUMIFS(Comptes!$F$5:$F$42,Comptes!$H$5:$H$42,"CA")</f>
      </c>
      <c r="C5" s="18">
        <f>IF(B$5=0,0,B5/B$5)</f>
      </c>
      <c r="D5" s="12">
        <f>-SUMIFS(Comptes!$I$5:$I$42,Comptes!$K$5:$K$42,"CA")</f>
      </c>
      <c r="E5" s="18">
        <f>IF(D$5=0,0,D5/D$5)</f>
      </c>
    </row>
    <row r="6">
      <c r="A6" s="0" t="inlineStr">
        <is>
          <t xml:space="preserve">Production stockée et immobilisée</t>
        </is>
      </c>
      <c r="B6" s="12">
        <f>-SUMIFS(Comptes!$F$5:$F$42,Comptes!$H$5:$H$42,"PRODUCTION_STOCKEE")</f>
      </c>
      <c r="C6" s="18">
        <f>IF(B$5=0,0,B6/B$5)</f>
      </c>
      <c r="D6" s="12">
        <f>-SUMIFS(Comptes!$I$5:$I$42,Comptes!$K$5:$K$42,"PRODUCTION_STOCKEE")</f>
      </c>
      <c r="E6" s="18">
        <f>IF(D$5=0,0,D6/D$5)</f>
      </c>
    </row>
    <row r="7">
      <c r="A7" s="0" t="inlineStr">
        <is>
          <t xml:space="preserve">Subventions et autres produits d'exploitation</t>
        </is>
      </c>
      <c r="B7" s="12">
        <f>-SUMIFS(Comptes!$F$5:$F$42,Comptes!$H$5:$H$42,"AUTRES_PRODUITS")</f>
      </c>
      <c r="C7" s="18">
        <f>IF(B$5=0,0,B7/B$5)</f>
      </c>
      <c r="D7" s="12">
        <f>-SUMIFS(Comptes!$I$5:$I$42,Comptes!$K$5:$K$42,"AUTRES_PRODUITS")</f>
      </c>
      <c r="E7" s="18">
        <f>IF(D$5=0,0,D7/D$5)</f>
      </c>
    </row>
    <row r="8">
      <c r="A8" s="19" t="inlineStr">
        <is>
          <t xml:space="preserve">Production</t>
        </is>
      </c>
      <c r="B8" s="20">
        <f>B5+B6+B7</f>
      </c>
      <c r="C8" s="21">
        <f>IF(B$5=0,0,B8/B$5)</f>
      </c>
      <c r="D8" s="20">
        <f>D5+D6+D7</f>
      </c>
      <c r="E8" s="21">
        <f>IF(D$5=0,0,D8/D$5)</f>
      </c>
    </row>
    <row r="9">
      <c r="A9" s="0" t="inlineStr">
        <is>
          <t xml:space="preserve">Coûts directs (achats consommés, sous-traitance)</t>
        </is>
      </c>
      <c r="B9" s="12">
        <f>-SUMIFS(Comptes!$F$5:$F$42,Comptes!$H$5:$H$42,"COUTS_DIRECTS")</f>
      </c>
      <c r="C9" s="18">
        <f>IF(B$5=0,0,B9/B$5)</f>
      </c>
      <c r="D9" s="12">
        <f>-SUMIFS(Comptes!$I$5:$I$42,Comptes!$K$5:$K$42,"COUTS_DIRECTS")</f>
      </c>
      <c r="E9" s="18">
        <f>IF(D$5=0,0,D9/D$5)</f>
      </c>
    </row>
    <row r="10">
      <c r="A10" s="19" t="inlineStr">
        <is>
          <t xml:space="preserve">Marge brute</t>
        </is>
      </c>
      <c r="B10" s="20">
        <f>B8+B9</f>
      </c>
      <c r="C10" s="21">
        <f>IF(B$5=0,0,B10/B$5)</f>
      </c>
      <c r="D10" s="20">
        <f>D8+D9</f>
      </c>
      <c r="E10" s="21">
        <f>IF(D$5=0,0,D10/D$5)</f>
      </c>
    </row>
    <row r="11">
      <c r="A11" s="0" t="inlineStr">
        <is>
          <t xml:space="preserve">Charges externes</t>
        </is>
      </c>
      <c r="B11" s="12">
        <f>-SUMIFS(Comptes!$F$5:$F$42,Comptes!$H$5:$H$42,"CHARGES_EXTERNES")</f>
      </c>
      <c r="C11" s="18">
        <f>IF(B$5=0,0,B11/B$5)</f>
      </c>
      <c r="D11" s="12">
        <f>-SUMIFS(Comptes!$I$5:$I$42,Comptes!$K$5:$K$42,"CHARGES_EXTERNES")</f>
      </c>
      <c r="E11" s="18">
        <f>IF(D$5=0,0,D11/D$5)</f>
      </c>
    </row>
    <row r="12">
      <c r="A12" s="0" t="inlineStr">
        <is>
          <t xml:space="preserve">Impôts et taxes</t>
        </is>
      </c>
      <c r="B12" s="12">
        <f>-SUMIFS(Comptes!$F$5:$F$42,Comptes!$H$5:$H$42,"IMPOTS_TAXES")</f>
      </c>
      <c r="C12" s="18">
        <f>IF(B$5=0,0,B12/B$5)</f>
      </c>
      <c r="D12" s="12">
        <f>-SUMIFS(Comptes!$I$5:$I$42,Comptes!$K$5:$K$42,"IMPOTS_TAXES")</f>
      </c>
      <c r="E12" s="18">
        <f>IF(D$5=0,0,D12/D$5)</f>
      </c>
    </row>
    <row r="13">
      <c r="A13" s="0" t="inlineStr">
        <is>
          <t xml:space="preserve">Frais de personnel</t>
        </is>
      </c>
      <c r="B13" s="12">
        <f>-SUMIFS(Comptes!$F$5:$F$42,Comptes!$H$5:$H$42,"PERSONNEL")</f>
      </c>
      <c r="C13" s="18">
        <f>IF(B$5=0,0,B13/B$5)</f>
      </c>
      <c r="D13" s="12">
        <f>-SUMIFS(Comptes!$I$5:$I$42,Comptes!$K$5:$K$42,"PERSONNEL")</f>
      </c>
      <c r="E13" s="18">
        <f>IF(D$5=0,0,D13/D$5)</f>
      </c>
    </row>
    <row r="14">
      <c r="A14" s="0" t="inlineStr">
        <is>
          <t xml:space="preserve">Autres charges de gestion</t>
        </is>
      </c>
      <c r="B14" s="12">
        <f>-SUMIFS(Comptes!$F$5:$F$42,Comptes!$H$5:$H$42,"AUTRES_CHARGES")</f>
      </c>
      <c r="C14" s="18">
        <f>IF(B$5=0,0,B14/B$5)</f>
      </c>
      <c r="D14" s="12">
        <f>-SUMIFS(Comptes!$I$5:$I$42,Comptes!$K$5:$K$42,"AUTRES_CHARGES")</f>
      </c>
      <c r="E14" s="18">
        <f>IF(D$5=0,0,D14/D$5)</f>
      </c>
    </row>
    <row r="15">
      <c r="A15" s="19" t="inlineStr">
        <is>
          <t xml:space="preserve">EBITDA (EBE retraité)</t>
        </is>
      </c>
      <c r="B15" s="20">
        <f>B10+B11+B12+B13+B14</f>
      </c>
      <c r="C15" s="21">
        <f>IF(B$5=0,0,B15/B$5)</f>
      </c>
      <c r="D15" s="20">
        <f>D10+D11+D12+D13+D14</f>
      </c>
      <c r="E15" s="21">
        <f>IF(D$5=0,0,D15/D$5)</f>
      </c>
    </row>
    <row r="16">
      <c r="A16" s="0" t="inlineStr">
        <is>
          <t xml:space="preserve">Dotations nettes aux amortissements et provisions</t>
        </is>
      </c>
      <c r="B16" s="12">
        <f>-SUMIFS(Comptes!$F$5:$F$42,Comptes!$H$5:$H$42,"DAP_NETTES")</f>
      </c>
      <c r="C16" s="18">
        <f>IF(B$5=0,0,B16/B$5)</f>
      </c>
      <c r="D16" s="12">
        <f>-SUMIFS(Comptes!$I$5:$I$42,Comptes!$K$5:$K$42,"DAP_NETTES")</f>
      </c>
      <c r="E16" s="18">
        <f>IF(D$5=0,0,D16/D$5)</f>
      </c>
    </row>
    <row r="17">
      <c r="A17" s="19" t="inlineStr">
        <is>
          <t xml:space="preserve">Résultat d'exploitation (EBIT)</t>
        </is>
      </c>
      <c r="B17" s="20">
        <f>B15+B16</f>
      </c>
      <c r="C17" s="21">
        <f>IF(B$5=0,0,B17/B$5)</f>
      </c>
      <c r="D17" s="20">
        <f>D15+D16</f>
      </c>
      <c r="E17" s="21">
        <f>IF(D$5=0,0,D17/D$5)</f>
      </c>
    </row>
    <row r="18">
      <c r="A18" s="0" t="inlineStr">
        <is>
          <t xml:space="preserve">Résultat financier</t>
        </is>
      </c>
      <c r="B18" s="12">
        <f>-SUMIFS(Comptes!$F$5:$F$42,Comptes!$H$5:$H$42,"RESULTAT_FIN")</f>
      </c>
      <c r="C18" s="18">
        <f>IF(B$5=0,0,B18/B$5)</f>
      </c>
      <c r="D18" s="12">
        <f>-SUMIFS(Comptes!$I$5:$I$42,Comptes!$K$5:$K$42,"RESULTAT_FIN")</f>
      </c>
      <c r="E18" s="18">
        <f>IF(D$5=0,0,D18/D$5)</f>
      </c>
    </row>
    <row r="19">
      <c r="A19" s="19" t="inlineStr">
        <is>
          <t xml:space="preserve">Résultat courant avant impôt</t>
        </is>
      </c>
      <c r="B19" s="20">
        <f>B17+B18</f>
      </c>
      <c r="C19" s="21">
        <f>IF(B$5=0,0,B19/B$5)</f>
      </c>
      <c r="D19" s="20">
        <f>D17+D18</f>
      </c>
      <c r="E19" s="21">
        <f>IF(D$5=0,0,D19/D$5)</f>
      </c>
    </row>
    <row r="20">
      <c r="A20" s="0" t="inlineStr">
        <is>
          <t xml:space="preserve">Résultat exceptionnel</t>
        </is>
      </c>
      <c r="B20" s="12">
        <f>-SUMIFS(Comptes!$F$5:$F$42,Comptes!$H$5:$H$42,"EXCEPTIONNEL")</f>
      </c>
      <c r="C20" s="18">
        <f>IF(B$5=0,0,B20/B$5)</f>
      </c>
      <c r="D20" s="12">
        <f>-SUMIFS(Comptes!$I$5:$I$42,Comptes!$K$5:$K$42,"EXCEPTIONNEL")</f>
      </c>
      <c r="E20" s="18">
        <f>IF(D$5=0,0,D20/D$5)</f>
      </c>
    </row>
    <row r="21">
      <c r="A21" s="0" t="inlineStr">
        <is>
          <t xml:space="preserve">Participation des salariés</t>
        </is>
      </c>
      <c r="B21" s="12">
        <f>-SUMIFS(Comptes!$F$5:$F$42,Comptes!$H$5:$H$42,"PARTICIPATION")</f>
      </c>
      <c r="C21" s="18">
        <f>IF(B$5=0,0,B21/B$5)</f>
      </c>
      <c r="D21" s="12">
        <f>-SUMIFS(Comptes!$I$5:$I$42,Comptes!$K$5:$K$42,"PARTICIPATION")</f>
      </c>
      <c r="E21" s="18">
        <f>IF(D$5=0,0,D21/D$5)</f>
      </c>
    </row>
    <row r="22">
      <c r="A22" s="0" t="inlineStr">
        <is>
          <t xml:space="preserve">Impôt sur les sociétés</t>
        </is>
      </c>
      <c r="B22" s="12">
        <f>-SUMIFS(Comptes!$F$5:$F$42,Comptes!$H$5:$H$42,"IS")</f>
      </c>
      <c r="C22" s="18">
        <f>IF(B$5=0,0,B22/B$5)</f>
      </c>
      <c r="D22" s="12">
        <f>-SUMIFS(Comptes!$I$5:$I$42,Comptes!$K$5:$K$42,"IS")</f>
      </c>
      <c r="E22" s="18">
        <f>IF(D$5=0,0,D22/D$5)</f>
      </c>
    </row>
    <row r="23">
      <c r="A23" s="19" t="inlineStr">
        <is>
          <t xml:space="preserve">Résultat net</t>
        </is>
      </c>
      <c r="B23" s="20">
        <f>B19+B20+B21+B22</f>
      </c>
      <c r="C23" s="21">
        <f>IF(B$5=0,0,B23/B$5)</f>
      </c>
      <c r="D23" s="20">
        <f>D19+D20+D21+D22</f>
      </c>
      <c r="E23" s="21">
        <f>IF(D$5=0,0,D23/D$5)</f>
      </c>
    </row>
    <row r="25">
      <c r="A25" s="22" t="inlineStr">
        <is>
          <t xml:space="preserve">Contrôle : résultat net - résultat de la liasse (HN ou 310)</t>
        </is>
      </c>
    </row>
    <row r="27">
      <c r="A27" s="13" t="inlineStr">
        <is>
          <t xml:space="preserve">Variation du chiffre d'affaires</t>
        </is>
      </c>
    </row>
    <row r="28">
      <c r="A28" s="0" t="inlineStr">
        <is>
          <t xml:space="preserve">2024 → 2025</t>
        </is>
      </c>
      <c r="D28" s="23">
        <f>IF(B5=0,0,D5/B5-1)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48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</cols>
  <sheetData>
    <row r="1">
      <c r="A1" s="1" t="inlineStr">
        <is>
          <t xml:space="preserve">Compte de résultat économique mensuel</t>
        </is>
      </c>
    </row>
    <row r="2">
      <c r="A2" s="2" t="inlineStr">
        <is>
          <t xml:space="preserve">Comptabilité brute par mois. Les écritures de clôture (en-cours, provisions, charges à payer) et leurs extournes concentrent des montants sur le premier et le dernier mois : utiliser la ligne « hors clôture » pour les tendances.</t>
        </is>
      </c>
    </row>
    <row r="3">
      <c r="B3" s="7" t="inlineStr">
        <is>
          <t xml:space="preserve">2024</t>
        </is>
      </c>
      <c r="C3" s="7" t="inlineStr">
        <is>
          <t xml:space="preserve">2024</t>
        </is>
      </c>
      <c r="D3" s="7" t="inlineStr">
        <is>
          <t xml:space="preserve">2024</t>
        </is>
      </c>
      <c r="E3" s="7" t="inlineStr">
        <is>
          <t xml:space="preserve">2024</t>
        </is>
      </c>
      <c r="F3" s="7" t="inlineStr">
        <is>
          <t xml:space="preserve">2024</t>
        </is>
      </c>
      <c r="G3" s="7" t="inlineStr">
        <is>
          <t xml:space="preserve">2024</t>
        </is>
      </c>
      <c r="H3" s="7" t="inlineStr">
        <is>
          <t xml:space="preserve">2024</t>
        </is>
      </c>
      <c r="I3" s="7" t="inlineStr">
        <is>
          <t xml:space="preserve">2024</t>
        </is>
      </c>
      <c r="J3" s="7" t="inlineStr">
        <is>
          <t xml:space="preserve">2024</t>
        </is>
      </c>
      <c r="K3" s="7" t="inlineStr">
        <is>
          <t xml:space="preserve">2024</t>
        </is>
      </c>
      <c r="L3" s="7" t="inlineStr">
        <is>
          <t xml:space="preserve">2024</t>
        </is>
      </c>
      <c r="M3" s="7" t="inlineStr">
        <is>
          <t xml:space="preserve">2024</t>
        </is>
      </c>
      <c r="N3" s="7" t="inlineStr">
        <is>
          <t xml:space="preserve">2025</t>
        </is>
      </c>
      <c r="O3" s="7" t="inlineStr">
        <is>
          <t xml:space="preserve">2025</t>
        </is>
      </c>
      <c r="P3" s="7" t="inlineStr">
        <is>
          <t xml:space="preserve">2025</t>
        </is>
      </c>
      <c r="Q3" s="7" t="inlineStr">
        <is>
          <t xml:space="preserve">2025</t>
        </is>
      </c>
      <c r="R3" s="7" t="inlineStr">
        <is>
          <t xml:space="preserve">2025</t>
        </is>
      </c>
      <c r="S3" s="7" t="inlineStr">
        <is>
          <t xml:space="preserve">2025</t>
        </is>
      </c>
      <c r="T3" s="7" t="inlineStr">
        <is>
          <t xml:space="preserve">2025</t>
        </is>
      </c>
      <c r="U3" s="7" t="inlineStr">
        <is>
          <t xml:space="preserve">2025</t>
        </is>
      </c>
      <c r="V3" s="7" t="inlineStr">
        <is>
          <t xml:space="preserve">2025</t>
        </is>
      </c>
      <c r="W3" s="7" t="inlineStr">
        <is>
          <t xml:space="preserve">2025</t>
        </is>
      </c>
      <c r="X3" s="7" t="inlineStr">
        <is>
          <t xml:space="preserve">2025</t>
        </is>
      </c>
      <c r="Y3" s="7" t="inlineStr">
        <is>
          <t xml:space="preserve">2025</t>
        </is>
      </c>
    </row>
    <row r="4">
      <c r="A4" s="3" t="inlineStr">
        <is>
          <t xml:space="preserve">Agrégat</t>
        </is>
      </c>
      <c r="B4" s="3" t="inlineStr">
        <is>
          <t xml:space="preserve">2024-01</t>
        </is>
      </c>
      <c r="C4" s="3" t="inlineStr">
        <is>
          <t xml:space="preserve">2024-02</t>
        </is>
      </c>
      <c r="D4" s="3" t="inlineStr">
        <is>
          <t xml:space="preserve">2024-03</t>
        </is>
      </c>
      <c r="E4" s="3" t="inlineStr">
        <is>
          <t xml:space="preserve">2024-04</t>
        </is>
      </c>
      <c r="F4" s="3" t="inlineStr">
        <is>
          <t xml:space="preserve">2024-05</t>
        </is>
      </c>
      <c r="G4" s="3" t="inlineStr">
        <is>
          <t xml:space="preserve">2024-06</t>
        </is>
      </c>
      <c r="H4" s="3" t="inlineStr">
        <is>
          <t xml:space="preserve">2024-07</t>
        </is>
      </c>
      <c r="I4" s="3" t="inlineStr">
        <is>
          <t xml:space="preserve">2024-08</t>
        </is>
      </c>
      <c r="J4" s="3" t="inlineStr">
        <is>
          <t xml:space="preserve">2024-09</t>
        </is>
      </c>
      <c r="K4" s="3" t="inlineStr">
        <is>
          <t xml:space="preserve">2024-10</t>
        </is>
      </c>
      <c r="L4" s="3" t="inlineStr">
        <is>
          <t xml:space="preserve">2024-11</t>
        </is>
      </c>
      <c r="M4" s="3" t="inlineStr">
        <is>
          <t xml:space="preserve">2024-12</t>
        </is>
      </c>
      <c r="N4" s="3" t="inlineStr">
        <is>
          <t xml:space="preserve">2025-01</t>
        </is>
      </c>
      <c r="O4" s="3" t="inlineStr">
        <is>
          <t xml:space="preserve">2025-02</t>
        </is>
      </c>
      <c r="P4" s="3" t="inlineStr">
        <is>
          <t xml:space="preserve">2025-03</t>
        </is>
      </c>
      <c r="Q4" s="3" t="inlineStr">
        <is>
          <t xml:space="preserve">2025-04</t>
        </is>
      </c>
      <c r="R4" s="3" t="inlineStr">
        <is>
          <t xml:space="preserve">2025-05</t>
        </is>
      </c>
      <c r="S4" s="3" t="inlineStr">
        <is>
          <t xml:space="preserve">2025-06</t>
        </is>
      </c>
      <c r="T4" s="3" t="inlineStr">
        <is>
          <t xml:space="preserve">2025-07</t>
        </is>
      </c>
      <c r="U4" s="3" t="inlineStr">
        <is>
          <t xml:space="preserve">2025-08</t>
        </is>
      </c>
      <c r="V4" s="3" t="inlineStr">
        <is>
          <t xml:space="preserve">2025-09</t>
        </is>
      </c>
      <c r="W4" s="3" t="inlineStr">
        <is>
          <t xml:space="preserve">2025-10</t>
        </is>
      </c>
      <c r="X4" s="3" t="inlineStr">
        <is>
          <t xml:space="preserve">2025-11</t>
        </is>
      </c>
      <c r="Y4" s="3" t="inlineStr">
        <is>
          <t xml:space="preserve">2025-12</t>
        </is>
      </c>
    </row>
    <row r="5">
      <c r="A5" s="0" t="inlineStr">
        <is>
          <t xml:space="preserve">Chiffre d'affaires</t>
        </is>
      </c>
      <c r="B5" s="12">
        <f>-SUMIFS(FEC_2024!$M:$M,FEC_2024!$P:$P,"CA",FEC_2024!$N:$N,B$4)</f>
      </c>
      <c r="C5" s="12">
        <f>-SUMIFS(FEC_2024!$M:$M,FEC_2024!$P:$P,"CA",FEC_2024!$N:$N,C$4)</f>
      </c>
      <c r="D5" s="12">
        <f>-SUMIFS(FEC_2024!$M:$M,FEC_2024!$P:$P,"CA",FEC_2024!$N:$N,D$4)</f>
      </c>
      <c r="E5" s="12">
        <f>-SUMIFS(FEC_2024!$M:$M,FEC_2024!$P:$P,"CA",FEC_2024!$N:$N,E$4)</f>
      </c>
      <c r="F5" s="12">
        <f>-SUMIFS(FEC_2024!$M:$M,FEC_2024!$P:$P,"CA",FEC_2024!$N:$N,F$4)</f>
      </c>
      <c r="G5" s="12">
        <f>-SUMIFS(FEC_2024!$M:$M,FEC_2024!$P:$P,"CA",FEC_2024!$N:$N,G$4)</f>
      </c>
      <c r="H5" s="12">
        <f>-SUMIFS(FEC_2024!$M:$M,FEC_2024!$P:$P,"CA",FEC_2024!$N:$N,H$4)</f>
      </c>
      <c r="I5" s="12">
        <f>-SUMIFS(FEC_2024!$M:$M,FEC_2024!$P:$P,"CA",FEC_2024!$N:$N,I$4)</f>
      </c>
      <c r="J5" s="12">
        <f>-SUMIFS(FEC_2024!$M:$M,FEC_2024!$P:$P,"CA",FEC_2024!$N:$N,J$4)</f>
      </c>
      <c r="K5" s="12">
        <f>-SUMIFS(FEC_2024!$M:$M,FEC_2024!$P:$P,"CA",FEC_2024!$N:$N,K$4)</f>
      </c>
      <c r="L5" s="12">
        <f>-SUMIFS(FEC_2024!$M:$M,FEC_2024!$P:$P,"CA",FEC_2024!$N:$N,L$4)</f>
      </c>
      <c r="M5" s="12">
        <f>-SUMIFS(FEC_2024!$M:$M,FEC_2024!$P:$P,"CA",FEC_2024!$N:$N,M$4)</f>
      </c>
      <c r="N5" s="12">
        <f>-SUMIFS(FEC_2025!$M:$M,FEC_2025!$P:$P,"CA",FEC_2025!$N:$N,N$4)</f>
      </c>
      <c r="O5" s="12">
        <f>-SUMIFS(FEC_2025!$M:$M,FEC_2025!$P:$P,"CA",FEC_2025!$N:$N,O$4)</f>
      </c>
      <c r="P5" s="12">
        <f>-SUMIFS(FEC_2025!$M:$M,FEC_2025!$P:$P,"CA",FEC_2025!$N:$N,P$4)</f>
      </c>
      <c r="Q5" s="12">
        <f>-SUMIFS(FEC_2025!$M:$M,FEC_2025!$P:$P,"CA",FEC_2025!$N:$N,Q$4)</f>
      </c>
      <c r="R5" s="12">
        <f>-SUMIFS(FEC_2025!$M:$M,FEC_2025!$P:$P,"CA",FEC_2025!$N:$N,R$4)</f>
      </c>
      <c r="S5" s="12">
        <f>-SUMIFS(FEC_2025!$M:$M,FEC_2025!$P:$P,"CA",FEC_2025!$N:$N,S$4)</f>
      </c>
      <c r="T5" s="12">
        <f>-SUMIFS(FEC_2025!$M:$M,FEC_2025!$P:$P,"CA",FEC_2025!$N:$N,T$4)</f>
      </c>
      <c r="U5" s="12">
        <f>-SUMIFS(FEC_2025!$M:$M,FEC_2025!$P:$P,"CA",FEC_2025!$N:$N,U$4)</f>
      </c>
      <c r="V5" s="12">
        <f>-SUMIFS(FEC_2025!$M:$M,FEC_2025!$P:$P,"CA",FEC_2025!$N:$N,V$4)</f>
      </c>
      <c r="W5" s="12">
        <f>-SUMIFS(FEC_2025!$M:$M,FEC_2025!$P:$P,"CA",FEC_2025!$N:$N,W$4)</f>
      </c>
      <c r="X5" s="12">
        <f>-SUMIFS(FEC_2025!$M:$M,FEC_2025!$P:$P,"CA",FEC_2025!$N:$N,X$4)</f>
      </c>
      <c r="Y5" s="12">
        <f>-SUMIFS(FEC_2025!$M:$M,FEC_2025!$P:$P,"CA",FEC_2025!$N:$N,Y$4)</f>
      </c>
    </row>
    <row r="6">
      <c r="A6" s="0" t="inlineStr">
        <is>
          <t xml:space="preserve">Production stockée et immobilisée</t>
        </is>
      </c>
      <c r="B6" s="12">
        <f>-SUMIFS(FEC_2024!$M:$M,FEC_2024!$P:$P,"PRODUCTION_STOCKEE",FEC_2024!$N:$N,B$4)</f>
      </c>
      <c r="C6" s="12">
        <f>-SUMIFS(FEC_2024!$M:$M,FEC_2024!$P:$P,"PRODUCTION_STOCKEE",FEC_2024!$N:$N,C$4)</f>
      </c>
      <c r="D6" s="12">
        <f>-SUMIFS(FEC_2024!$M:$M,FEC_2024!$P:$P,"PRODUCTION_STOCKEE",FEC_2024!$N:$N,D$4)</f>
      </c>
      <c r="E6" s="12">
        <f>-SUMIFS(FEC_2024!$M:$M,FEC_2024!$P:$P,"PRODUCTION_STOCKEE",FEC_2024!$N:$N,E$4)</f>
      </c>
      <c r="F6" s="12">
        <f>-SUMIFS(FEC_2024!$M:$M,FEC_2024!$P:$P,"PRODUCTION_STOCKEE",FEC_2024!$N:$N,F$4)</f>
      </c>
      <c r="G6" s="12">
        <f>-SUMIFS(FEC_2024!$M:$M,FEC_2024!$P:$P,"PRODUCTION_STOCKEE",FEC_2024!$N:$N,G$4)</f>
      </c>
      <c r="H6" s="12">
        <f>-SUMIFS(FEC_2024!$M:$M,FEC_2024!$P:$P,"PRODUCTION_STOCKEE",FEC_2024!$N:$N,H$4)</f>
      </c>
      <c r="I6" s="12">
        <f>-SUMIFS(FEC_2024!$M:$M,FEC_2024!$P:$P,"PRODUCTION_STOCKEE",FEC_2024!$N:$N,I$4)</f>
      </c>
      <c r="J6" s="12">
        <f>-SUMIFS(FEC_2024!$M:$M,FEC_2024!$P:$P,"PRODUCTION_STOCKEE",FEC_2024!$N:$N,J$4)</f>
      </c>
      <c r="K6" s="12">
        <f>-SUMIFS(FEC_2024!$M:$M,FEC_2024!$P:$P,"PRODUCTION_STOCKEE",FEC_2024!$N:$N,K$4)</f>
      </c>
      <c r="L6" s="12">
        <f>-SUMIFS(FEC_2024!$M:$M,FEC_2024!$P:$P,"PRODUCTION_STOCKEE",FEC_2024!$N:$N,L$4)</f>
      </c>
      <c r="M6" s="12">
        <f>-SUMIFS(FEC_2024!$M:$M,FEC_2024!$P:$P,"PRODUCTION_STOCKEE",FEC_2024!$N:$N,M$4)</f>
      </c>
      <c r="N6" s="12">
        <f>-SUMIFS(FEC_2025!$M:$M,FEC_2025!$P:$P,"PRODUCTION_STOCKEE",FEC_2025!$N:$N,N$4)</f>
      </c>
      <c r="O6" s="12">
        <f>-SUMIFS(FEC_2025!$M:$M,FEC_2025!$P:$P,"PRODUCTION_STOCKEE",FEC_2025!$N:$N,O$4)</f>
      </c>
      <c r="P6" s="12">
        <f>-SUMIFS(FEC_2025!$M:$M,FEC_2025!$P:$P,"PRODUCTION_STOCKEE",FEC_2025!$N:$N,P$4)</f>
      </c>
      <c r="Q6" s="12">
        <f>-SUMIFS(FEC_2025!$M:$M,FEC_2025!$P:$P,"PRODUCTION_STOCKEE",FEC_2025!$N:$N,Q$4)</f>
      </c>
      <c r="R6" s="12">
        <f>-SUMIFS(FEC_2025!$M:$M,FEC_2025!$P:$P,"PRODUCTION_STOCKEE",FEC_2025!$N:$N,R$4)</f>
      </c>
      <c r="S6" s="12">
        <f>-SUMIFS(FEC_2025!$M:$M,FEC_2025!$P:$P,"PRODUCTION_STOCKEE",FEC_2025!$N:$N,S$4)</f>
      </c>
      <c r="T6" s="12">
        <f>-SUMIFS(FEC_2025!$M:$M,FEC_2025!$P:$P,"PRODUCTION_STOCKEE",FEC_2025!$N:$N,T$4)</f>
      </c>
      <c r="U6" s="12">
        <f>-SUMIFS(FEC_2025!$M:$M,FEC_2025!$P:$P,"PRODUCTION_STOCKEE",FEC_2025!$N:$N,U$4)</f>
      </c>
      <c r="V6" s="12">
        <f>-SUMIFS(FEC_2025!$M:$M,FEC_2025!$P:$P,"PRODUCTION_STOCKEE",FEC_2025!$N:$N,V$4)</f>
      </c>
      <c r="W6" s="12">
        <f>-SUMIFS(FEC_2025!$M:$M,FEC_2025!$P:$P,"PRODUCTION_STOCKEE",FEC_2025!$N:$N,W$4)</f>
      </c>
      <c r="X6" s="12">
        <f>-SUMIFS(FEC_2025!$M:$M,FEC_2025!$P:$P,"PRODUCTION_STOCKEE",FEC_2025!$N:$N,X$4)</f>
      </c>
      <c r="Y6" s="12">
        <f>-SUMIFS(FEC_2025!$M:$M,FEC_2025!$P:$P,"PRODUCTION_STOCKEE",FEC_2025!$N:$N,Y$4)</f>
      </c>
    </row>
    <row r="7">
      <c r="A7" s="0" t="inlineStr">
        <is>
          <t xml:space="preserve">Subventions et autres produits d'exploitation</t>
        </is>
      </c>
      <c r="B7" s="12">
        <f>-SUMIFS(FEC_2024!$M:$M,FEC_2024!$P:$P,"AUTRES_PRODUITS",FEC_2024!$N:$N,B$4)</f>
      </c>
      <c r="C7" s="12">
        <f>-SUMIFS(FEC_2024!$M:$M,FEC_2024!$P:$P,"AUTRES_PRODUITS",FEC_2024!$N:$N,C$4)</f>
      </c>
      <c r="D7" s="12">
        <f>-SUMIFS(FEC_2024!$M:$M,FEC_2024!$P:$P,"AUTRES_PRODUITS",FEC_2024!$N:$N,D$4)</f>
      </c>
      <c r="E7" s="12">
        <f>-SUMIFS(FEC_2024!$M:$M,FEC_2024!$P:$P,"AUTRES_PRODUITS",FEC_2024!$N:$N,E$4)</f>
      </c>
      <c r="F7" s="12">
        <f>-SUMIFS(FEC_2024!$M:$M,FEC_2024!$P:$P,"AUTRES_PRODUITS",FEC_2024!$N:$N,F$4)</f>
      </c>
      <c r="G7" s="12">
        <f>-SUMIFS(FEC_2024!$M:$M,FEC_2024!$P:$P,"AUTRES_PRODUITS",FEC_2024!$N:$N,G$4)</f>
      </c>
      <c r="H7" s="12">
        <f>-SUMIFS(FEC_2024!$M:$M,FEC_2024!$P:$P,"AUTRES_PRODUITS",FEC_2024!$N:$N,H$4)</f>
      </c>
      <c r="I7" s="12">
        <f>-SUMIFS(FEC_2024!$M:$M,FEC_2024!$P:$P,"AUTRES_PRODUITS",FEC_2024!$N:$N,I$4)</f>
      </c>
      <c r="J7" s="12">
        <f>-SUMIFS(FEC_2024!$M:$M,FEC_2024!$P:$P,"AUTRES_PRODUITS",FEC_2024!$N:$N,J$4)</f>
      </c>
      <c r="K7" s="12">
        <f>-SUMIFS(FEC_2024!$M:$M,FEC_2024!$P:$P,"AUTRES_PRODUITS",FEC_2024!$N:$N,K$4)</f>
      </c>
      <c r="L7" s="12">
        <f>-SUMIFS(FEC_2024!$M:$M,FEC_2024!$P:$P,"AUTRES_PRODUITS",FEC_2024!$N:$N,L$4)</f>
      </c>
      <c r="M7" s="12">
        <f>-SUMIFS(FEC_2024!$M:$M,FEC_2024!$P:$P,"AUTRES_PRODUITS",FEC_2024!$N:$N,M$4)</f>
      </c>
      <c r="N7" s="12">
        <f>-SUMIFS(FEC_2025!$M:$M,FEC_2025!$P:$P,"AUTRES_PRODUITS",FEC_2025!$N:$N,N$4)</f>
      </c>
      <c r="O7" s="12">
        <f>-SUMIFS(FEC_2025!$M:$M,FEC_2025!$P:$P,"AUTRES_PRODUITS",FEC_2025!$N:$N,O$4)</f>
      </c>
      <c r="P7" s="12">
        <f>-SUMIFS(FEC_2025!$M:$M,FEC_2025!$P:$P,"AUTRES_PRODUITS",FEC_2025!$N:$N,P$4)</f>
      </c>
      <c r="Q7" s="12">
        <f>-SUMIFS(FEC_2025!$M:$M,FEC_2025!$P:$P,"AUTRES_PRODUITS",FEC_2025!$N:$N,Q$4)</f>
      </c>
      <c r="R7" s="12">
        <f>-SUMIFS(FEC_2025!$M:$M,FEC_2025!$P:$P,"AUTRES_PRODUITS",FEC_2025!$N:$N,R$4)</f>
      </c>
      <c r="S7" s="12">
        <f>-SUMIFS(FEC_2025!$M:$M,FEC_2025!$P:$P,"AUTRES_PRODUITS",FEC_2025!$N:$N,S$4)</f>
      </c>
      <c r="T7" s="12">
        <f>-SUMIFS(FEC_2025!$M:$M,FEC_2025!$P:$P,"AUTRES_PRODUITS",FEC_2025!$N:$N,T$4)</f>
      </c>
      <c r="U7" s="12">
        <f>-SUMIFS(FEC_2025!$M:$M,FEC_2025!$P:$P,"AUTRES_PRODUITS",FEC_2025!$N:$N,U$4)</f>
      </c>
      <c r="V7" s="12">
        <f>-SUMIFS(FEC_2025!$M:$M,FEC_2025!$P:$P,"AUTRES_PRODUITS",FEC_2025!$N:$N,V$4)</f>
      </c>
      <c r="W7" s="12">
        <f>-SUMIFS(FEC_2025!$M:$M,FEC_2025!$P:$P,"AUTRES_PRODUITS",FEC_2025!$N:$N,W$4)</f>
      </c>
      <c r="X7" s="12">
        <f>-SUMIFS(FEC_2025!$M:$M,FEC_2025!$P:$P,"AUTRES_PRODUITS",FEC_2025!$N:$N,X$4)</f>
      </c>
      <c r="Y7" s="12">
        <f>-SUMIFS(FEC_2025!$M:$M,FEC_2025!$P:$P,"AUTRES_PRODUITS",FEC_2025!$N:$N,Y$4)</f>
      </c>
    </row>
    <row r="8">
      <c r="A8" s="19" t="inlineStr">
        <is>
          <t xml:space="preserve">Production</t>
        </is>
      </c>
      <c r="B8" s="20">
        <f>B5+B6+B7</f>
      </c>
      <c r="C8" s="20">
        <f>C5+C6+C7</f>
      </c>
      <c r="D8" s="20">
        <f>D5+D6+D7</f>
      </c>
      <c r="E8" s="20">
        <f>E5+E6+E7</f>
      </c>
      <c r="F8" s="20">
        <f>F5+F6+F7</f>
      </c>
      <c r="G8" s="20">
        <f>G5+G6+G7</f>
      </c>
      <c r="H8" s="20">
        <f>H5+H6+H7</f>
      </c>
      <c r="I8" s="20">
        <f>I5+I6+I7</f>
      </c>
      <c r="J8" s="20">
        <f>J5+J6+J7</f>
      </c>
      <c r="K8" s="20">
        <f>K5+K6+K7</f>
      </c>
      <c r="L8" s="20">
        <f>L5+L6+L7</f>
      </c>
      <c r="M8" s="20">
        <f>M5+M6+M7</f>
      </c>
      <c r="N8" s="20">
        <f>N5+N6+N7</f>
      </c>
      <c r="O8" s="20">
        <f>O5+O6+O7</f>
      </c>
      <c r="P8" s="20">
        <f>P5+P6+P7</f>
      </c>
      <c r="Q8" s="20">
        <f>Q5+Q6+Q7</f>
      </c>
      <c r="R8" s="20">
        <f>R5+R6+R7</f>
      </c>
      <c r="S8" s="20">
        <f>S5+S6+S7</f>
      </c>
      <c r="T8" s="20">
        <f>T5+T6+T7</f>
      </c>
      <c r="U8" s="20">
        <f>U5+U6+U7</f>
      </c>
      <c r="V8" s="20">
        <f>V5+V6+V7</f>
      </c>
      <c r="W8" s="20">
        <f>W5+W6+W7</f>
      </c>
      <c r="X8" s="20">
        <f>X5+X6+X7</f>
      </c>
      <c r="Y8" s="20">
        <f>Y5+Y6+Y7</f>
      </c>
    </row>
    <row r="9">
      <c r="A9" s="0" t="inlineStr">
        <is>
          <t xml:space="preserve">Coûts directs (achats consommés, sous-traitance)</t>
        </is>
      </c>
      <c r="B9" s="12">
        <f>-SUMIFS(FEC_2024!$M:$M,FEC_2024!$P:$P,"COUTS_DIRECTS",FEC_2024!$N:$N,B$4)</f>
      </c>
      <c r="C9" s="12">
        <f>-SUMIFS(FEC_2024!$M:$M,FEC_2024!$P:$P,"COUTS_DIRECTS",FEC_2024!$N:$N,C$4)</f>
      </c>
      <c r="D9" s="12">
        <f>-SUMIFS(FEC_2024!$M:$M,FEC_2024!$P:$P,"COUTS_DIRECTS",FEC_2024!$N:$N,D$4)</f>
      </c>
      <c r="E9" s="12">
        <f>-SUMIFS(FEC_2024!$M:$M,FEC_2024!$P:$P,"COUTS_DIRECTS",FEC_2024!$N:$N,E$4)</f>
      </c>
      <c r="F9" s="12">
        <f>-SUMIFS(FEC_2024!$M:$M,FEC_2024!$P:$P,"COUTS_DIRECTS",FEC_2024!$N:$N,F$4)</f>
      </c>
      <c r="G9" s="12">
        <f>-SUMIFS(FEC_2024!$M:$M,FEC_2024!$P:$P,"COUTS_DIRECTS",FEC_2024!$N:$N,G$4)</f>
      </c>
      <c r="H9" s="12">
        <f>-SUMIFS(FEC_2024!$M:$M,FEC_2024!$P:$P,"COUTS_DIRECTS",FEC_2024!$N:$N,H$4)</f>
      </c>
      <c r="I9" s="12">
        <f>-SUMIFS(FEC_2024!$M:$M,FEC_2024!$P:$P,"COUTS_DIRECTS",FEC_2024!$N:$N,I$4)</f>
      </c>
      <c r="J9" s="12">
        <f>-SUMIFS(FEC_2024!$M:$M,FEC_2024!$P:$P,"COUTS_DIRECTS",FEC_2024!$N:$N,J$4)</f>
      </c>
      <c r="K9" s="12">
        <f>-SUMIFS(FEC_2024!$M:$M,FEC_2024!$P:$P,"COUTS_DIRECTS",FEC_2024!$N:$N,K$4)</f>
      </c>
      <c r="L9" s="12">
        <f>-SUMIFS(FEC_2024!$M:$M,FEC_2024!$P:$P,"COUTS_DIRECTS",FEC_2024!$N:$N,L$4)</f>
      </c>
      <c r="M9" s="12">
        <f>-SUMIFS(FEC_2024!$M:$M,FEC_2024!$P:$P,"COUTS_DIRECTS",FEC_2024!$N:$N,M$4)</f>
      </c>
      <c r="N9" s="12">
        <f>-SUMIFS(FEC_2025!$M:$M,FEC_2025!$P:$P,"COUTS_DIRECTS",FEC_2025!$N:$N,N$4)</f>
      </c>
      <c r="O9" s="12">
        <f>-SUMIFS(FEC_2025!$M:$M,FEC_2025!$P:$P,"COUTS_DIRECTS",FEC_2025!$N:$N,O$4)</f>
      </c>
      <c r="P9" s="12">
        <f>-SUMIFS(FEC_2025!$M:$M,FEC_2025!$P:$P,"COUTS_DIRECTS",FEC_2025!$N:$N,P$4)</f>
      </c>
      <c r="Q9" s="12">
        <f>-SUMIFS(FEC_2025!$M:$M,FEC_2025!$P:$P,"COUTS_DIRECTS",FEC_2025!$N:$N,Q$4)</f>
      </c>
      <c r="R9" s="12">
        <f>-SUMIFS(FEC_2025!$M:$M,FEC_2025!$P:$P,"COUTS_DIRECTS",FEC_2025!$N:$N,R$4)</f>
      </c>
      <c r="S9" s="12">
        <f>-SUMIFS(FEC_2025!$M:$M,FEC_2025!$P:$P,"COUTS_DIRECTS",FEC_2025!$N:$N,S$4)</f>
      </c>
      <c r="T9" s="12">
        <f>-SUMIFS(FEC_2025!$M:$M,FEC_2025!$P:$P,"COUTS_DIRECTS",FEC_2025!$N:$N,T$4)</f>
      </c>
      <c r="U9" s="12">
        <f>-SUMIFS(FEC_2025!$M:$M,FEC_2025!$P:$P,"COUTS_DIRECTS",FEC_2025!$N:$N,U$4)</f>
      </c>
      <c r="V9" s="12">
        <f>-SUMIFS(FEC_2025!$M:$M,FEC_2025!$P:$P,"COUTS_DIRECTS",FEC_2025!$N:$N,V$4)</f>
      </c>
      <c r="W9" s="12">
        <f>-SUMIFS(FEC_2025!$M:$M,FEC_2025!$P:$P,"COUTS_DIRECTS",FEC_2025!$N:$N,W$4)</f>
      </c>
      <c r="X9" s="12">
        <f>-SUMIFS(FEC_2025!$M:$M,FEC_2025!$P:$P,"COUTS_DIRECTS",FEC_2025!$N:$N,X$4)</f>
      </c>
      <c r="Y9" s="12">
        <f>-SUMIFS(FEC_2025!$M:$M,FEC_2025!$P:$P,"COUTS_DIRECTS",FEC_2025!$N:$N,Y$4)</f>
      </c>
    </row>
    <row r="10">
      <c r="A10" s="19" t="inlineStr">
        <is>
          <t xml:space="preserve">Marge brute</t>
        </is>
      </c>
      <c r="B10" s="20">
        <f>B8+B9</f>
      </c>
      <c r="C10" s="20">
        <f>C8+C9</f>
      </c>
      <c r="D10" s="20">
        <f>D8+D9</f>
      </c>
      <c r="E10" s="20">
        <f>E8+E9</f>
      </c>
      <c r="F10" s="20">
        <f>F8+F9</f>
      </c>
      <c r="G10" s="20">
        <f>G8+G9</f>
      </c>
      <c r="H10" s="20">
        <f>H8+H9</f>
      </c>
      <c r="I10" s="20">
        <f>I8+I9</f>
      </c>
      <c r="J10" s="20">
        <f>J8+J9</f>
      </c>
      <c r="K10" s="20">
        <f>K8+K9</f>
      </c>
      <c r="L10" s="20">
        <f>L8+L9</f>
      </c>
      <c r="M10" s="20">
        <f>M8+M9</f>
      </c>
      <c r="N10" s="20">
        <f>N8+N9</f>
      </c>
      <c r="O10" s="20">
        <f>O8+O9</f>
      </c>
      <c r="P10" s="20">
        <f>P8+P9</f>
      </c>
      <c r="Q10" s="20">
        <f>Q8+Q9</f>
      </c>
      <c r="R10" s="20">
        <f>R8+R9</f>
      </c>
      <c r="S10" s="20">
        <f>S8+S9</f>
      </c>
      <c r="T10" s="20">
        <f>T8+T9</f>
      </c>
      <c r="U10" s="20">
        <f>U8+U9</f>
      </c>
      <c r="V10" s="20">
        <f>V8+V9</f>
      </c>
      <c r="W10" s="20">
        <f>W8+W9</f>
      </c>
      <c r="X10" s="20">
        <f>X8+X9</f>
      </c>
      <c r="Y10" s="20">
        <f>Y8+Y9</f>
      </c>
    </row>
    <row r="11">
      <c r="A11" s="0" t="inlineStr">
        <is>
          <t xml:space="preserve">Charges externes</t>
        </is>
      </c>
      <c r="B11" s="12">
        <f>-SUMIFS(FEC_2024!$M:$M,FEC_2024!$P:$P,"CHARGES_EXTERNES",FEC_2024!$N:$N,B$4)</f>
      </c>
      <c r="C11" s="12">
        <f>-SUMIFS(FEC_2024!$M:$M,FEC_2024!$P:$P,"CHARGES_EXTERNES",FEC_2024!$N:$N,C$4)</f>
      </c>
      <c r="D11" s="12">
        <f>-SUMIFS(FEC_2024!$M:$M,FEC_2024!$P:$P,"CHARGES_EXTERNES",FEC_2024!$N:$N,D$4)</f>
      </c>
      <c r="E11" s="12">
        <f>-SUMIFS(FEC_2024!$M:$M,FEC_2024!$P:$P,"CHARGES_EXTERNES",FEC_2024!$N:$N,E$4)</f>
      </c>
      <c r="F11" s="12">
        <f>-SUMIFS(FEC_2024!$M:$M,FEC_2024!$P:$P,"CHARGES_EXTERNES",FEC_2024!$N:$N,F$4)</f>
      </c>
      <c r="G11" s="12">
        <f>-SUMIFS(FEC_2024!$M:$M,FEC_2024!$P:$P,"CHARGES_EXTERNES",FEC_2024!$N:$N,G$4)</f>
      </c>
      <c r="H11" s="12">
        <f>-SUMIFS(FEC_2024!$M:$M,FEC_2024!$P:$P,"CHARGES_EXTERNES",FEC_2024!$N:$N,H$4)</f>
      </c>
      <c r="I11" s="12">
        <f>-SUMIFS(FEC_2024!$M:$M,FEC_2024!$P:$P,"CHARGES_EXTERNES",FEC_2024!$N:$N,I$4)</f>
      </c>
      <c r="J11" s="12">
        <f>-SUMIFS(FEC_2024!$M:$M,FEC_2024!$P:$P,"CHARGES_EXTERNES",FEC_2024!$N:$N,J$4)</f>
      </c>
      <c r="K11" s="12">
        <f>-SUMIFS(FEC_2024!$M:$M,FEC_2024!$P:$P,"CHARGES_EXTERNES",FEC_2024!$N:$N,K$4)</f>
      </c>
      <c r="L11" s="12">
        <f>-SUMIFS(FEC_2024!$M:$M,FEC_2024!$P:$P,"CHARGES_EXTERNES",FEC_2024!$N:$N,L$4)</f>
      </c>
      <c r="M11" s="12">
        <f>-SUMIFS(FEC_2024!$M:$M,FEC_2024!$P:$P,"CHARGES_EXTERNES",FEC_2024!$N:$N,M$4)</f>
      </c>
      <c r="N11" s="12">
        <f>-SUMIFS(FEC_2025!$M:$M,FEC_2025!$P:$P,"CHARGES_EXTERNES",FEC_2025!$N:$N,N$4)</f>
      </c>
      <c r="O11" s="12">
        <f>-SUMIFS(FEC_2025!$M:$M,FEC_2025!$P:$P,"CHARGES_EXTERNES",FEC_2025!$N:$N,O$4)</f>
      </c>
      <c r="P11" s="12">
        <f>-SUMIFS(FEC_2025!$M:$M,FEC_2025!$P:$P,"CHARGES_EXTERNES",FEC_2025!$N:$N,P$4)</f>
      </c>
      <c r="Q11" s="12">
        <f>-SUMIFS(FEC_2025!$M:$M,FEC_2025!$P:$P,"CHARGES_EXTERNES",FEC_2025!$N:$N,Q$4)</f>
      </c>
      <c r="R11" s="12">
        <f>-SUMIFS(FEC_2025!$M:$M,FEC_2025!$P:$P,"CHARGES_EXTERNES",FEC_2025!$N:$N,R$4)</f>
      </c>
      <c r="S11" s="12">
        <f>-SUMIFS(FEC_2025!$M:$M,FEC_2025!$P:$P,"CHARGES_EXTERNES",FEC_2025!$N:$N,S$4)</f>
      </c>
      <c r="T11" s="12">
        <f>-SUMIFS(FEC_2025!$M:$M,FEC_2025!$P:$P,"CHARGES_EXTERNES",FEC_2025!$N:$N,T$4)</f>
      </c>
      <c r="U11" s="12">
        <f>-SUMIFS(FEC_2025!$M:$M,FEC_2025!$P:$P,"CHARGES_EXTERNES",FEC_2025!$N:$N,U$4)</f>
      </c>
      <c r="V11" s="12">
        <f>-SUMIFS(FEC_2025!$M:$M,FEC_2025!$P:$P,"CHARGES_EXTERNES",FEC_2025!$N:$N,V$4)</f>
      </c>
      <c r="W11" s="12">
        <f>-SUMIFS(FEC_2025!$M:$M,FEC_2025!$P:$P,"CHARGES_EXTERNES",FEC_2025!$N:$N,W$4)</f>
      </c>
      <c r="X11" s="12">
        <f>-SUMIFS(FEC_2025!$M:$M,FEC_2025!$P:$P,"CHARGES_EXTERNES",FEC_2025!$N:$N,X$4)</f>
      </c>
      <c r="Y11" s="12">
        <f>-SUMIFS(FEC_2025!$M:$M,FEC_2025!$P:$P,"CHARGES_EXTERNES",FEC_2025!$N:$N,Y$4)</f>
      </c>
    </row>
    <row r="12">
      <c r="A12" s="0" t="inlineStr">
        <is>
          <t xml:space="preserve">Impôts et taxes</t>
        </is>
      </c>
      <c r="B12" s="12">
        <f>-SUMIFS(FEC_2024!$M:$M,FEC_2024!$P:$P,"IMPOTS_TAXES",FEC_2024!$N:$N,B$4)</f>
      </c>
      <c r="C12" s="12">
        <f>-SUMIFS(FEC_2024!$M:$M,FEC_2024!$P:$P,"IMPOTS_TAXES",FEC_2024!$N:$N,C$4)</f>
      </c>
      <c r="D12" s="12">
        <f>-SUMIFS(FEC_2024!$M:$M,FEC_2024!$P:$P,"IMPOTS_TAXES",FEC_2024!$N:$N,D$4)</f>
      </c>
      <c r="E12" s="12">
        <f>-SUMIFS(FEC_2024!$M:$M,FEC_2024!$P:$P,"IMPOTS_TAXES",FEC_2024!$N:$N,E$4)</f>
      </c>
      <c r="F12" s="12">
        <f>-SUMIFS(FEC_2024!$M:$M,FEC_2024!$P:$P,"IMPOTS_TAXES",FEC_2024!$N:$N,F$4)</f>
      </c>
      <c r="G12" s="12">
        <f>-SUMIFS(FEC_2024!$M:$M,FEC_2024!$P:$P,"IMPOTS_TAXES",FEC_2024!$N:$N,G$4)</f>
      </c>
      <c r="H12" s="12">
        <f>-SUMIFS(FEC_2024!$M:$M,FEC_2024!$P:$P,"IMPOTS_TAXES",FEC_2024!$N:$N,H$4)</f>
      </c>
      <c r="I12" s="12">
        <f>-SUMIFS(FEC_2024!$M:$M,FEC_2024!$P:$P,"IMPOTS_TAXES",FEC_2024!$N:$N,I$4)</f>
      </c>
      <c r="J12" s="12">
        <f>-SUMIFS(FEC_2024!$M:$M,FEC_2024!$P:$P,"IMPOTS_TAXES",FEC_2024!$N:$N,J$4)</f>
      </c>
      <c r="K12" s="12">
        <f>-SUMIFS(FEC_2024!$M:$M,FEC_2024!$P:$P,"IMPOTS_TAXES",FEC_2024!$N:$N,K$4)</f>
      </c>
      <c r="L12" s="12">
        <f>-SUMIFS(FEC_2024!$M:$M,FEC_2024!$P:$P,"IMPOTS_TAXES",FEC_2024!$N:$N,L$4)</f>
      </c>
      <c r="M12" s="12">
        <f>-SUMIFS(FEC_2024!$M:$M,FEC_2024!$P:$P,"IMPOTS_TAXES",FEC_2024!$N:$N,M$4)</f>
      </c>
      <c r="N12" s="12">
        <f>-SUMIFS(FEC_2025!$M:$M,FEC_2025!$P:$P,"IMPOTS_TAXES",FEC_2025!$N:$N,N$4)</f>
      </c>
      <c r="O12" s="12">
        <f>-SUMIFS(FEC_2025!$M:$M,FEC_2025!$P:$P,"IMPOTS_TAXES",FEC_2025!$N:$N,O$4)</f>
      </c>
      <c r="P12" s="12">
        <f>-SUMIFS(FEC_2025!$M:$M,FEC_2025!$P:$P,"IMPOTS_TAXES",FEC_2025!$N:$N,P$4)</f>
      </c>
      <c r="Q12" s="12">
        <f>-SUMIFS(FEC_2025!$M:$M,FEC_2025!$P:$P,"IMPOTS_TAXES",FEC_2025!$N:$N,Q$4)</f>
      </c>
      <c r="R12" s="12">
        <f>-SUMIFS(FEC_2025!$M:$M,FEC_2025!$P:$P,"IMPOTS_TAXES",FEC_2025!$N:$N,R$4)</f>
      </c>
      <c r="S12" s="12">
        <f>-SUMIFS(FEC_2025!$M:$M,FEC_2025!$P:$P,"IMPOTS_TAXES",FEC_2025!$N:$N,S$4)</f>
      </c>
      <c r="T12" s="12">
        <f>-SUMIFS(FEC_2025!$M:$M,FEC_2025!$P:$P,"IMPOTS_TAXES",FEC_2025!$N:$N,T$4)</f>
      </c>
      <c r="U12" s="12">
        <f>-SUMIFS(FEC_2025!$M:$M,FEC_2025!$P:$P,"IMPOTS_TAXES",FEC_2025!$N:$N,U$4)</f>
      </c>
      <c r="V12" s="12">
        <f>-SUMIFS(FEC_2025!$M:$M,FEC_2025!$P:$P,"IMPOTS_TAXES",FEC_2025!$N:$N,V$4)</f>
      </c>
      <c r="W12" s="12">
        <f>-SUMIFS(FEC_2025!$M:$M,FEC_2025!$P:$P,"IMPOTS_TAXES",FEC_2025!$N:$N,W$4)</f>
      </c>
      <c r="X12" s="12">
        <f>-SUMIFS(FEC_2025!$M:$M,FEC_2025!$P:$P,"IMPOTS_TAXES",FEC_2025!$N:$N,X$4)</f>
      </c>
      <c r="Y12" s="12">
        <f>-SUMIFS(FEC_2025!$M:$M,FEC_2025!$P:$P,"IMPOTS_TAXES",FEC_2025!$N:$N,Y$4)</f>
      </c>
    </row>
    <row r="13">
      <c r="A13" s="0" t="inlineStr">
        <is>
          <t xml:space="preserve">Frais de personnel</t>
        </is>
      </c>
      <c r="B13" s="12">
        <f>-SUMIFS(FEC_2024!$M:$M,FEC_2024!$P:$P,"PERSONNEL",FEC_2024!$N:$N,B$4)</f>
      </c>
      <c r="C13" s="12">
        <f>-SUMIFS(FEC_2024!$M:$M,FEC_2024!$P:$P,"PERSONNEL",FEC_2024!$N:$N,C$4)</f>
      </c>
      <c r="D13" s="12">
        <f>-SUMIFS(FEC_2024!$M:$M,FEC_2024!$P:$P,"PERSONNEL",FEC_2024!$N:$N,D$4)</f>
      </c>
      <c r="E13" s="12">
        <f>-SUMIFS(FEC_2024!$M:$M,FEC_2024!$P:$P,"PERSONNEL",FEC_2024!$N:$N,E$4)</f>
      </c>
      <c r="F13" s="12">
        <f>-SUMIFS(FEC_2024!$M:$M,FEC_2024!$P:$P,"PERSONNEL",FEC_2024!$N:$N,F$4)</f>
      </c>
      <c r="G13" s="12">
        <f>-SUMIFS(FEC_2024!$M:$M,FEC_2024!$P:$P,"PERSONNEL",FEC_2024!$N:$N,G$4)</f>
      </c>
      <c r="H13" s="12">
        <f>-SUMIFS(FEC_2024!$M:$M,FEC_2024!$P:$P,"PERSONNEL",FEC_2024!$N:$N,H$4)</f>
      </c>
      <c r="I13" s="12">
        <f>-SUMIFS(FEC_2024!$M:$M,FEC_2024!$P:$P,"PERSONNEL",FEC_2024!$N:$N,I$4)</f>
      </c>
      <c r="J13" s="12">
        <f>-SUMIFS(FEC_2024!$M:$M,FEC_2024!$P:$P,"PERSONNEL",FEC_2024!$N:$N,J$4)</f>
      </c>
      <c r="K13" s="12">
        <f>-SUMIFS(FEC_2024!$M:$M,FEC_2024!$P:$P,"PERSONNEL",FEC_2024!$N:$N,K$4)</f>
      </c>
      <c r="L13" s="12">
        <f>-SUMIFS(FEC_2024!$M:$M,FEC_2024!$P:$P,"PERSONNEL",FEC_2024!$N:$N,L$4)</f>
      </c>
      <c r="M13" s="12">
        <f>-SUMIFS(FEC_2024!$M:$M,FEC_2024!$P:$P,"PERSONNEL",FEC_2024!$N:$N,M$4)</f>
      </c>
      <c r="N13" s="12">
        <f>-SUMIFS(FEC_2025!$M:$M,FEC_2025!$P:$P,"PERSONNEL",FEC_2025!$N:$N,N$4)</f>
      </c>
      <c r="O13" s="12">
        <f>-SUMIFS(FEC_2025!$M:$M,FEC_2025!$P:$P,"PERSONNEL",FEC_2025!$N:$N,O$4)</f>
      </c>
      <c r="P13" s="12">
        <f>-SUMIFS(FEC_2025!$M:$M,FEC_2025!$P:$P,"PERSONNEL",FEC_2025!$N:$N,P$4)</f>
      </c>
      <c r="Q13" s="12">
        <f>-SUMIFS(FEC_2025!$M:$M,FEC_2025!$P:$P,"PERSONNEL",FEC_2025!$N:$N,Q$4)</f>
      </c>
      <c r="R13" s="12">
        <f>-SUMIFS(FEC_2025!$M:$M,FEC_2025!$P:$P,"PERSONNEL",FEC_2025!$N:$N,R$4)</f>
      </c>
      <c r="S13" s="12">
        <f>-SUMIFS(FEC_2025!$M:$M,FEC_2025!$P:$P,"PERSONNEL",FEC_2025!$N:$N,S$4)</f>
      </c>
      <c r="T13" s="12">
        <f>-SUMIFS(FEC_2025!$M:$M,FEC_2025!$P:$P,"PERSONNEL",FEC_2025!$N:$N,T$4)</f>
      </c>
      <c r="U13" s="12">
        <f>-SUMIFS(FEC_2025!$M:$M,FEC_2025!$P:$P,"PERSONNEL",FEC_2025!$N:$N,U$4)</f>
      </c>
      <c r="V13" s="12">
        <f>-SUMIFS(FEC_2025!$M:$M,FEC_2025!$P:$P,"PERSONNEL",FEC_2025!$N:$N,V$4)</f>
      </c>
      <c r="W13" s="12">
        <f>-SUMIFS(FEC_2025!$M:$M,FEC_2025!$P:$P,"PERSONNEL",FEC_2025!$N:$N,W$4)</f>
      </c>
      <c r="X13" s="12">
        <f>-SUMIFS(FEC_2025!$M:$M,FEC_2025!$P:$P,"PERSONNEL",FEC_2025!$N:$N,X$4)</f>
      </c>
      <c r="Y13" s="12">
        <f>-SUMIFS(FEC_2025!$M:$M,FEC_2025!$P:$P,"PERSONNEL",FEC_2025!$N:$N,Y$4)</f>
      </c>
    </row>
    <row r="14">
      <c r="A14" s="0" t="inlineStr">
        <is>
          <t xml:space="preserve">Autres charges de gestion</t>
        </is>
      </c>
      <c r="B14" s="12">
        <f>-SUMIFS(FEC_2024!$M:$M,FEC_2024!$P:$P,"AUTRES_CHARGES",FEC_2024!$N:$N,B$4)</f>
      </c>
      <c r="C14" s="12">
        <f>-SUMIFS(FEC_2024!$M:$M,FEC_2024!$P:$P,"AUTRES_CHARGES",FEC_2024!$N:$N,C$4)</f>
      </c>
      <c r="D14" s="12">
        <f>-SUMIFS(FEC_2024!$M:$M,FEC_2024!$P:$P,"AUTRES_CHARGES",FEC_2024!$N:$N,D$4)</f>
      </c>
      <c r="E14" s="12">
        <f>-SUMIFS(FEC_2024!$M:$M,FEC_2024!$P:$P,"AUTRES_CHARGES",FEC_2024!$N:$N,E$4)</f>
      </c>
      <c r="F14" s="12">
        <f>-SUMIFS(FEC_2024!$M:$M,FEC_2024!$P:$P,"AUTRES_CHARGES",FEC_2024!$N:$N,F$4)</f>
      </c>
      <c r="G14" s="12">
        <f>-SUMIFS(FEC_2024!$M:$M,FEC_2024!$P:$P,"AUTRES_CHARGES",FEC_2024!$N:$N,G$4)</f>
      </c>
      <c r="H14" s="12">
        <f>-SUMIFS(FEC_2024!$M:$M,FEC_2024!$P:$P,"AUTRES_CHARGES",FEC_2024!$N:$N,H$4)</f>
      </c>
      <c r="I14" s="12">
        <f>-SUMIFS(FEC_2024!$M:$M,FEC_2024!$P:$P,"AUTRES_CHARGES",FEC_2024!$N:$N,I$4)</f>
      </c>
      <c r="J14" s="12">
        <f>-SUMIFS(FEC_2024!$M:$M,FEC_2024!$P:$P,"AUTRES_CHARGES",FEC_2024!$N:$N,J$4)</f>
      </c>
      <c r="K14" s="12">
        <f>-SUMIFS(FEC_2024!$M:$M,FEC_2024!$P:$P,"AUTRES_CHARGES",FEC_2024!$N:$N,K$4)</f>
      </c>
      <c r="L14" s="12">
        <f>-SUMIFS(FEC_2024!$M:$M,FEC_2024!$P:$P,"AUTRES_CHARGES",FEC_2024!$N:$N,L$4)</f>
      </c>
      <c r="M14" s="12">
        <f>-SUMIFS(FEC_2024!$M:$M,FEC_2024!$P:$P,"AUTRES_CHARGES",FEC_2024!$N:$N,M$4)</f>
      </c>
      <c r="N14" s="12">
        <f>-SUMIFS(FEC_2025!$M:$M,FEC_2025!$P:$P,"AUTRES_CHARGES",FEC_2025!$N:$N,N$4)</f>
      </c>
      <c r="O14" s="12">
        <f>-SUMIFS(FEC_2025!$M:$M,FEC_2025!$P:$P,"AUTRES_CHARGES",FEC_2025!$N:$N,O$4)</f>
      </c>
      <c r="P14" s="12">
        <f>-SUMIFS(FEC_2025!$M:$M,FEC_2025!$P:$P,"AUTRES_CHARGES",FEC_2025!$N:$N,P$4)</f>
      </c>
      <c r="Q14" s="12">
        <f>-SUMIFS(FEC_2025!$M:$M,FEC_2025!$P:$P,"AUTRES_CHARGES",FEC_2025!$N:$N,Q$4)</f>
      </c>
      <c r="R14" s="12">
        <f>-SUMIFS(FEC_2025!$M:$M,FEC_2025!$P:$P,"AUTRES_CHARGES",FEC_2025!$N:$N,R$4)</f>
      </c>
      <c r="S14" s="12">
        <f>-SUMIFS(FEC_2025!$M:$M,FEC_2025!$P:$P,"AUTRES_CHARGES",FEC_2025!$N:$N,S$4)</f>
      </c>
      <c r="T14" s="12">
        <f>-SUMIFS(FEC_2025!$M:$M,FEC_2025!$P:$P,"AUTRES_CHARGES",FEC_2025!$N:$N,T$4)</f>
      </c>
      <c r="U14" s="12">
        <f>-SUMIFS(FEC_2025!$M:$M,FEC_2025!$P:$P,"AUTRES_CHARGES",FEC_2025!$N:$N,U$4)</f>
      </c>
      <c r="V14" s="12">
        <f>-SUMIFS(FEC_2025!$M:$M,FEC_2025!$P:$P,"AUTRES_CHARGES",FEC_2025!$N:$N,V$4)</f>
      </c>
      <c r="W14" s="12">
        <f>-SUMIFS(FEC_2025!$M:$M,FEC_2025!$P:$P,"AUTRES_CHARGES",FEC_2025!$N:$N,W$4)</f>
      </c>
      <c r="X14" s="12">
        <f>-SUMIFS(FEC_2025!$M:$M,FEC_2025!$P:$P,"AUTRES_CHARGES",FEC_2025!$N:$N,X$4)</f>
      </c>
      <c r="Y14" s="12">
        <f>-SUMIFS(FEC_2025!$M:$M,FEC_2025!$P:$P,"AUTRES_CHARGES",FEC_2025!$N:$N,Y$4)</f>
      </c>
    </row>
    <row r="15">
      <c r="A15" s="19" t="inlineStr">
        <is>
          <t xml:space="preserve">EBITDA (EBE retraité)</t>
        </is>
      </c>
      <c r="B15" s="20">
        <f>B10+B11+B12+B13+B14</f>
      </c>
      <c r="C15" s="20">
        <f>C10+C11+C12+C13+C14</f>
      </c>
      <c r="D15" s="20">
        <f>D10+D11+D12+D13+D14</f>
      </c>
      <c r="E15" s="20">
        <f>E10+E11+E12+E13+E14</f>
      </c>
      <c r="F15" s="20">
        <f>F10+F11+F12+F13+F14</f>
      </c>
      <c r="G15" s="20">
        <f>G10+G11+G12+G13+G14</f>
      </c>
      <c r="H15" s="20">
        <f>H10+H11+H12+H13+H14</f>
      </c>
      <c r="I15" s="20">
        <f>I10+I11+I12+I13+I14</f>
      </c>
      <c r="J15" s="20">
        <f>J10+J11+J12+J13+J14</f>
      </c>
      <c r="K15" s="20">
        <f>K10+K11+K12+K13+K14</f>
      </c>
      <c r="L15" s="20">
        <f>L10+L11+L12+L13+L14</f>
      </c>
      <c r="M15" s="20">
        <f>M10+M11+M12+M13+M14</f>
      </c>
      <c r="N15" s="20">
        <f>N10+N11+N12+N13+N14</f>
      </c>
      <c r="O15" s="20">
        <f>O10+O11+O12+O13+O14</f>
      </c>
      <c r="P15" s="20">
        <f>P10+P11+P12+P13+P14</f>
      </c>
      <c r="Q15" s="20">
        <f>Q10+Q11+Q12+Q13+Q14</f>
      </c>
      <c r="R15" s="20">
        <f>R10+R11+R12+R13+R14</f>
      </c>
      <c r="S15" s="20">
        <f>S10+S11+S12+S13+S14</f>
      </c>
      <c r="T15" s="20">
        <f>T10+T11+T12+T13+T14</f>
      </c>
      <c r="U15" s="20">
        <f>U10+U11+U12+U13+U14</f>
      </c>
      <c r="V15" s="20">
        <f>V10+V11+V12+V13+V14</f>
      </c>
      <c r="W15" s="20">
        <f>W10+W11+W12+W13+W14</f>
      </c>
      <c r="X15" s="20">
        <f>X10+X11+X12+X13+X14</f>
      </c>
      <c r="Y15" s="20">
        <f>Y10+Y11+Y12+Y13+Y14</f>
      </c>
    </row>
    <row r="16">
      <c r="A16" s="0" t="inlineStr">
        <is>
          <t xml:space="preserve">Dotations nettes aux amortissements et provisions</t>
        </is>
      </c>
      <c r="B16" s="12">
        <f>-SUMIFS(FEC_2024!$M:$M,FEC_2024!$P:$P,"DAP_NETTES",FEC_2024!$N:$N,B$4)</f>
      </c>
      <c r="C16" s="12">
        <f>-SUMIFS(FEC_2024!$M:$M,FEC_2024!$P:$P,"DAP_NETTES",FEC_2024!$N:$N,C$4)</f>
      </c>
      <c r="D16" s="12">
        <f>-SUMIFS(FEC_2024!$M:$M,FEC_2024!$P:$P,"DAP_NETTES",FEC_2024!$N:$N,D$4)</f>
      </c>
      <c r="E16" s="12">
        <f>-SUMIFS(FEC_2024!$M:$M,FEC_2024!$P:$P,"DAP_NETTES",FEC_2024!$N:$N,E$4)</f>
      </c>
      <c r="F16" s="12">
        <f>-SUMIFS(FEC_2024!$M:$M,FEC_2024!$P:$P,"DAP_NETTES",FEC_2024!$N:$N,F$4)</f>
      </c>
      <c r="G16" s="12">
        <f>-SUMIFS(FEC_2024!$M:$M,FEC_2024!$P:$P,"DAP_NETTES",FEC_2024!$N:$N,G$4)</f>
      </c>
      <c r="H16" s="12">
        <f>-SUMIFS(FEC_2024!$M:$M,FEC_2024!$P:$P,"DAP_NETTES",FEC_2024!$N:$N,H$4)</f>
      </c>
      <c r="I16" s="12">
        <f>-SUMIFS(FEC_2024!$M:$M,FEC_2024!$P:$P,"DAP_NETTES",FEC_2024!$N:$N,I$4)</f>
      </c>
      <c r="J16" s="12">
        <f>-SUMIFS(FEC_2024!$M:$M,FEC_2024!$P:$P,"DAP_NETTES",FEC_2024!$N:$N,J$4)</f>
      </c>
      <c r="K16" s="12">
        <f>-SUMIFS(FEC_2024!$M:$M,FEC_2024!$P:$P,"DAP_NETTES",FEC_2024!$N:$N,K$4)</f>
      </c>
      <c r="L16" s="12">
        <f>-SUMIFS(FEC_2024!$M:$M,FEC_2024!$P:$P,"DAP_NETTES",FEC_2024!$N:$N,L$4)</f>
      </c>
      <c r="M16" s="12">
        <f>-SUMIFS(FEC_2024!$M:$M,FEC_2024!$P:$P,"DAP_NETTES",FEC_2024!$N:$N,M$4)</f>
      </c>
      <c r="N16" s="12">
        <f>-SUMIFS(FEC_2025!$M:$M,FEC_2025!$P:$P,"DAP_NETTES",FEC_2025!$N:$N,N$4)</f>
      </c>
      <c r="O16" s="12">
        <f>-SUMIFS(FEC_2025!$M:$M,FEC_2025!$P:$P,"DAP_NETTES",FEC_2025!$N:$N,O$4)</f>
      </c>
      <c r="P16" s="12">
        <f>-SUMIFS(FEC_2025!$M:$M,FEC_2025!$P:$P,"DAP_NETTES",FEC_2025!$N:$N,P$4)</f>
      </c>
      <c r="Q16" s="12">
        <f>-SUMIFS(FEC_2025!$M:$M,FEC_2025!$P:$P,"DAP_NETTES",FEC_2025!$N:$N,Q$4)</f>
      </c>
      <c r="R16" s="12">
        <f>-SUMIFS(FEC_2025!$M:$M,FEC_2025!$P:$P,"DAP_NETTES",FEC_2025!$N:$N,R$4)</f>
      </c>
      <c r="S16" s="12">
        <f>-SUMIFS(FEC_2025!$M:$M,FEC_2025!$P:$P,"DAP_NETTES",FEC_2025!$N:$N,S$4)</f>
      </c>
      <c r="T16" s="12">
        <f>-SUMIFS(FEC_2025!$M:$M,FEC_2025!$P:$P,"DAP_NETTES",FEC_2025!$N:$N,T$4)</f>
      </c>
      <c r="U16" s="12">
        <f>-SUMIFS(FEC_2025!$M:$M,FEC_2025!$P:$P,"DAP_NETTES",FEC_2025!$N:$N,U$4)</f>
      </c>
      <c r="V16" s="12">
        <f>-SUMIFS(FEC_2025!$M:$M,FEC_2025!$P:$P,"DAP_NETTES",FEC_2025!$N:$N,V$4)</f>
      </c>
      <c r="W16" s="12">
        <f>-SUMIFS(FEC_2025!$M:$M,FEC_2025!$P:$P,"DAP_NETTES",FEC_2025!$N:$N,W$4)</f>
      </c>
      <c r="X16" s="12">
        <f>-SUMIFS(FEC_2025!$M:$M,FEC_2025!$P:$P,"DAP_NETTES",FEC_2025!$N:$N,X$4)</f>
      </c>
      <c r="Y16" s="12">
        <f>-SUMIFS(FEC_2025!$M:$M,FEC_2025!$P:$P,"DAP_NETTES",FEC_2025!$N:$N,Y$4)</f>
      </c>
    </row>
    <row r="17">
      <c r="A17" s="19" t="inlineStr">
        <is>
          <t xml:space="preserve">Résultat d'exploitation (EBIT)</t>
        </is>
      </c>
      <c r="B17" s="20">
        <f>B15+B16</f>
      </c>
      <c r="C17" s="20">
        <f>C15+C16</f>
      </c>
      <c r="D17" s="20">
        <f>D15+D16</f>
      </c>
      <c r="E17" s="20">
        <f>E15+E16</f>
      </c>
      <c r="F17" s="20">
        <f>F15+F16</f>
      </c>
      <c r="G17" s="20">
        <f>G15+G16</f>
      </c>
      <c r="H17" s="20">
        <f>H15+H16</f>
      </c>
      <c r="I17" s="20">
        <f>I15+I16</f>
      </c>
      <c r="J17" s="20">
        <f>J15+J16</f>
      </c>
      <c r="K17" s="20">
        <f>K15+K16</f>
      </c>
      <c r="L17" s="20">
        <f>L15+L16</f>
      </c>
      <c r="M17" s="20">
        <f>M15+M16</f>
      </c>
      <c r="N17" s="20">
        <f>N15+N16</f>
      </c>
      <c r="O17" s="20">
        <f>O15+O16</f>
      </c>
      <c r="P17" s="20">
        <f>P15+P16</f>
      </c>
      <c r="Q17" s="20">
        <f>Q15+Q16</f>
      </c>
      <c r="R17" s="20">
        <f>R15+R16</f>
      </c>
      <c r="S17" s="20">
        <f>S15+S16</f>
      </c>
      <c r="T17" s="20">
        <f>T15+T16</f>
      </c>
      <c r="U17" s="20">
        <f>U15+U16</f>
      </c>
      <c r="V17" s="20">
        <f>V15+V16</f>
      </c>
      <c r="W17" s="20">
        <f>W15+W16</f>
      </c>
      <c r="X17" s="20">
        <f>X15+X16</f>
      </c>
      <c r="Y17" s="20">
        <f>Y15+Y16</f>
      </c>
    </row>
    <row r="18">
      <c r="A18" s="0" t="inlineStr">
        <is>
          <t xml:space="preserve">Résultat financier</t>
        </is>
      </c>
      <c r="B18" s="12">
        <f>-SUMIFS(FEC_2024!$M:$M,FEC_2024!$P:$P,"RESULTAT_FIN",FEC_2024!$N:$N,B$4)</f>
      </c>
      <c r="C18" s="12">
        <f>-SUMIFS(FEC_2024!$M:$M,FEC_2024!$P:$P,"RESULTAT_FIN",FEC_2024!$N:$N,C$4)</f>
      </c>
      <c r="D18" s="12">
        <f>-SUMIFS(FEC_2024!$M:$M,FEC_2024!$P:$P,"RESULTAT_FIN",FEC_2024!$N:$N,D$4)</f>
      </c>
      <c r="E18" s="12">
        <f>-SUMIFS(FEC_2024!$M:$M,FEC_2024!$P:$P,"RESULTAT_FIN",FEC_2024!$N:$N,E$4)</f>
      </c>
      <c r="F18" s="12">
        <f>-SUMIFS(FEC_2024!$M:$M,FEC_2024!$P:$P,"RESULTAT_FIN",FEC_2024!$N:$N,F$4)</f>
      </c>
      <c r="G18" s="12">
        <f>-SUMIFS(FEC_2024!$M:$M,FEC_2024!$P:$P,"RESULTAT_FIN",FEC_2024!$N:$N,G$4)</f>
      </c>
      <c r="H18" s="12">
        <f>-SUMIFS(FEC_2024!$M:$M,FEC_2024!$P:$P,"RESULTAT_FIN",FEC_2024!$N:$N,H$4)</f>
      </c>
      <c r="I18" s="12">
        <f>-SUMIFS(FEC_2024!$M:$M,FEC_2024!$P:$P,"RESULTAT_FIN",FEC_2024!$N:$N,I$4)</f>
      </c>
      <c r="J18" s="12">
        <f>-SUMIFS(FEC_2024!$M:$M,FEC_2024!$P:$P,"RESULTAT_FIN",FEC_2024!$N:$N,J$4)</f>
      </c>
      <c r="K18" s="12">
        <f>-SUMIFS(FEC_2024!$M:$M,FEC_2024!$P:$P,"RESULTAT_FIN",FEC_2024!$N:$N,K$4)</f>
      </c>
      <c r="L18" s="12">
        <f>-SUMIFS(FEC_2024!$M:$M,FEC_2024!$P:$P,"RESULTAT_FIN",FEC_2024!$N:$N,L$4)</f>
      </c>
      <c r="M18" s="12">
        <f>-SUMIFS(FEC_2024!$M:$M,FEC_2024!$P:$P,"RESULTAT_FIN",FEC_2024!$N:$N,M$4)</f>
      </c>
      <c r="N18" s="12">
        <f>-SUMIFS(FEC_2025!$M:$M,FEC_2025!$P:$P,"RESULTAT_FIN",FEC_2025!$N:$N,N$4)</f>
      </c>
      <c r="O18" s="12">
        <f>-SUMIFS(FEC_2025!$M:$M,FEC_2025!$P:$P,"RESULTAT_FIN",FEC_2025!$N:$N,O$4)</f>
      </c>
      <c r="P18" s="12">
        <f>-SUMIFS(FEC_2025!$M:$M,FEC_2025!$P:$P,"RESULTAT_FIN",FEC_2025!$N:$N,P$4)</f>
      </c>
      <c r="Q18" s="12">
        <f>-SUMIFS(FEC_2025!$M:$M,FEC_2025!$P:$P,"RESULTAT_FIN",FEC_2025!$N:$N,Q$4)</f>
      </c>
      <c r="R18" s="12">
        <f>-SUMIFS(FEC_2025!$M:$M,FEC_2025!$P:$P,"RESULTAT_FIN",FEC_2025!$N:$N,R$4)</f>
      </c>
      <c r="S18" s="12">
        <f>-SUMIFS(FEC_2025!$M:$M,FEC_2025!$P:$P,"RESULTAT_FIN",FEC_2025!$N:$N,S$4)</f>
      </c>
      <c r="T18" s="12">
        <f>-SUMIFS(FEC_2025!$M:$M,FEC_2025!$P:$P,"RESULTAT_FIN",FEC_2025!$N:$N,T$4)</f>
      </c>
      <c r="U18" s="12">
        <f>-SUMIFS(FEC_2025!$M:$M,FEC_2025!$P:$P,"RESULTAT_FIN",FEC_2025!$N:$N,U$4)</f>
      </c>
      <c r="V18" s="12">
        <f>-SUMIFS(FEC_2025!$M:$M,FEC_2025!$P:$P,"RESULTAT_FIN",FEC_2025!$N:$N,V$4)</f>
      </c>
      <c r="W18" s="12">
        <f>-SUMIFS(FEC_2025!$M:$M,FEC_2025!$P:$P,"RESULTAT_FIN",FEC_2025!$N:$N,W$4)</f>
      </c>
      <c r="X18" s="12">
        <f>-SUMIFS(FEC_2025!$M:$M,FEC_2025!$P:$P,"RESULTAT_FIN",FEC_2025!$N:$N,X$4)</f>
      </c>
      <c r="Y18" s="12">
        <f>-SUMIFS(FEC_2025!$M:$M,FEC_2025!$P:$P,"RESULTAT_FIN",FEC_2025!$N:$N,Y$4)</f>
      </c>
    </row>
    <row r="19">
      <c r="A19" s="19" t="inlineStr">
        <is>
          <t xml:space="preserve">Résultat courant avant impôt</t>
        </is>
      </c>
      <c r="B19" s="20">
        <f>B17+B18</f>
      </c>
      <c r="C19" s="20">
        <f>C17+C18</f>
      </c>
      <c r="D19" s="20">
        <f>D17+D18</f>
      </c>
      <c r="E19" s="20">
        <f>E17+E18</f>
      </c>
      <c r="F19" s="20">
        <f>F17+F18</f>
      </c>
      <c r="G19" s="20">
        <f>G17+G18</f>
      </c>
      <c r="H19" s="20">
        <f>H17+H18</f>
      </c>
      <c r="I19" s="20">
        <f>I17+I18</f>
      </c>
      <c r="J19" s="20">
        <f>J17+J18</f>
      </c>
      <c r="K19" s="20">
        <f>K17+K18</f>
      </c>
      <c r="L19" s="20">
        <f>L17+L18</f>
      </c>
      <c r="M19" s="20">
        <f>M17+M18</f>
      </c>
      <c r="N19" s="20">
        <f>N17+N18</f>
      </c>
      <c r="O19" s="20">
        <f>O17+O18</f>
      </c>
      <c r="P19" s="20">
        <f>P17+P18</f>
      </c>
      <c r="Q19" s="20">
        <f>Q17+Q18</f>
      </c>
      <c r="R19" s="20">
        <f>R17+R18</f>
      </c>
      <c r="S19" s="20">
        <f>S17+S18</f>
      </c>
      <c r="T19" s="20">
        <f>T17+T18</f>
      </c>
      <c r="U19" s="20">
        <f>U17+U18</f>
      </c>
      <c r="V19" s="20">
        <f>V17+V18</f>
      </c>
      <c r="W19" s="20">
        <f>W17+W18</f>
      </c>
      <c r="X19" s="20">
        <f>X17+X18</f>
      </c>
      <c r="Y19" s="20">
        <f>Y17+Y18</f>
      </c>
    </row>
    <row r="20">
      <c r="A20" s="0" t="inlineStr">
        <is>
          <t xml:space="preserve">Résultat exceptionnel</t>
        </is>
      </c>
      <c r="B20" s="12">
        <f>-SUMIFS(FEC_2024!$M:$M,FEC_2024!$P:$P,"EXCEPTIONNEL",FEC_2024!$N:$N,B$4)</f>
      </c>
      <c r="C20" s="12">
        <f>-SUMIFS(FEC_2024!$M:$M,FEC_2024!$P:$P,"EXCEPTIONNEL",FEC_2024!$N:$N,C$4)</f>
      </c>
      <c r="D20" s="12">
        <f>-SUMIFS(FEC_2024!$M:$M,FEC_2024!$P:$P,"EXCEPTIONNEL",FEC_2024!$N:$N,D$4)</f>
      </c>
      <c r="E20" s="12">
        <f>-SUMIFS(FEC_2024!$M:$M,FEC_2024!$P:$P,"EXCEPTIONNEL",FEC_2024!$N:$N,E$4)</f>
      </c>
      <c r="F20" s="12">
        <f>-SUMIFS(FEC_2024!$M:$M,FEC_2024!$P:$P,"EXCEPTIONNEL",FEC_2024!$N:$N,F$4)</f>
      </c>
      <c r="G20" s="12">
        <f>-SUMIFS(FEC_2024!$M:$M,FEC_2024!$P:$P,"EXCEPTIONNEL",FEC_2024!$N:$N,G$4)</f>
      </c>
      <c r="H20" s="12">
        <f>-SUMIFS(FEC_2024!$M:$M,FEC_2024!$P:$P,"EXCEPTIONNEL",FEC_2024!$N:$N,H$4)</f>
      </c>
      <c r="I20" s="12">
        <f>-SUMIFS(FEC_2024!$M:$M,FEC_2024!$P:$P,"EXCEPTIONNEL",FEC_2024!$N:$N,I$4)</f>
      </c>
      <c r="J20" s="12">
        <f>-SUMIFS(FEC_2024!$M:$M,FEC_2024!$P:$P,"EXCEPTIONNEL",FEC_2024!$N:$N,J$4)</f>
      </c>
      <c r="K20" s="12">
        <f>-SUMIFS(FEC_2024!$M:$M,FEC_2024!$P:$P,"EXCEPTIONNEL",FEC_2024!$N:$N,K$4)</f>
      </c>
      <c r="L20" s="12">
        <f>-SUMIFS(FEC_2024!$M:$M,FEC_2024!$P:$P,"EXCEPTIONNEL",FEC_2024!$N:$N,L$4)</f>
      </c>
      <c r="M20" s="12">
        <f>-SUMIFS(FEC_2024!$M:$M,FEC_2024!$P:$P,"EXCEPTIONNEL",FEC_2024!$N:$N,M$4)</f>
      </c>
      <c r="N20" s="12">
        <f>-SUMIFS(FEC_2025!$M:$M,FEC_2025!$P:$P,"EXCEPTIONNEL",FEC_2025!$N:$N,N$4)</f>
      </c>
      <c r="O20" s="12">
        <f>-SUMIFS(FEC_2025!$M:$M,FEC_2025!$P:$P,"EXCEPTIONNEL",FEC_2025!$N:$N,O$4)</f>
      </c>
      <c r="P20" s="12">
        <f>-SUMIFS(FEC_2025!$M:$M,FEC_2025!$P:$P,"EXCEPTIONNEL",FEC_2025!$N:$N,P$4)</f>
      </c>
      <c r="Q20" s="12">
        <f>-SUMIFS(FEC_2025!$M:$M,FEC_2025!$P:$P,"EXCEPTIONNEL",FEC_2025!$N:$N,Q$4)</f>
      </c>
      <c r="R20" s="12">
        <f>-SUMIFS(FEC_2025!$M:$M,FEC_2025!$P:$P,"EXCEPTIONNEL",FEC_2025!$N:$N,R$4)</f>
      </c>
      <c r="S20" s="12">
        <f>-SUMIFS(FEC_2025!$M:$M,FEC_2025!$P:$P,"EXCEPTIONNEL",FEC_2025!$N:$N,S$4)</f>
      </c>
      <c r="T20" s="12">
        <f>-SUMIFS(FEC_2025!$M:$M,FEC_2025!$P:$P,"EXCEPTIONNEL",FEC_2025!$N:$N,T$4)</f>
      </c>
      <c r="U20" s="12">
        <f>-SUMIFS(FEC_2025!$M:$M,FEC_2025!$P:$P,"EXCEPTIONNEL",FEC_2025!$N:$N,U$4)</f>
      </c>
      <c r="V20" s="12">
        <f>-SUMIFS(FEC_2025!$M:$M,FEC_2025!$P:$P,"EXCEPTIONNEL",FEC_2025!$N:$N,V$4)</f>
      </c>
      <c r="W20" s="12">
        <f>-SUMIFS(FEC_2025!$M:$M,FEC_2025!$P:$P,"EXCEPTIONNEL",FEC_2025!$N:$N,W$4)</f>
      </c>
      <c r="X20" s="12">
        <f>-SUMIFS(FEC_2025!$M:$M,FEC_2025!$P:$P,"EXCEPTIONNEL",FEC_2025!$N:$N,X$4)</f>
      </c>
      <c r="Y20" s="12">
        <f>-SUMIFS(FEC_2025!$M:$M,FEC_2025!$P:$P,"EXCEPTIONNEL",FEC_2025!$N:$N,Y$4)</f>
      </c>
    </row>
    <row r="21">
      <c r="A21" s="0" t="inlineStr">
        <is>
          <t xml:space="preserve">Participation des salariés</t>
        </is>
      </c>
      <c r="B21" s="12">
        <f>-SUMIFS(FEC_2024!$M:$M,FEC_2024!$P:$P,"PARTICIPATION",FEC_2024!$N:$N,B$4)</f>
      </c>
      <c r="C21" s="12">
        <f>-SUMIFS(FEC_2024!$M:$M,FEC_2024!$P:$P,"PARTICIPATION",FEC_2024!$N:$N,C$4)</f>
      </c>
      <c r="D21" s="12">
        <f>-SUMIFS(FEC_2024!$M:$M,FEC_2024!$P:$P,"PARTICIPATION",FEC_2024!$N:$N,D$4)</f>
      </c>
      <c r="E21" s="12">
        <f>-SUMIFS(FEC_2024!$M:$M,FEC_2024!$P:$P,"PARTICIPATION",FEC_2024!$N:$N,E$4)</f>
      </c>
      <c r="F21" s="12">
        <f>-SUMIFS(FEC_2024!$M:$M,FEC_2024!$P:$P,"PARTICIPATION",FEC_2024!$N:$N,F$4)</f>
      </c>
      <c r="G21" s="12">
        <f>-SUMIFS(FEC_2024!$M:$M,FEC_2024!$P:$P,"PARTICIPATION",FEC_2024!$N:$N,G$4)</f>
      </c>
      <c r="H21" s="12">
        <f>-SUMIFS(FEC_2024!$M:$M,FEC_2024!$P:$P,"PARTICIPATION",FEC_2024!$N:$N,H$4)</f>
      </c>
      <c r="I21" s="12">
        <f>-SUMIFS(FEC_2024!$M:$M,FEC_2024!$P:$P,"PARTICIPATION",FEC_2024!$N:$N,I$4)</f>
      </c>
      <c r="J21" s="12">
        <f>-SUMIFS(FEC_2024!$M:$M,FEC_2024!$P:$P,"PARTICIPATION",FEC_2024!$N:$N,J$4)</f>
      </c>
      <c r="K21" s="12">
        <f>-SUMIFS(FEC_2024!$M:$M,FEC_2024!$P:$P,"PARTICIPATION",FEC_2024!$N:$N,K$4)</f>
      </c>
      <c r="L21" s="12">
        <f>-SUMIFS(FEC_2024!$M:$M,FEC_2024!$P:$P,"PARTICIPATION",FEC_2024!$N:$N,L$4)</f>
      </c>
      <c r="M21" s="12">
        <f>-SUMIFS(FEC_2024!$M:$M,FEC_2024!$P:$P,"PARTICIPATION",FEC_2024!$N:$N,M$4)</f>
      </c>
      <c r="N21" s="12">
        <f>-SUMIFS(FEC_2025!$M:$M,FEC_2025!$P:$P,"PARTICIPATION",FEC_2025!$N:$N,N$4)</f>
      </c>
      <c r="O21" s="12">
        <f>-SUMIFS(FEC_2025!$M:$M,FEC_2025!$P:$P,"PARTICIPATION",FEC_2025!$N:$N,O$4)</f>
      </c>
      <c r="P21" s="12">
        <f>-SUMIFS(FEC_2025!$M:$M,FEC_2025!$P:$P,"PARTICIPATION",FEC_2025!$N:$N,P$4)</f>
      </c>
      <c r="Q21" s="12">
        <f>-SUMIFS(FEC_2025!$M:$M,FEC_2025!$P:$P,"PARTICIPATION",FEC_2025!$N:$N,Q$4)</f>
      </c>
      <c r="R21" s="12">
        <f>-SUMIFS(FEC_2025!$M:$M,FEC_2025!$P:$P,"PARTICIPATION",FEC_2025!$N:$N,R$4)</f>
      </c>
      <c r="S21" s="12">
        <f>-SUMIFS(FEC_2025!$M:$M,FEC_2025!$P:$P,"PARTICIPATION",FEC_2025!$N:$N,S$4)</f>
      </c>
      <c r="T21" s="12">
        <f>-SUMIFS(FEC_2025!$M:$M,FEC_2025!$P:$P,"PARTICIPATION",FEC_2025!$N:$N,T$4)</f>
      </c>
      <c r="U21" s="12">
        <f>-SUMIFS(FEC_2025!$M:$M,FEC_2025!$P:$P,"PARTICIPATION",FEC_2025!$N:$N,U$4)</f>
      </c>
      <c r="V21" s="12">
        <f>-SUMIFS(FEC_2025!$M:$M,FEC_2025!$P:$P,"PARTICIPATION",FEC_2025!$N:$N,V$4)</f>
      </c>
      <c r="W21" s="12">
        <f>-SUMIFS(FEC_2025!$M:$M,FEC_2025!$P:$P,"PARTICIPATION",FEC_2025!$N:$N,W$4)</f>
      </c>
      <c r="X21" s="12">
        <f>-SUMIFS(FEC_2025!$M:$M,FEC_2025!$P:$P,"PARTICIPATION",FEC_2025!$N:$N,X$4)</f>
      </c>
      <c r="Y21" s="12">
        <f>-SUMIFS(FEC_2025!$M:$M,FEC_2025!$P:$P,"PARTICIPATION",FEC_2025!$N:$N,Y$4)</f>
      </c>
    </row>
    <row r="22">
      <c r="A22" s="0" t="inlineStr">
        <is>
          <t xml:space="preserve">Impôt sur les sociétés</t>
        </is>
      </c>
      <c r="B22" s="12">
        <f>-SUMIFS(FEC_2024!$M:$M,FEC_2024!$P:$P,"IS",FEC_2024!$N:$N,B$4)</f>
      </c>
      <c r="C22" s="12">
        <f>-SUMIFS(FEC_2024!$M:$M,FEC_2024!$P:$P,"IS",FEC_2024!$N:$N,C$4)</f>
      </c>
      <c r="D22" s="12">
        <f>-SUMIFS(FEC_2024!$M:$M,FEC_2024!$P:$P,"IS",FEC_2024!$N:$N,D$4)</f>
      </c>
      <c r="E22" s="12">
        <f>-SUMIFS(FEC_2024!$M:$M,FEC_2024!$P:$P,"IS",FEC_2024!$N:$N,E$4)</f>
      </c>
      <c r="F22" s="12">
        <f>-SUMIFS(FEC_2024!$M:$M,FEC_2024!$P:$P,"IS",FEC_2024!$N:$N,F$4)</f>
      </c>
      <c r="G22" s="12">
        <f>-SUMIFS(FEC_2024!$M:$M,FEC_2024!$P:$P,"IS",FEC_2024!$N:$N,G$4)</f>
      </c>
      <c r="H22" s="12">
        <f>-SUMIFS(FEC_2024!$M:$M,FEC_2024!$P:$P,"IS",FEC_2024!$N:$N,H$4)</f>
      </c>
      <c r="I22" s="12">
        <f>-SUMIFS(FEC_2024!$M:$M,FEC_2024!$P:$P,"IS",FEC_2024!$N:$N,I$4)</f>
      </c>
      <c r="J22" s="12">
        <f>-SUMIFS(FEC_2024!$M:$M,FEC_2024!$P:$P,"IS",FEC_2024!$N:$N,J$4)</f>
      </c>
      <c r="K22" s="12">
        <f>-SUMIFS(FEC_2024!$M:$M,FEC_2024!$P:$P,"IS",FEC_2024!$N:$N,K$4)</f>
      </c>
      <c r="L22" s="12">
        <f>-SUMIFS(FEC_2024!$M:$M,FEC_2024!$P:$P,"IS",FEC_2024!$N:$N,L$4)</f>
      </c>
      <c r="M22" s="12">
        <f>-SUMIFS(FEC_2024!$M:$M,FEC_2024!$P:$P,"IS",FEC_2024!$N:$N,M$4)</f>
      </c>
      <c r="N22" s="12">
        <f>-SUMIFS(FEC_2025!$M:$M,FEC_2025!$P:$P,"IS",FEC_2025!$N:$N,N$4)</f>
      </c>
      <c r="O22" s="12">
        <f>-SUMIFS(FEC_2025!$M:$M,FEC_2025!$P:$P,"IS",FEC_2025!$N:$N,O$4)</f>
      </c>
      <c r="P22" s="12">
        <f>-SUMIFS(FEC_2025!$M:$M,FEC_2025!$P:$P,"IS",FEC_2025!$N:$N,P$4)</f>
      </c>
      <c r="Q22" s="12">
        <f>-SUMIFS(FEC_2025!$M:$M,FEC_2025!$P:$P,"IS",FEC_2025!$N:$N,Q$4)</f>
      </c>
      <c r="R22" s="12">
        <f>-SUMIFS(FEC_2025!$M:$M,FEC_2025!$P:$P,"IS",FEC_2025!$N:$N,R$4)</f>
      </c>
      <c r="S22" s="12">
        <f>-SUMIFS(FEC_2025!$M:$M,FEC_2025!$P:$P,"IS",FEC_2025!$N:$N,S$4)</f>
      </c>
      <c r="T22" s="12">
        <f>-SUMIFS(FEC_2025!$M:$M,FEC_2025!$P:$P,"IS",FEC_2025!$N:$N,T$4)</f>
      </c>
      <c r="U22" s="12">
        <f>-SUMIFS(FEC_2025!$M:$M,FEC_2025!$P:$P,"IS",FEC_2025!$N:$N,U$4)</f>
      </c>
      <c r="V22" s="12">
        <f>-SUMIFS(FEC_2025!$M:$M,FEC_2025!$P:$P,"IS",FEC_2025!$N:$N,V$4)</f>
      </c>
      <c r="W22" s="12">
        <f>-SUMIFS(FEC_2025!$M:$M,FEC_2025!$P:$P,"IS",FEC_2025!$N:$N,W$4)</f>
      </c>
      <c r="X22" s="12">
        <f>-SUMIFS(FEC_2025!$M:$M,FEC_2025!$P:$P,"IS",FEC_2025!$N:$N,X$4)</f>
      </c>
      <c r="Y22" s="12">
        <f>-SUMIFS(FEC_2025!$M:$M,FEC_2025!$P:$P,"IS",FEC_2025!$N:$N,Y$4)</f>
      </c>
    </row>
    <row r="23">
      <c r="A23" s="19" t="inlineStr">
        <is>
          <t xml:space="preserve">Résultat net</t>
        </is>
      </c>
      <c r="B23" s="20">
        <f>B19+B20+B21+B22</f>
      </c>
      <c r="C23" s="20">
        <f>C19+C20+C21+C22</f>
      </c>
      <c r="D23" s="20">
        <f>D19+D20+D21+D22</f>
      </c>
      <c r="E23" s="20">
        <f>E19+E20+E21+E22</f>
      </c>
      <c r="F23" s="20">
        <f>F19+F20+F21+F22</f>
      </c>
      <c r="G23" s="20">
        <f>G19+G20+G21+G22</f>
      </c>
      <c r="H23" s="20">
        <f>H19+H20+H21+H22</f>
      </c>
      <c r="I23" s="20">
        <f>I19+I20+I21+I22</f>
      </c>
      <c r="J23" s="20">
        <f>J19+J20+J21+J22</f>
      </c>
      <c r="K23" s="20">
        <f>K19+K20+K21+K22</f>
      </c>
      <c r="L23" s="20">
        <f>L19+L20+L21+L22</f>
      </c>
      <c r="M23" s="20">
        <f>M19+M20+M21+M22</f>
      </c>
      <c r="N23" s="20">
        <f>N19+N20+N21+N22</f>
      </c>
      <c r="O23" s="20">
        <f>O19+O20+O21+O22</f>
      </c>
      <c r="P23" s="20">
        <f>P19+P20+P21+P22</f>
      </c>
      <c r="Q23" s="20">
        <f>Q19+Q20+Q21+Q22</f>
      </c>
      <c r="R23" s="20">
        <f>R19+R20+R21+R22</f>
      </c>
      <c r="S23" s="20">
        <f>S19+S20+S21+S22</f>
      </c>
      <c r="T23" s="20">
        <f>T19+T20+T21+T22</f>
      </c>
      <c r="U23" s="20">
        <f>U19+U20+U21+U22</f>
      </c>
      <c r="V23" s="20">
        <f>V19+V20+V21+V22</f>
      </c>
      <c r="W23" s="20">
        <f>W19+W20+W21+W22</f>
      </c>
      <c r="X23" s="20">
        <f>X19+X20+X21+X22</f>
      </c>
      <c r="Y23" s="20">
        <f>Y19+Y20+Y21+Y22</f>
      </c>
    </row>
    <row r="25">
      <c r="A25" s="13" t="inlineStr">
        <is>
          <t xml:space="preserve">Écritures de clôture incluses dans le résultat</t>
        </is>
      </c>
    </row>
    <row r="26">
      <c r="A26" s="0" t="inlineStr">
        <is>
          <t xml:space="preserve">dont écritures d'inventaire (type INVENTAIRE)</t>
        </is>
      </c>
      <c r="B26" s="12">
        <f>-SUMIFS(FEC_2024!$M:$M,FEC_2024!$O:$O,"INVENTAIRE",FEC_2024!$N:$N,B$4,FEC_2024!$Q:$Q,"6")-SUMIFS(FEC_2024!$M:$M,FEC_2024!$O:$O,"INVENTAIRE",FEC_2024!$N:$N,B$4,FEC_2024!$Q:$Q,"7")</f>
      </c>
      <c r="C26" s="12">
        <f>-SUMIFS(FEC_2024!$M:$M,FEC_2024!$O:$O,"INVENTAIRE",FEC_2024!$N:$N,C$4,FEC_2024!$Q:$Q,"6")-SUMIFS(FEC_2024!$M:$M,FEC_2024!$O:$O,"INVENTAIRE",FEC_2024!$N:$N,C$4,FEC_2024!$Q:$Q,"7")</f>
      </c>
      <c r="D26" s="12">
        <f>-SUMIFS(FEC_2024!$M:$M,FEC_2024!$O:$O,"INVENTAIRE",FEC_2024!$N:$N,D$4,FEC_2024!$Q:$Q,"6")-SUMIFS(FEC_2024!$M:$M,FEC_2024!$O:$O,"INVENTAIRE",FEC_2024!$N:$N,D$4,FEC_2024!$Q:$Q,"7")</f>
      </c>
      <c r="E26" s="12">
        <f>-SUMIFS(FEC_2024!$M:$M,FEC_2024!$O:$O,"INVENTAIRE",FEC_2024!$N:$N,E$4,FEC_2024!$Q:$Q,"6")-SUMIFS(FEC_2024!$M:$M,FEC_2024!$O:$O,"INVENTAIRE",FEC_2024!$N:$N,E$4,FEC_2024!$Q:$Q,"7")</f>
      </c>
      <c r="F26" s="12">
        <f>-SUMIFS(FEC_2024!$M:$M,FEC_2024!$O:$O,"INVENTAIRE",FEC_2024!$N:$N,F$4,FEC_2024!$Q:$Q,"6")-SUMIFS(FEC_2024!$M:$M,FEC_2024!$O:$O,"INVENTAIRE",FEC_2024!$N:$N,F$4,FEC_2024!$Q:$Q,"7")</f>
      </c>
      <c r="G26" s="12">
        <f>-SUMIFS(FEC_2024!$M:$M,FEC_2024!$O:$O,"INVENTAIRE",FEC_2024!$N:$N,G$4,FEC_2024!$Q:$Q,"6")-SUMIFS(FEC_2024!$M:$M,FEC_2024!$O:$O,"INVENTAIRE",FEC_2024!$N:$N,G$4,FEC_2024!$Q:$Q,"7")</f>
      </c>
      <c r="H26" s="12">
        <f>-SUMIFS(FEC_2024!$M:$M,FEC_2024!$O:$O,"INVENTAIRE",FEC_2024!$N:$N,H$4,FEC_2024!$Q:$Q,"6")-SUMIFS(FEC_2024!$M:$M,FEC_2024!$O:$O,"INVENTAIRE",FEC_2024!$N:$N,H$4,FEC_2024!$Q:$Q,"7")</f>
      </c>
      <c r="I26" s="12">
        <f>-SUMIFS(FEC_2024!$M:$M,FEC_2024!$O:$O,"INVENTAIRE",FEC_2024!$N:$N,I$4,FEC_2024!$Q:$Q,"6")-SUMIFS(FEC_2024!$M:$M,FEC_2024!$O:$O,"INVENTAIRE",FEC_2024!$N:$N,I$4,FEC_2024!$Q:$Q,"7")</f>
      </c>
      <c r="J26" s="12">
        <f>-SUMIFS(FEC_2024!$M:$M,FEC_2024!$O:$O,"INVENTAIRE",FEC_2024!$N:$N,J$4,FEC_2024!$Q:$Q,"6")-SUMIFS(FEC_2024!$M:$M,FEC_2024!$O:$O,"INVENTAIRE",FEC_2024!$N:$N,J$4,FEC_2024!$Q:$Q,"7")</f>
      </c>
      <c r="K26" s="12">
        <f>-SUMIFS(FEC_2024!$M:$M,FEC_2024!$O:$O,"INVENTAIRE",FEC_2024!$N:$N,K$4,FEC_2024!$Q:$Q,"6")-SUMIFS(FEC_2024!$M:$M,FEC_2024!$O:$O,"INVENTAIRE",FEC_2024!$N:$N,K$4,FEC_2024!$Q:$Q,"7")</f>
      </c>
      <c r="L26" s="12">
        <f>-SUMIFS(FEC_2024!$M:$M,FEC_2024!$O:$O,"INVENTAIRE",FEC_2024!$N:$N,L$4,FEC_2024!$Q:$Q,"6")-SUMIFS(FEC_2024!$M:$M,FEC_2024!$O:$O,"INVENTAIRE",FEC_2024!$N:$N,L$4,FEC_2024!$Q:$Q,"7")</f>
      </c>
      <c r="M26" s="12">
        <f>-SUMIFS(FEC_2024!$M:$M,FEC_2024!$O:$O,"INVENTAIRE",FEC_2024!$N:$N,M$4,FEC_2024!$Q:$Q,"6")-SUMIFS(FEC_2024!$M:$M,FEC_2024!$O:$O,"INVENTAIRE",FEC_2024!$N:$N,M$4,FEC_2024!$Q:$Q,"7")</f>
      </c>
      <c r="N26" s="12">
        <f>-SUMIFS(FEC_2025!$M:$M,FEC_2025!$O:$O,"INVENTAIRE",FEC_2025!$N:$N,N$4,FEC_2025!$Q:$Q,"6")-SUMIFS(FEC_2025!$M:$M,FEC_2025!$O:$O,"INVENTAIRE",FEC_2025!$N:$N,N$4,FEC_2025!$Q:$Q,"7")</f>
      </c>
      <c r="O26" s="12">
        <f>-SUMIFS(FEC_2025!$M:$M,FEC_2025!$O:$O,"INVENTAIRE",FEC_2025!$N:$N,O$4,FEC_2025!$Q:$Q,"6")-SUMIFS(FEC_2025!$M:$M,FEC_2025!$O:$O,"INVENTAIRE",FEC_2025!$N:$N,O$4,FEC_2025!$Q:$Q,"7")</f>
      </c>
      <c r="P26" s="12">
        <f>-SUMIFS(FEC_2025!$M:$M,FEC_2025!$O:$O,"INVENTAIRE",FEC_2025!$N:$N,P$4,FEC_2025!$Q:$Q,"6")-SUMIFS(FEC_2025!$M:$M,FEC_2025!$O:$O,"INVENTAIRE",FEC_2025!$N:$N,P$4,FEC_2025!$Q:$Q,"7")</f>
      </c>
      <c r="Q26" s="12">
        <f>-SUMIFS(FEC_2025!$M:$M,FEC_2025!$O:$O,"INVENTAIRE",FEC_2025!$N:$N,Q$4,FEC_2025!$Q:$Q,"6")-SUMIFS(FEC_2025!$M:$M,FEC_2025!$O:$O,"INVENTAIRE",FEC_2025!$N:$N,Q$4,FEC_2025!$Q:$Q,"7")</f>
      </c>
      <c r="R26" s="12">
        <f>-SUMIFS(FEC_2025!$M:$M,FEC_2025!$O:$O,"INVENTAIRE",FEC_2025!$N:$N,R$4,FEC_2025!$Q:$Q,"6")-SUMIFS(FEC_2025!$M:$M,FEC_2025!$O:$O,"INVENTAIRE",FEC_2025!$N:$N,R$4,FEC_2025!$Q:$Q,"7")</f>
      </c>
      <c r="S26" s="12">
        <f>-SUMIFS(FEC_2025!$M:$M,FEC_2025!$O:$O,"INVENTAIRE",FEC_2025!$N:$N,S$4,FEC_2025!$Q:$Q,"6")-SUMIFS(FEC_2025!$M:$M,FEC_2025!$O:$O,"INVENTAIRE",FEC_2025!$N:$N,S$4,FEC_2025!$Q:$Q,"7")</f>
      </c>
      <c r="T26" s="12">
        <f>-SUMIFS(FEC_2025!$M:$M,FEC_2025!$O:$O,"INVENTAIRE",FEC_2025!$N:$N,T$4,FEC_2025!$Q:$Q,"6")-SUMIFS(FEC_2025!$M:$M,FEC_2025!$O:$O,"INVENTAIRE",FEC_2025!$N:$N,T$4,FEC_2025!$Q:$Q,"7")</f>
      </c>
      <c r="U26" s="12">
        <f>-SUMIFS(FEC_2025!$M:$M,FEC_2025!$O:$O,"INVENTAIRE",FEC_2025!$N:$N,U$4,FEC_2025!$Q:$Q,"6")-SUMIFS(FEC_2025!$M:$M,FEC_2025!$O:$O,"INVENTAIRE",FEC_2025!$N:$N,U$4,FEC_2025!$Q:$Q,"7")</f>
      </c>
      <c r="V26" s="12">
        <f>-SUMIFS(FEC_2025!$M:$M,FEC_2025!$O:$O,"INVENTAIRE",FEC_2025!$N:$N,V$4,FEC_2025!$Q:$Q,"6")-SUMIFS(FEC_2025!$M:$M,FEC_2025!$O:$O,"INVENTAIRE",FEC_2025!$N:$N,V$4,FEC_2025!$Q:$Q,"7")</f>
      </c>
      <c r="W26" s="12">
        <f>-SUMIFS(FEC_2025!$M:$M,FEC_2025!$O:$O,"INVENTAIRE",FEC_2025!$N:$N,W$4,FEC_2025!$Q:$Q,"6")-SUMIFS(FEC_2025!$M:$M,FEC_2025!$O:$O,"INVENTAIRE",FEC_2025!$N:$N,W$4,FEC_2025!$Q:$Q,"7")</f>
      </c>
      <c r="X26" s="12">
        <f>-SUMIFS(FEC_2025!$M:$M,FEC_2025!$O:$O,"INVENTAIRE",FEC_2025!$N:$N,X$4,FEC_2025!$Q:$Q,"6")-SUMIFS(FEC_2025!$M:$M,FEC_2025!$O:$O,"INVENTAIRE",FEC_2025!$N:$N,X$4,FEC_2025!$Q:$Q,"7")</f>
      </c>
      <c r="Y26" s="12">
        <f>-SUMIFS(FEC_2025!$M:$M,FEC_2025!$O:$O,"INVENTAIRE",FEC_2025!$N:$N,Y$4,FEC_2025!$Q:$Q,"6")-SUMIFS(FEC_2025!$M:$M,FEC_2025!$O:$O,"INVENTAIRE",FEC_2025!$N:$N,Y$4,FEC_2025!$Q:$Q,"7")</f>
      </c>
    </row>
    <row r="27">
      <c r="A27" s="0" t="inlineStr">
        <is>
          <t xml:space="preserve">dont extournes d'ouverture (type EXTOURNE)</t>
        </is>
      </c>
      <c r="B27" s="12">
        <f>-SUMIFS(FEC_2024!$M:$M,FEC_2024!$O:$O,"EXTOURNE",FEC_2024!$N:$N,B$4,FEC_2024!$Q:$Q,"6")-SUMIFS(FEC_2024!$M:$M,FEC_2024!$O:$O,"EXTOURNE",FEC_2024!$N:$N,B$4,FEC_2024!$Q:$Q,"7")</f>
      </c>
      <c r="C27" s="12">
        <f>-SUMIFS(FEC_2024!$M:$M,FEC_2024!$O:$O,"EXTOURNE",FEC_2024!$N:$N,C$4,FEC_2024!$Q:$Q,"6")-SUMIFS(FEC_2024!$M:$M,FEC_2024!$O:$O,"EXTOURNE",FEC_2024!$N:$N,C$4,FEC_2024!$Q:$Q,"7")</f>
      </c>
      <c r="D27" s="12">
        <f>-SUMIFS(FEC_2024!$M:$M,FEC_2024!$O:$O,"EXTOURNE",FEC_2024!$N:$N,D$4,FEC_2024!$Q:$Q,"6")-SUMIFS(FEC_2024!$M:$M,FEC_2024!$O:$O,"EXTOURNE",FEC_2024!$N:$N,D$4,FEC_2024!$Q:$Q,"7")</f>
      </c>
      <c r="E27" s="12">
        <f>-SUMIFS(FEC_2024!$M:$M,FEC_2024!$O:$O,"EXTOURNE",FEC_2024!$N:$N,E$4,FEC_2024!$Q:$Q,"6")-SUMIFS(FEC_2024!$M:$M,FEC_2024!$O:$O,"EXTOURNE",FEC_2024!$N:$N,E$4,FEC_2024!$Q:$Q,"7")</f>
      </c>
      <c r="F27" s="12">
        <f>-SUMIFS(FEC_2024!$M:$M,FEC_2024!$O:$O,"EXTOURNE",FEC_2024!$N:$N,F$4,FEC_2024!$Q:$Q,"6")-SUMIFS(FEC_2024!$M:$M,FEC_2024!$O:$O,"EXTOURNE",FEC_2024!$N:$N,F$4,FEC_2024!$Q:$Q,"7")</f>
      </c>
      <c r="G27" s="12">
        <f>-SUMIFS(FEC_2024!$M:$M,FEC_2024!$O:$O,"EXTOURNE",FEC_2024!$N:$N,G$4,FEC_2024!$Q:$Q,"6")-SUMIFS(FEC_2024!$M:$M,FEC_2024!$O:$O,"EXTOURNE",FEC_2024!$N:$N,G$4,FEC_2024!$Q:$Q,"7")</f>
      </c>
      <c r="H27" s="12">
        <f>-SUMIFS(FEC_2024!$M:$M,FEC_2024!$O:$O,"EXTOURNE",FEC_2024!$N:$N,H$4,FEC_2024!$Q:$Q,"6")-SUMIFS(FEC_2024!$M:$M,FEC_2024!$O:$O,"EXTOURNE",FEC_2024!$N:$N,H$4,FEC_2024!$Q:$Q,"7")</f>
      </c>
      <c r="I27" s="12">
        <f>-SUMIFS(FEC_2024!$M:$M,FEC_2024!$O:$O,"EXTOURNE",FEC_2024!$N:$N,I$4,FEC_2024!$Q:$Q,"6")-SUMIFS(FEC_2024!$M:$M,FEC_2024!$O:$O,"EXTOURNE",FEC_2024!$N:$N,I$4,FEC_2024!$Q:$Q,"7")</f>
      </c>
      <c r="J27" s="12">
        <f>-SUMIFS(FEC_2024!$M:$M,FEC_2024!$O:$O,"EXTOURNE",FEC_2024!$N:$N,J$4,FEC_2024!$Q:$Q,"6")-SUMIFS(FEC_2024!$M:$M,FEC_2024!$O:$O,"EXTOURNE",FEC_2024!$N:$N,J$4,FEC_2024!$Q:$Q,"7")</f>
      </c>
      <c r="K27" s="12">
        <f>-SUMIFS(FEC_2024!$M:$M,FEC_2024!$O:$O,"EXTOURNE",FEC_2024!$N:$N,K$4,FEC_2024!$Q:$Q,"6")-SUMIFS(FEC_2024!$M:$M,FEC_2024!$O:$O,"EXTOURNE",FEC_2024!$N:$N,K$4,FEC_2024!$Q:$Q,"7")</f>
      </c>
      <c r="L27" s="12">
        <f>-SUMIFS(FEC_2024!$M:$M,FEC_2024!$O:$O,"EXTOURNE",FEC_2024!$N:$N,L$4,FEC_2024!$Q:$Q,"6")-SUMIFS(FEC_2024!$M:$M,FEC_2024!$O:$O,"EXTOURNE",FEC_2024!$N:$N,L$4,FEC_2024!$Q:$Q,"7")</f>
      </c>
      <c r="M27" s="12">
        <f>-SUMIFS(FEC_2024!$M:$M,FEC_2024!$O:$O,"EXTOURNE",FEC_2024!$N:$N,M$4,FEC_2024!$Q:$Q,"6")-SUMIFS(FEC_2024!$M:$M,FEC_2024!$O:$O,"EXTOURNE",FEC_2024!$N:$N,M$4,FEC_2024!$Q:$Q,"7")</f>
      </c>
      <c r="N27" s="12">
        <f>-SUMIFS(FEC_2025!$M:$M,FEC_2025!$O:$O,"EXTOURNE",FEC_2025!$N:$N,N$4,FEC_2025!$Q:$Q,"6")-SUMIFS(FEC_2025!$M:$M,FEC_2025!$O:$O,"EXTOURNE",FEC_2025!$N:$N,N$4,FEC_2025!$Q:$Q,"7")</f>
      </c>
      <c r="O27" s="12">
        <f>-SUMIFS(FEC_2025!$M:$M,FEC_2025!$O:$O,"EXTOURNE",FEC_2025!$N:$N,O$4,FEC_2025!$Q:$Q,"6")-SUMIFS(FEC_2025!$M:$M,FEC_2025!$O:$O,"EXTOURNE",FEC_2025!$N:$N,O$4,FEC_2025!$Q:$Q,"7")</f>
      </c>
      <c r="P27" s="12">
        <f>-SUMIFS(FEC_2025!$M:$M,FEC_2025!$O:$O,"EXTOURNE",FEC_2025!$N:$N,P$4,FEC_2025!$Q:$Q,"6")-SUMIFS(FEC_2025!$M:$M,FEC_2025!$O:$O,"EXTOURNE",FEC_2025!$N:$N,P$4,FEC_2025!$Q:$Q,"7")</f>
      </c>
      <c r="Q27" s="12">
        <f>-SUMIFS(FEC_2025!$M:$M,FEC_2025!$O:$O,"EXTOURNE",FEC_2025!$N:$N,Q$4,FEC_2025!$Q:$Q,"6")-SUMIFS(FEC_2025!$M:$M,FEC_2025!$O:$O,"EXTOURNE",FEC_2025!$N:$N,Q$4,FEC_2025!$Q:$Q,"7")</f>
      </c>
      <c r="R27" s="12">
        <f>-SUMIFS(FEC_2025!$M:$M,FEC_2025!$O:$O,"EXTOURNE",FEC_2025!$N:$N,R$4,FEC_2025!$Q:$Q,"6")-SUMIFS(FEC_2025!$M:$M,FEC_2025!$O:$O,"EXTOURNE",FEC_2025!$N:$N,R$4,FEC_2025!$Q:$Q,"7")</f>
      </c>
      <c r="S27" s="12">
        <f>-SUMIFS(FEC_2025!$M:$M,FEC_2025!$O:$O,"EXTOURNE",FEC_2025!$N:$N,S$4,FEC_2025!$Q:$Q,"6")-SUMIFS(FEC_2025!$M:$M,FEC_2025!$O:$O,"EXTOURNE",FEC_2025!$N:$N,S$4,FEC_2025!$Q:$Q,"7")</f>
      </c>
      <c r="T27" s="12">
        <f>-SUMIFS(FEC_2025!$M:$M,FEC_2025!$O:$O,"EXTOURNE",FEC_2025!$N:$N,T$4,FEC_2025!$Q:$Q,"6")-SUMIFS(FEC_2025!$M:$M,FEC_2025!$O:$O,"EXTOURNE",FEC_2025!$N:$N,T$4,FEC_2025!$Q:$Q,"7")</f>
      </c>
      <c r="U27" s="12">
        <f>-SUMIFS(FEC_2025!$M:$M,FEC_2025!$O:$O,"EXTOURNE",FEC_2025!$N:$N,U$4,FEC_2025!$Q:$Q,"6")-SUMIFS(FEC_2025!$M:$M,FEC_2025!$O:$O,"EXTOURNE",FEC_2025!$N:$N,U$4,FEC_2025!$Q:$Q,"7")</f>
      </c>
      <c r="V27" s="12">
        <f>-SUMIFS(FEC_2025!$M:$M,FEC_2025!$O:$O,"EXTOURNE",FEC_2025!$N:$N,V$4,FEC_2025!$Q:$Q,"6")-SUMIFS(FEC_2025!$M:$M,FEC_2025!$O:$O,"EXTOURNE",FEC_2025!$N:$N,V$4,FEC_2025!$Q:$Q,"7")</f>
      </c>
      <c r="W27" s="12">
        <f>-SUMIFS(FEC_2025!$M:$M,FEC_2025!$O:$O,"EXTOURNE",FEC_2025!$N:$N,W$4,FEC_2025!$Q:$Q,"6")-SUMIFS(FEC_2025!$M:$M,FEC_2025!$O:$O,"EXTOURNE",FEC_2025!$N:$N,W$4,FEC_2025!$Q:$Q,"7")</f>
      </c>
      <c r="X27" s="12">
        <f>-SUMIFS(FEC_2025!$M:$M,FEC_2025!$O:$O,"EXTOURNE",FEC_2025!$N:$N,X$4,FEC_2025!$Q:$Q,"6")-SUMIFS(FEC_2025!$M:$M,FEC_2025!$O:$O,"EXTOURNE",FEC_2025!$N:$N,X$4,FEC_2025!$Q:$Q,"7")</f>
      </c>
      <c r="Y27" s="12">
        <f>-SUMIFS(FEC_2025!$M:$M,FEC_2025!$O:$O,"EXTOURNE",FEC_2025!$N:$N,Y$4,FEC_2025!$Q:$Q,"6")-SUMIFS(FEC_2025!$M:$M,FEC_2025!$O:$O,"EXTOURNE",FEC_2025!$N:$N,Y$4,FEC_2025!$Q:$Q,"7")</f>
      </c>
    </row>
    <row r="28">
      <c r="A28" s="19" t="inlineStr">
        <is>
          <t xml:space="preserve">Résultat mensuel hors écritures de clôture</t>
        </is>
      </c>
      <c r="B28" s="20">
        <f>B23-B26-B27</f>
      </c>
      <c r="C28" s="20">
        <f>C23-C26-C27</f>
      </c>
      <c r="D28" s="20">
        <f>D23-D26-D27</f>
      </c>
      <c r="E28" s="20">
        <f>E23-E26-E27</f>
      </c>
      <c r="F28" s="20">
        <f>F23-F26-F27</f>
      </c>
      <c r="G28" s="20">
        <f>G23-G26-G27</f>
      </c>
      <c r="H28" s="20">
        <f>H23-H26-H27</f>
      </c>
      <c r="I28" s="20">
        <f>I23-I26-I27</f>
      </c>
      <c r="J28" s="20">
        <f>J23-J26-J27</f>
      </c>
      <c r="K28" s="20">
        <f>K23-K26-K27</f>
      </c>
      <c r="L28" s="20">
        <f>L23-L26-L27</f>
      </c>
      <c r="M28" s="20">
        <f>M23-M26-M27</f>
      </c>
      <c r="N28" s="20">
        <f>N23-N26-N27</f>
      </c>
      <c r="O28" s="20">
        <f>O23-O26-O27</f>
      </c>
      <c r="P28" s="20">
        <f>P23-P26-P27</f>
      </c>
      <c r="Q28" s="20">
        <f>Q23-Q26-Q27</f>
      </c>
      <c r="R28" s="20">
        <f>R23-R26-R27</f>
      </c>
      <c r="S28" s="20">
        <f>S23-S26-S27</f>
      </c>
      <c r="T28" s="20">
        <f>T23-T26-T27</f>
      </c>
      <c r="U28" s="20">
        <f>U23-U26-U27</f>
      </c>
      <c r="V28" s="20">
        <f>V23-V26-V27</f>
      </c>
      <c r="W28" s="20">
        <f>W23-W26-W27</f>
      </c>
      <c r="X28" s="20">
        <f>X23-X26-X27</f>
      </c>
      <c r="Y28" s="20">
        <f>Y23-Y26-Y27</f>
      </c>
    </row>
    <row r="29">
      <c r="A29" s="22" t="inlineStr">
        <is>
          <t xml:space="preserve">EBITDA mensuel hors écritures de clôture (approximation : clôture imputée en totalité à l'EBITDA)</t>
        </is>
      </c>
      <c r="B29" s="12">
        <f>B15-B26-B27</f>
      </c>
      <c r="C29" s="12">
        <f>C15-C26-C27</f>
      </c>
      <c r="D29" s="12">
        <f>D15-D26-D27</f>
      </c>
      <c r="E29" s="12">
        <f>E15-E26-E27</f>
      </c>
      <c r="F29" s="12">
        <f>F15-F26-F27</f>
      </c>
      <c r="G29" s="12">
        <f>G15-G26-G27</f>
      </c>
      <c r="H29" s="12">
        <f>H15-H26-H27</f>
      </c>
      <c r="I29" s="12">
        <f>I15-I26-I27</f>
      </c>
      <c r="J29" s="12">
        <f>J15-J26-J27</f>
      </c>
      <c r="K29" s="12">
        <f>K15-K26-K27</f>
      </c>
      <c r="L29" s="12">
        <f>L15-L26-L27</f>
      </c>
      <c r="M29" s="12">
        <f>M15-M26-M27</f>
      </c>
      <c r="N29" s="12">
        <f>N15-N26-N27</f>
      </c>
      <c r="O29" s="12">
        <f>O15-O26-O27</f>
      </c>
      <c r="P29" s="12">
        <f>P15-P26-P27</f>
      </c>
      <c r="Q29" s="12">
        <f>Q15-Q26-Q27</f>
      </c>
      <c r="R29" s="12">
        <f>R15-R26-R27</f>
      </c>
      <c r="S29" s="12">
        <f>S15-S26-S27</f>
      </c>
      <c r="T29" s="12">
        <f>T15-T26-T27</f>
      </c>
      <c r="U29" s="12">
        <f>U15-U26-U27</f>
      </c>
      <c r="V29" s="12">
        <f>V15-V26-V27</f>
      </c>
      <c r="W29" s="12">
        <f>W15-W26-W27</f>
      </c>
      <c r="X29" s="12">
        <f>X15-X26-X27</f>
      </c>
      <c r="Y29" s="12">
        <f>Y15-Y26-Y27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48" customWidth="1"/>
    <col min="2" max="2" width="16" customWidth="1"/>
    <col min="3" max="3" width="16" customWidth="1"/>
  </cols>
  <sheetData>
    <row r="1">
      <c r="A1" s="1" t="inlineStr">
        <is>
          <t xml:space="preserve">Bilan économique</t>
        </is>
      </c>
    </row>
    <row r="2">
      <c r="A2" s="2" t="inlineStr">
        <is>
          <t xml:space="preserve">En euros. Fournisseurs et trésorerie présentés en négatif ; dette nette positive = endettement net.</t>
        </is>
      </c>
    </row>
    <row r="4">
      <c r="A4" s="3" t="inlineStr">
        <is>
          <t xml:space="preserve">Poste</t>
        </is>
      </c>
      <c r="B4" s="3" t="inlineStr">
        <is>
          <t xml:space="preserve">2024 (31/12/2024)</t>
        </is>
      </c>
      <c r="C4" s="3" t="inlineStr">
        <is>
          <t xml:space="preserve">2025 (31/12/2025)</t>
        </is>
      </c>
    </row>
    <row r="5">
      <c r="A5" s="0" t="inlineStr">
        <is>
          <t xml:space="preserve">Immobilisations incorporelles brutes</t>
        </is>
      </c>
      <c r="B5" s="12">
        <f>SUMIFS(Comptes!$F$5:$F$42,Comptes!$H$5:$H$42,"IMMO_INCORP")</f>
      </c>
      <c r="C5" s="12">
        <f>SUMIFS(Comptes!$I$5:$I$42,Comptes!$K$5:$K$42,"IMMO_INCORP")</f>
      </c>
    </row>
    <row r="6">
      <c r="A6" s="0" t="inlineStr">
        <is>
          <t xml:space="preserve">Immobilisations corporelles brutes</t>
        </is>
      </c>
      <c r="B6" s="12">
        <f>SUMIFS(Comptes!$F$5:$F$42,Comptes!$H$5:$H$42,"IMMO_CORP")</f>
      </c>
      <c r="C6" s="12">
        <f>SUMIFS(Comptes!$I$5:$I$42,Comptes!$K$5:$K$42,"IMMO_CORP")</f>
      </c>
    </row>
    <row r="7">
      <c r="A7" s="0" t="inlineStr">
        <is>
          <t xml:space="preserve">Immobilisations financières</t>
        </is>
      </c>
      <c r="B7" s="12">
        <f>SUMIFS(Comptes!$F$5:$F$42,Comptes!$H$5:$H$42,"IMMO_FIN")</f>
      </c>
      <c r="C7" s="12">
        <f>SUMIFS(Comptes!$I$5:$I$42,Comptes!$K$5:$K$42,"IMMO_FIN")</f>
      </c>
    </row>
    <row r="8">
      <c r="A8" s="0" t="inlineStr">
        <is>
          <t xml:space="preserve">Amortissements et dépréciations</t>
        </is>
      </c>
      <c r="B8" s="12">
        <f>SUMIFS(Comptes!$F$5:$F$42,Comptes!$H$5:$H$42,"AMORT_DEPREC")</f>
      </c>
      <c r="C8" s="12">
        <f>SUMIFS(Comptes!$I$5:$I$42,Comptes!$K$5:$K$42,"AMORT_DEPREC")</f>
      </c>
    </row>
    <row r="9">
      <c r="A9" s="19" t="inlineStr">
        <is>
          <t xml:space="preserve">ACTIF IMMOBILISÉ NET</t>
        </is>
      </c>
      <c r="B9" s="20">
        <f>B5+B6+B7+B8</f>
      </c>
      <c r="C9" s="20">
        <f>C5+C6+C7+C8</f>
      </c>
    </row>
    <row r="10">
      <c r="A10" s="0" t="inlineStr">
        <is>
          <t xml:space="preserve">Stocks et en-cours</t>
        </is>
      </c>
      <c r="B10" s="12">
        <f>SUMIFS(Comptes!$F$5:$F$42,Comptes!$H$5:$H$42,"STOCKS")</f>
      </c>
      <c r="C10" s="12">
        <f>SUMIFS(Comptes!$I$5:$I$42,Comptes!$K$5:$K$42,"STOCKS")</f>
      </c>
    </row>
    <row r="11">
      <c r="A11" s="0" t="inlineStr">
        <is>
          <t xml:space="preserve">Clients nets</t>
        </is>
      </c>
      <c r="B11" s="12">
        <f>SUMIFS(Comptes!$F$5:$F$42,Comptes!$H$5:$H$42,"CLIENTS")</f>
      </c>
      <c r="C11" s="12">
        <f>SUMIFS(Comptes!$I$5:$I$42,Comptes!$K$5:$K$42,"CLIENTS")</f>
      </c>
    </row>
    <row r="12">
      <c r="A12" s="0" t="inlineStr">
        <is>
          <t xml:space="preserve">Fournisseurs</t>
        </is>
      </c>
      <c r="B12" s="12">
        <f>SUMIFS(Comptes!$F$5:$F$42,Comptes!$H$5:$H$42,"FOURNISSEURS")</f>
      </c>
      <c r="C12" s="12">
        <f>SUMIFS(Comptes!$I$5:$I$42,Comptes!$K$5:$K$42,"FOURNISSEURS")</f>
      </c>
    </row>
    <row r="13">
      <c r="A13" s="19" t="inlineStr">
        <is>
          <t xml:space="preserve">BFR d'exploitation</t>
        </is>
      </c>
      <c r="B13" s="20">
        <f>B10+B11+B12</f>
      </c>
      <c r="C13" s="20">
        <f>C10+C11+C12</f>
      </c>
    </row>
    <row r="14">
      <c r="A14" s="0" t="inlineStr">
        <is>
          <t xml:space="preserve">Dettes fiscales nettes (TVA, IS, CFE)</t>
        </is>
      </c>
      <c r="B14" s="12">
        <f>SUMIFS(Comptes!$F$5:$F$42,Comptes!$H$5:$H$42,"DETTES_FISCALES")</f>
      </c>
      <c r="C14" s="12">
        <f>SUMIFS(Comptes!$I$5:$I$42,Comptes!$K$5:$K$42,"DETTES_FISCALES")</f>
      </c>
    </row>
    <row r="15">
      <c r="A15" s="0" t="inlineStr">
        <is>
          <t xml:space="preserve">Dettes sociales</t>
        </is>
      </c>
      <c r="B15" s="12">
        <f>SUMIFS(Comptes!$F$5:$F$42,Comptes!$H$5:$H$42,"DETTES_SOCIALES")</f>
      </c>
      <c r="C15" s="12">
        <f>SUMIFS(Comptes!$I$5:$I$42,Comptes!$K$5:$K$42,"DETTES_SOCIALES")</f>
      </c>
    </row>
    <row r="16">
      <c r="A16" s="0" t="inlineStr">
        <is>
          <t xml:space="preserve">Autres créances</t>
        </is>
      </c>
      <c r="B16" s="12">
        <f>SUMIFS(Comptes!$F$5:$F$42,Comptes!$H$5:$H$42,"AUTRES_CREANCES")</f>
      </c>
      <c r="C16" s="12">
        <f>SUMIFS(Comptes!$I$5:$I$42,Comptes!$K$5:$K$42,"AUTRES_CREANCES")</f>
      </c>
    </row>
    <row r="17">
      <c r="A17" s="0" t="inlineStr">
        <is>
          <t xml:space="preserve">Autres dettes</t>
        </is>
      </c>
      <c r="B17" s="12">
        <f>SUMIFS(Comptes!$F$5:$F$42,Comptes!$H$5:$H$42,"AUTRES_DETTES")</f>
      </c>
      <c r="C17" s="12">
        <f>SUMIFS(Comptes!$I$5:$I$42,Comptes!$K$5:$K$42,"AUTRES_DETTES")</f>
      </c>
    </row>
    <row r="18">
      <c r="A18" s="0" t="inlineStr">
        <is>
          <t xml:space="preserve">Charges et produits constatés d'avance</t>
        </is>
      </c>
      <c r="B18" s="12">
        <f>SUMIFS(Comptes!$F$5:$F$42,Comptes!$H$5:$H$42,"CCA_PCA")</f>
      </c>
      <c r="C18" s="12">
        <f>SUMIFS(Comptes!$I$5:$I$42,Comptes!$K$5:$K$42,"CCA_PCA")</f>
      </c>
    </row>
    <row r="19">
      <c r="A19" s="19" t="inlineStr">
        <is>
          <t xml:space="preserve">BFR hors exploitation</t>
        </is>
      </c>
      <c r="B19" s="20">
        <f>B14+B15+B16+B17+B18</f>
      </c>
      <c r="C19" s="20">
        <f>C14+C15+C16+C17+C18</f>
      </c>
    </row>
    <row r="20">
      <c r="A20" s="19" t="inlineStr">
        <is>
          <t xml:space="preserve">BFR TOTAL</t>
        </is>
      </c>
      <c r="B20" s="20">
        <f>B13+B19</f>
      </c>
      <c r="C20" s="20">
        <f>C13+C19</f>
      </c>
    </row>
    <row r="21">
      <c r="A21" s="19" t="inlineStr">
        <is>
          <t xml:space="preserve">ACTIF ÉCONOMIQUE</t>
        </is>
      </c>
      <c r="B21" s="20">
        <f>B9+B20</f>
      </c>
      <c r="C21" s="20">
        <f>C9+C20</f>
      </c>
    </row>
    <row r="22">
      <c r="A22" s="0" t="inlineStr">
        <is>
          <t xml:space="preserve">Trésorerie active</t>
        </is>
      </c>
      <c r="B22" s="12">
        <f>-SUMIFS(Comptes!$F$5:$F$42,Comptes!$H$5:$H$42,"TRESORERIE")</f>
      </c>
      <c r="C22" s="12">
        <f>-SUMIFS(Comptes!$I$5:$I$42,Comptes!$K$5:$K$42,"TRESORERIE")</f>
      </c>
    </row>
    <row r="23">
      <c r="A23" s="0" t="inlineStr">
        <is>
          <t xml:space="preserve">Compte courant factor (solde débiteur = disponible)</t>
        </is>
      </c>
      <c r="B23" s="12">
        <f>-SUMIFS(Comptes!$F$5:$F$42,Comptes!$H$5:$H$42,"FACTOR_CC")</f>
      </c>
      <c r="C23" s="12">
        <f>-SUMIFS(Comptes!$I$5:$I$42,Comptes!$K$5:$K$42,"FACTOR_CC")</f>
      </c>
    </row>
    <row r="24">
      <c r="A24" s="0" t="inlineStr">
        <is>
          <t xml:space="preserve">Concours bancaires courants</t>
        </is>
      </c>
      <c r="B24" s="12">
        <f>-SUMIFS(Comptes!$F$5:$F$42,Comptes!$H$5:$H$42,"CONCOURS_BANCAIRES")</f>
      </c>
      <c r="C24" s="12">
        <f>-SUMIFS(Comptes!$I$5:$I$42,Comptes!$K$5:$K$42,"CONCOURS_BANCAIRES")</f>
      </c>
    </row>
    <row r="25">
      <c r="A25" s="0" t="inlineStr">
        <is>
          <t xml:space="preserve">Emprunts (y c. intérêts courus)</t>
        </is>
      </c>
      <c r="B25" s="12">
        <f>-SUMIFS(Comptes!$F$5:$F$42,Comptes!$H$5:$H$42,"EMPRUNTS")</f>
      </c>
      <c r="C25" s="12">
        <f>-SUMIFS(Comptes!$I$5:$I$42,Comptes!$K$5:$K$42,"EMPRUNTS")</f>
      </c>
    </row>
    <row r="26">
      <c r="A26" s="0" t="inlineStr">
        <is>
          <t xml:space="preserve">Comptes courants d'associés</t>
        </is>
      </c>
      <c r="B26" s="12">
        <f>-SUMIFS(Comptes!$F$5:$F$42,Comptes!$H$5:$H$42,"COMPTES_COURANTS")</f>
      </c>
      <c r="C26" s="12">
        <f>-SUMIFS(Comptes!$I$5:$I$42,Comptes!$K$5:$K$42,"COMPTES_COURANTS")</f>
      </c>
    </row>
    <row r="27">
      <c r="A27" s="19" t="inlineStr">
        <is>
          <t xml:space="preserve">DETTE NETTE (y c. comptes courants)</t>
        </is>
      </c>
      <c r="B27" s="20">
        <f>B22+B23+B24+B25+B26</f>
      </c>
      <c r="C27" s="20">
        <f>C22+C23+C24+C25+C26</f>
      </c>
    </row>
    <row r="28">
      <c r="A28" s="0" t="inlineStr">
        <is>
          <t xml:space="preserve">Capitaux propres hors résultat</t>
        </is>
      </c>
      <c r="B28" s="12">
        <f>-SUMIFS(Comptes!$F$5:$F$42,Comptes!$H$5:$H$42,"CAPITAUX_PROPRES")</f>
      </c>
      <c r="C28" s="12">
        <f>-SUMIFS(Comptes!$I$5:$I$42,Comptes!$K$5:$K$42,"CAPITAUX_PROPRES")</f>
      </c>
    </row>
    <row r="29">
      <c r="A29" s="0" t="inlineStr">
        <is>
          <t xml:space="preserve">Résultat de l'exercice</t>
        </is>
      </c>
      <c r="B29" s="12">
        <f>-SUMIFS(Comptes!$F$5:$F$42,Comptes!$A$5:$A$42,"6*")-SUMIFS(Comptes!$F$5:$F$42,Comptes!$A$5:$A$42,"7*")</f>
      </c>
      <c r="C29" s="12">
        <f>-SUMIFS(Comptes!$I$5:$I$42,Comptes!$A$5:$A$42,"6*")-SUMIFS(Comptes!$I$5:$I$42,Comptes!$A$5:$A$42,"7*")</f>
      </c>
    </row>
    <row r="30">
      <c r="A30" s="0" t="inlineStr">
        <is>
          <t xml:space="preserve">Provisions pour risques et charges</t>
        </is>
      </c>
      <c r="B30" s="12">
        <f>-SUMIFS(Comptes!$F$5:$F$42,Comptes!$H$5:$H$42,"PROVISIONS")</f>
      </c>
      <c r="C30" s="12">
        <f>-SUMIFS(Comptes!$I$5:$I$42,Comptes!$K$5:$K$42,"PROVISIONS")</f>
      </c>
    </row>
    <row r="31">
      <c r="A31" s="19" t="inlineStr">
        <is>
          <t xml:space="preserve">CAPITAUX PROPRES ET PROVISIONS</t>
        </is>
      </c>
      <c r="B31" s="20">
        <f>B28+B29+B30</f>
      </c>
      <c r="C31" s="20">
        <f>C28+C29+C30</f>
      </c>
    </row>
    <row r="32">
      <c r="A32" s="19" t="inlineStr">
        <is>
          <t xml:space="preserve">Contrôle : actif économique - dette nette - capitaux propres</t>
        </is>
      </c>
      <c r="B32" s="20">
        <f>B21-B27-B31</f>
      </c>
      <c r="C32" s="20">
        <f>C21-C27-C31</f>
      </c>
    </row>
    <row r="34">
      <c r="A34" s="13" t="inlineStr">
        <is>
          <t xml:space="preserve">Ratios de rotation</t>
        </is>
      </c>
    </row>
    <row r="35">
      <c r="A35" s="0" t="inlineStr">
        <is>
          <t xml:space="preserve">Taux de TVA moyen appliqué au CA et aux achats (hypothèse, modifiable)</t>
        </is>
      </c>
      <c r="B35" s="24">
        <v>0.2</v>
      </c>
    </row>
    <row r="36">
      <c r="A36" s="0" t="inlineStr">
        <is>
          <t xml:space="preserve">Nombre de jours de la période</t>
        </is>
      </c>
      <c r="B36" s="25">
        <v>366</v>
      </c>
      <c r="C36" s="25">
        <v>365</v>
      </c>
    </row>
    <row r="37">
      <c r="A37" s="0" t="inlineStr">
        <is>
          <t xml:space="preserve">DSO (clients nets TTC / CA TTC)</t>
        </is>
      </c>
      <c r="B37" s="26">
        <f>IF(PnL_annuel!B5=0,0,B11/(PnL_annuel!B5*(1+$B$35))*B$36)</f>
      </c>
      <c r="C37" s="26">
        <f>IF(PnL_annuel!D5=0,0,C11/(PnL_annuel!D5*(1+$B$35))*C$36)</f>
      </c>
    </row>
    <row r="38">
      <c r="A38" s="0" t="inlineStr">
        <is>
          <t xml:space="preserve">DPO (fournisseurs TTC / coûts directs et charges externes TTC)</t>
        </is>
      </c>
      <c r="B38" s="26">
        <f>IF((PnL_annuel!B9+PnL_annuel!B11)=0,0,B12/((PnL_annuel!B9+PnL_annuel!B11)*(1+$B$35))*B$36)</f>
      </c>
      <c r="C38" s="26">
        <f>IF((PnL_annuel!D9+PnL_annuel!D11)=0,0,C12/((PnL_annuel!D9+PnL_annuel!D11)*(1+$B$35))*C$36)</f>
      </c>
    </row>
    <row r="39">
      <c r="A39" s="0" t="inlineStr">
        <is>
          <t xml:space="preserve">BFR d'exploitation en jours de CA HT</t>
        </is>
      </c>
      <c r="B39" s="26">
        <f>IF(PnL_annuel!B5=0,0,B13/PnL_annuel!B5*B$36)</f>
      </c>
      <c r="C39" s="26">
        <f>IF(PnL_annuel!D5=0,0,C13/PnL_annuel!D5*C$36)</f>
      </c>
    </row>
    <row r="40">
      <c r="A40" s="0" t="inlineStr">
        <is>
          <t xml:space="preserve">Dette nette / EBITDA (annualisé si période partielle)</t>
        </is>
      </c>
      <c r="B40" s="27">
        <f>IF(PnL_annuel!B15&lt;=0,"n.s.",B27/(PnL_annuel!B15*365/B$36))</f>
      </c>
      <c r="C40" s="27">
        <f>IF(PnL_annuel!D15&lt;=0,"n.s.",C27/(PnL_annuel!D15*365/C$36))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2" ySplit="4" topLeftCell="C5" activePane="bottomRight" state="frozen"/>
    </sheetView>
  </sheetViews>
  <sheetFormatPr defaultRowHeight="12.75"/>
  <cols>
    <col min="1" max="1" width="13" customWidth="1"/>
    <col min="2" max="2" width="28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</cols>
  <sheetData>
    <row r="1">
      <c r="A1" s="1" t="inlineStr">
        <is>
          <t xml:space="preserve">Trésorerie comptable fin de mois</t>
        </is>
      </c>
    </row>
    <row r="2">
      <c r="A2" s="2" t="inlineStr">
        <is>
          <t xml:space="preserve">Soldes des comptes 51 et 53 (hors intérêts courus 518) à chaque fin de mois, à-nouveaux inclus. Positif = disponible.</t>
        </is>
      </c>
    </row>
    <row r="3">
      <c r="C3" s="28">
        <v>45322</v>
      </c>
      <c r="D3" s="28">
        <v>45351</v>
      </c>
      <c r="E3" s="28">
        <v>45382</v>
      </c>
      <c r="F3" s="28">
        <v>45412</v>
      </c>
      <c r="G3" s="28">
        <v>45443</v>
      </c>
      <c r="H3" s="28">
        <v>45473</v>
      </c>
      <c r="I3" s="28">
        <v>45504</v>
      </c>
      <c r="J3" s="28">
        <v>45535</v>
      </c>
      <c r="K3" s="28">
        <v>45565</v>
      </c>
      <c r="L3" s="28">
        <v>45596</v>
      </c>
      <c r="M3" s="28">
        <v>45626</v>
      </c>
      <c r="N3" s="28">
        <v>45657</v>
      </c>
      <c r="O3" s="28">
        <v>45688</v>
      </c>
      <c r="P3" s="28">
        <v>45716</v>
      </c>
      <c r="Q3" s="28">
        <v>45747</v>
      </c>
      <c r="R3" s="28">
        <v>45777</v>
      </c>
      <c r="S3" s="28">
        <v>45808</v>
      </c>
      <c r="T3" s="28">
        <v>45838</v>
      </c>
      <c r="U3" s="28">
        <v>45869</v>
      </c>
      <c r="V3" s="28">
        <v>45900</v>
      </c>
      <c r="W3" s="28">
        <v>45930</v>
      </c>
      <c r="X3" s="28">
        <v>45961</v>
      </c>
      <c r="Y3" s="28">
        <v>45991</v>
      </c>
      <c r="Z3" s="28">
        <v>46022</v>
      </c>
    </row>
    <row r="4">
      <c r="A4" s="3" t="inlineStr">
        <is>
          <t xml:space="preserve">Compte</t>
        </is>
      </c>
      <c r="B4" s="3" t="inlineStr">
        <is>
          <t xml:space="preserve">Libellé</t>
        </is>
      </c>
      <c r="C4" s="3" t="inlineStr">
        <is>
          <t xml:space="preserve">2024-01</t>
        </is>
      </c>
      <c r="D4" s="3" t="inlineStr">
        <is>
          <t xml:space="preserve">2024-02</t>
        </is>
      </c>
      <c r="E4" s="3" t="inlineStr">
        <is>
          <t xml:space="preserve">2024-03</t>
        </is>
      </c>
      <c r="F4" s="3" t="inlineStr">
        <is>
          <t xml:space="preserve">2024-04</t>
        </is>
      </c>
      <c r="G4" s="3" t="inlineStr">
        <is>
          <t xml:space="preserve">2024-05</t>
        </is>
      </c>
      <c r="H4" s="3" t="inlineStr">
        <is>
          <t xml:space="preserve">2024-06</t>
        </is>
      </c>
      <c r="I4" s="3" t="inlineStr">
        <is>
          <t xml:space="preserve">2024-07</t>
        </is>
      </c>
      <c r="J4" s="3" t="inlineStr">
        <is>
          <t xml:space="preserve">2024-08</t>
        </is>
      </c>
      <c r="K4" s="3" t="inlineStr">
        <is>
          <t xml:space="preserve">2024-09</t>
        </is>
      </c>
      <c r="L4" s="3" t="inlineStr">
        <is>
          <t xml:space="preserve">2024-10</t>
        </is>
      </c>
      <c r="M4" s="3" t="inlineStr">
        <is>
          <t xml:space="preserve">2024-11</t>
        </is>
      </c>
      <c r="N4" s="3" t="inlineStr">
        <is>
          <t xml:space="preserve">2024-12</t>
        </is>
      </c>
      <c r="O4" s="3" t="inlineStr">
        <is>
          <t xml:space="preserve">2025-01</t>
        </is>
      </c>
      <c r="P4" s="3" t="inlineStr">
        <is>
          <t xml:space="preserve">2025-02</t>
        </is>
      </c>
      <c r="Q4" s="3" t="inlineStr">
        <is>
          <t xml:space="preserve">2025-03</t>
        </is>
      </c>
      <c r="R4" s="3" t="inlineStr">
        <is>
          <t xml:space="preserve">2025-04</t>
        </is>
      </c>
      <c r="S4" s="3" t="inlineStr">
        <is>
          <t xml:space="preserve">2025-05</t>
        </is>
      </c>
      <c r="T4" s="3" t="inlineStr">
        <is>
          <t xml:space="preserve">2025-06</t>
        </is>
      </c>
      <c r="U4" s="3" t="inlineStr">
        <is>
          <t xml:space="preserve">2025-07</t>
        </is>
      </c>
      <c r="V4" s="3" t="inlineStr">
        <is>
          <t xml:space="preserve">2025-08</t>
        </is>
      </c>
      <c r="W4" s="3" t="inlineStr">
        <is>
          <t xml:space="preserve">2025-09</t>
        </is>
      </c>
      <c r="X4" s="3" t="inlineStr">
        <is>
          <t xml:space="preserve">2025-10</t>
        </is>
      </c>
      <c r="Y4" s="3" t="inlineStr">
        <is>
          <t xml:space="preserve">2025-11</t>
        </is>
      </c>
      <c r="Z4" s="3" t="inlineStr">
        <is>
          <t xml:space="preserve">2025-12</t>
        </is>
      </c>
    </row>
    <row r="5">
      <c r="A5" s="4" t="inlineStr">
        <is>
          <t xml:space="preserve">512000</t>
        </is>
      </c>
      <c r="B5" s="0" t="inlineStr">
        <is>
          <t xml:space="preserve">Banque Fictive</t>
        </is>
      </c>
      <c r="C5" s="12">
        <f>SUMIFS(FEC_2024!$M:$M,FEC_2024!$E:$E,$A5,FEC_2024!$D:$D,"&lt;="&amp;C$3)</f>
      </c>
      <c r="D5" s="12">
        <f>SUMIFS(FEC_2024!$M:$M,FEC_2024!$E:$E,$A5,FEC_2024!$D:$D,"&lt;="&amp;D$3)</f>
      </c>
      <c r="E5" s="12">
        <f>SUMIFS(FEC_2024!$M:$M,FEC_2024!$E:$E,$A5,FEC_2024!$D:$D,"&lt;="&amp;E$3)</f>
      </c>
      <c r="F5" s="12">
        <f>SUMIFS(FEC_2024!$M:$M,FEC_2024!$E:$E,$A5,FEC_2024!$D:$D,"&lt;="&amp;F$3)</f>
      </c>
      <c r="G5" s="12">
        <f>SUMIFS(FEC_2024!$M:$M,FEC_2024!$E:$E,$A5,FEC_2024!$D:$D,"&lt;="&amp;G$3)</f>
      </c>
      <c r="H5" s="12">
        <f>SUMIFS(FEC_2024!$M:$M,FEC_2024!$E:$E,$A5,FEC_2024!$D:$D,"&lt;="&amp;H$3)</f>
      </c>
      <c r="I5" s="12">
        <f>SUMIFS(FEC_2024!$M:$M,FEC_2024!$E:$E,$A5,FEC_2024!$D:$D,"&lt;="&amp;I$3)</f>
      </c>
      <c r="J5" s="12">
        <f>SUMIFS(FEC_2024!$M:$M,FEC_2024!$E:$E,$A5,FEC_2024!$D:$D,"&lt;="&amp;J$3)</f>
      </c>
      <c r="K5" s="12">
        <f>SUMIFS(FEC_2024!$M:$M,FEC_2024!$E:$E,$A5,FEC_2024!$D:$D,"&lt;="&amp;K$3)</f>
      </c>
      <c r="L5" s="12">
        <f>SUMIFS(FEC_2024!$M:$M,FEC_2024!$E:$E,$A5,FEC_2024!$D:$D,"&lt;="&amp;L$3)</f>
      </c>
      <c r="M5" s="12">
        <f>SUMIFS(FEC_2024!$M:$M,FEC_2024!$E:$E,$A5,FEC_2024!$D:$D,"&lt;="&amp;M$3)</f>
      </c>
      <c r="N5" s="12">
        <f>SUMIFS(FEC_2024!$M:$M,FEC_2024!$E:$E,$A5,FEC_2024!$D:$D,"&lt;="&amp;N$3)</f>
      </c>
      <c r="O5" s="12">
        <f>SUMIFS(FEC_2025!$M:$M,FEC_2025!$E:$E,$A5,FEC_2025!$D:$D,"&lt;="&amp;O$3)</f>
      </c>
      <c r="P5" s="12">
        <f>SUMIFS(FEC_2025!$M:$M,FEC_2025!$E:$E,$A5,FEC_2025!$D:$D,"&lt;="&amp;P$3)</f>
      </c>
      <c r="Q5" s="12">
        <f>SUMIFS(FEC_2025!$M:$M,FEC_2025!$E:$E,$A5,FEC_2025!$D:$D,"&lt;="&amp;Q$3)</f>
      </c>
      <c r="R5" s="12">
        <f>SUMIFS(FEC_2025!$M:$M,FEC_2025!$E:$E,$A5,FEC_2025!$D:$D,"&lt;="&amp;R$3)</f>
      </c>
      <c r="S5" s="12">
        <f>SUMIFS(FEC_2025!$M:$M,FEC_2025!$E:$E,$A5,FEC_2025!$D:$D,"&lt;="&amp;S$3)</f>
      </c>
      <c r="T5" s="12">
        <f>SUMIFS(FEC_2025!$M:$M,FEC_2025!$E:$E,$A5,FEC_2025!$D:$D,"&lt;="&amp;T$3)</f>
      </c>
      <c r="U5" s="12">
        <f>SUMIFS(FEC_2025!$M:$M,FEC_2025!$E:$E,$A5,FEC_2025!$D:$D,"&lt;="&amp;U$3)</f>
      </c>
      <c r="V5" s="12">
        <f>SUMIFS(FEC_2025!$M:$M,FEC_2025!$E:$E,$A5,FEC_2025!$D:$D,"&lt;="&amp;V$3)</f>
      </c>
      <c r="W5" s="12">
        <f>SUMIFS(FEC_2025!$M:$M,FEC_2025!$E:$E,$A5,FEC_2025!$D:$D,"&lt;="&amp;W$3)</f>
      </c>
      <c r="X5" s="12">
        <f>SUMIFS(FEC_2025!$M:$M,FEC_2025!$E:$E,$A5,FEC_2025!$D:$D,"&lt;="&amp;X$3)</f>
      </c>
      <c r="Y5" s="12">
        <f>SUMIFS(FEC_2025!$M:$M,FEC_2025!$E:$E,$A5,FEC_2025!$D:$D,"&lt;="&amp;Y$3)</f>
      </c>
      <c r="Z5" s="12">
        <f>SUMIFS(FEC_2025!$M:$M,FEC_2025!$E:$E,$A5,FEC_2025!$D:$D,"&lt;="&amp;Z$3)</f>
      </c>
    </row>
    <row r="6">
      <c r="A6" s="19" t="inlineStr">
        <is>
          <t xml:space="preserve">TOTAL TRÉSORERIE</t>
        </is>
      </c>
      <c r="B6" s="19"/>
      <c r="C6" s="20">
        <f>SUM(C5:C5)</f>
      </c>
      <c r="D6" s="20">
        <f>SUM(D5:D5)</f>
      </c>
      <c r="E6" s="20">
        <f>SUM(E5:E5)</f>
      </c>
      <c r="F6" s="20">
        <f>SUM(F5:F5)</f>
      </c>
      <c r="G6" s="20">
        <f>SUM(G5:G5)</f>
      </c>
      <c r="H6" s="20">
        <f>SUM(H5:H5)</f>
      </c>
      <c r="I6" s="20">
        <f>SUM(I5:I5)</f>
      </c>
      <c r="J6" s="20">
        <f>SUM(J5:J5)</f>
      </c>
      <c r="K6" s="20">
        <f>SUM(K5:K5)</f>
      </c>
      <c r="L6" s="20">
        <f>SUM(L5:L5)</f>
      </c>
      <c r="M6" s="20">
        <f>SUM(M5:M5)</f>
      </c>
      <c r="N6" s="20">
        <f>SUM(N5:N5)</f>
      </c>
      <c r="O6" s="20">
        <f>SUM(O5:O5)</f>
      </c>
      <c r="P6" s="20">
        <f>SUM(P5:P5)</f>
      </c>
      <c r="Q6" s="20">
        <f>SUM(Q5:Q5)</f>
      </c>
      <c r="R6" s="20">
        <f>SUM(R5:R5)</f>
      </c>
      <c r="S6" s="20">
        <f>SUM(S5:S5)</f>
      </c>
      <c r="T6" s="20">
        <f>SUM(T5:T5)</f>
      </c>
      <c r="U6" s="20">
        <f>SUM(U5:U5)</f>
      </c>
      <c r="V6" s="20">
        <f>SUM(V5:V5)</f>
      </c>
      <c r="W6" s="20">
        <f>SUM(W5:W5)</f>
      </c>
      <c r="X6" s="20">
        <f>SUM(X5:X5)</f>
      </c>
      <c r="Y6" s="20">
        <f>SUM(Y5:Y5)</f>
      </c>
      <c r="Z6" s="20">
        <f>SUM(Z5:Z5)</f>
      </c>
    </row>
    <row r="8">
      <c r="A8" s="13" t="inlineStr">
        <is>
          <t xml:space="preserve">Point bas par exercice</t>
        </is>
      </c>
    </row>
    <row r="9">
      <c r="A9" s="0" t="inlineStr">
        <is>
          <t xml:space="preserve">2024</t>
        </is>
      </c>
      <c r="C9" s="29">
        <f>MIN(C6:N6)</f>
      </c>
    </row>
    <row r="10">
      <c r="A10" s="0" t="inlineStr">
        <is>
          <t xml:space="preserve">2025</t>
        </is>
      </c>
      <c r="C10" s="29">
        <f>MIN(O6:Z6)</f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58" customWidth="1"/>
    <col min="2" max="2" width="15" customWidth="1"/>
    <col min="3" max="3" width="15" customWidth="1"/>
    <col min="4" max="4" width="70" customWidth="1"/>
  </cols>
  <sheetData>
    <row r="1">
      <c r="A1" s="1" t="inlineStr">
        <is>
          <t xml:space="preserve">Créances clients : concentration, intragroupe, ancienneté, coupure</t>
        </is>
      </c>
    </row>
    <row r="2">
      <c r="A2" s="2" t="inlineStr">
        <is>
          <t xml:space="preserve">Valeurs calculées par l'application (non recalculées dans Excel). Ancienneté : solde exact de chaque client imputé sur ses factures les plus récentes (FIFO), indépendamment du lettrage.</t>
        </is>
      </c>
    </row>
    <row r="4">
      <c r="A4" s="3" t="inlineStr">
        <is>
          <t xml:space="preserve">Indicateur</t>
        </is>
      </c>
      <c r="B4" s="3" t="inlineStr">
        <is>
          <t xml:space="preserve">2024</t>
        </is>
      </c>
      <c r="C4" s="3" t="inlineStr">
        <is>
          <t xml:space="preserve">2025</t>
        </is>
      </c>
      <c r="D4" s="3" t="inlineStr">
        <is>
          <t xml:space="preserve">Lecture</t>
        </is>
      </c>
    </row>
    <row r="5">
      <c r="A5" s="0" t="inlineStr">
        <is>
          <t xml:space="preserve">Chiffre d'affaires facturé HT (journaux de ventes)</t>
        </is>
      </c>
      <c r="B5" s="12">
        <v>1983333.31</v>
      </c>
      <c r="C5" s="12">
        <v>1519999.97</v>
      </c>
      <c r="D5" s="30"/>
    </row>
    <row r="6">
      <c r="A6" s="0" t="inlineStr">
        <is>
          <t xml:space="preserve">dont sociétés du groupe</t>
        </is>
      </c>
      <c r="B6" s="12">
        <v>0</v>
      </c>
      <c r="C6" s="12">
        <v>0</v>
      </c>
      <c r="D6" s="30" t="inlineStr">
        <is>
          <t xml:space="preserve">Sociétés du groupe : aucune identifiée</t>
        </is>
      </c>
    </row>
    <row r="7">
      <c r="A7" s="0" t="inlineStr">
        <is>
          <t xml:space="preserve">Part intragroupe du chiffre d'affaires</t>
        </is>
      </c>
      <c r="B7" s="23">
        <v>0</v>
      </c>
      <c r="C7" s="23">
        <v>0</v>
      </c>
      <c r="D7" s="30"/>
    </row>
    <row r="8">
      <c r="A8" s="0" t="inlineStr">
        <is>
          <t xml:space="preserve">Nombre de clients facturés</t>
        </is>
      </c>
      <c r="B8" s="31">
        <v>8</v>
      </c>
      <c r="C8" s="31">
        <v>8</v>
      </c>
      <c r="D8" s="30"/>
    </row>
    <row r="9">
      <c r="A9" s="0" t="inlineStr">
        <is>
          <t xml:space="preserve">Poids du 1er client hors groupe</t>
        </is>
      </c>
      <c r="B9" s="23">
        <v>0.16751850449181432</v>
      </c>
      <c r="C9" s="23">
        <v>0.20103799738890782</v>
      </c>
      <c r="D9" s="30" t="inlineStr">
        <is>
          <t xml:space="preserve">Au-delà de 20 % : dépendance à documenter (contrat, solvabilité du client).</t>
        </is>
      </c>
    </row>
    <row r="10">
      <c r="A10" s="0" t="inlineStr">
        <is>
          <t xml:space="preserve">Poids des 5 premiers clients hors groupe</t>
        </is>
      </c>
      <c r="B10" s="23">
        <v>0.7500860256312641</v>
      </c>
      <c r="C10" s="23">
        <v>0.750153337174079</v>
      </c>
      <c r="D10" s="30"/>
    </row>
    <row r="11">
      <c r="A11" s="0" t="inlineStr">
        <is>
          <t xml:space="preserve">Poids des 10 premiers clients hors groupe</t>
        </is>
      </c>
      <c r="B11" s="23">
        <v>1</v>
      </c>
      <c r="C11" s="23">
        <v>1</v>
      </c>
      <c r="D11" s="30"/>
    </row>
    <row r="12">
      <c r="A12" s="0" t="inlineStr">
        <is>
          <t xml:space="preserve">Solde des comptes clients (411 à 417)</t>
        </is>
      </c>
      <c r="B12" s="12">
        <v>258238.9</v>
      </c>
      <c r="C12" s="12">
        <v>515457.32</v>
      </c>
      <c r="D12" s="30"/>
    </row>
    <row r="13">
      <c r="A13" s="0" t="inlineStr">
        <is>
          <t xml:space="preserve">Encours clients hors groupe</t>
        </is>
      </c>
      <c r="B13" s="12">
        <v>258238.9</v>
      </c>
      <c r="C13" s="12">
        <v>515457.32</v>
      </c>
      <c r="D13" s="30"/>
    </row>
    <row r="14">
      <c r="A14" s="0" t="inlineStr">
        <is>
          <t xml:space="preserve">dont plus de 90 jours</t>
        </is>
      </c>
      <c r="B14" s="12">
        <v>0</v>
      </c>
      <c r="C14" s="12">
        <v>48000</v>
      </c>
      <c r="D14" s="30"/>
    </row>
    <row r="15">
      <c r="A15" s="0" t="inlineStr">
        <is>
          <t xml:space="preserve">dont plus de 180 jours</t>
        </is>
      </c>
      <c r="B15" s="12">
        <v>0</v>
      </c>
      <c r="C15" s="12">
        <v>25113.06</v>
      </c>
      <c r="D15" s="30" t="inlineStr">
        <is>
          <t xml:space="preserve">Créances anciennes non provisionnées : risque de surévaluation de l'actif.</t>
        </is>
      </c>
    </row>
    <row r="16">
      <c r="A16" s="0" t="inlineStr">
        <is>
          <t xml:space="preserve">Encours sur les sociétés du groupe</t>
        </is>
      </c>
      <c r="B16" s="12">
        <v>0</v>
      </c>
      <c r="C16" s="12">
        <v>0</v>
      </c>
      <c r="D16" s="30" t="inlineStr">
        <is>
          <t xml:space="preserve">Recouvrabilité à apprécier au niveau du groupe (situation de la société débitrice).</t>
        </is>
      </c>
    </row>
    <row r="17">
      <c r="A17" s="0" t="inlineStr">
        <is>
          <t xml:space="preserve">Clients créditeurs (trop-perçus, acomptes non imputés)</t>
        </is>
      </c>
      <c r="B17" s="12">
        <v>0</v>
      </c>
      <c r="C17" s="12">
        <v>0</v>
      </c>
      <c r="D17" s="30"/>
    </row>
    <row r="18">
      <c r="A18" s="0" t="inlineStr">
        <is>
          <t xml:space="preserve">Créances douteuses (416)</t>
        </is>
      </c>
      <c r="B18" s="12">
        <v>0</v>
      </c>
      <c r="C18" s="12">
        <v>0</v>
      </c>
      <c r="D18" s="30"/>
    </row>
    <row r="19">
      <c r="A19" s="0" t="inlineStr">
        <is>
          <t xml:space="preserve">Provisions pour dépréciation (491)</t>
        </is>
      </c>
      <c r="B19" s="12">
        <v>0</v>
      </c>
      <c r="C19" s="12">
        <v>0</v>
      </c>
      <c r="D19" s="30"/>
    </row>
    <row r="20">
      <c r="A20" s="0" t="inlineStr">
        <is>
          <t xml:space="preserve">Factures à établir (418)</t>
        </is>
      </c>
      <c r="B20" s="12">
        <v>0</v>
      </c>
      <c r="C20" s="12">
        <v>0</v>
      </c>
      <c r="D20" s="30" t="inlineStr">
        <is>
          <t xml:space="preserve">Un montant identique d'un exercice à l'autre est anormal (produit ancien non facturé).</t>
        </is>
      </c>
    </row>
    <row r="21">
      <c r="A21" s="0" t="inlineStr">
        <is>
          <t xml:space="preserve">DSO clients hors groupe (jours)</t>
        </is>
      </c>
      <c r="B21" s="31">
        <v>40</v>
      </c>
      <c r="C21" s="31">
        <v>103</v>
      </c>
      <c r="D21" s="30" t="inlineStr">
        <is>
          <t xml:space="preserve">Encours TTC hors groupe / CA TTC hors groupe × jours de la période.</t>
        </is>
      </c>
    </row>
    <row r="22">
      <c r="A22" s="0" t="inlineStr">
        <is>
          <t xml:space="preserve">Lettrage : part du facturé lettrée</t>
        </is>
      </c>
      <c r="B22" s="23">
        <v>0.8914962595924054</v>
      </c>
      <c r="C22" s="23">
        <v>0.7174027819890654</v>
      </c>
      <c r="D22" s="30" t="inlineStr">
        <is>
          <t xml:space="preserve">Sous 70 % : les délais issus du lettrage sont peu fiables ; l'ancienneté FIFO ci-dessus n'en dépend pas.</t>
        </is>
      </c>
    </row>
    <row r="23">
      <c r="A23" s="0" t="inlineStr">
        <is>
          <t xml:space="preserve">Facturation des 5 derniers jours (HT)</t>
        </is>
      </c>
      <c r="B23" s="12">
        <v>31815.11</v>
      </c>
      <c r="C23" s="12">
        <v>109914.24</v>
      </c>
      <c r="D23" s="30"/>
    </row>
    <row r="24">
      <c r="A24" s="0" t="inlineStr">
        <is>
          <t xml:space="preserve">Moyenne de 5 jours sur l'exercice (HT)</t>
        </is>
      </c>
      <c r="B24" s="12">
        <v>27094.72</v>
      </c>
      <c r="C24" s="12">
        <v>20821.92</v>
      </c>
      <c r="D24" s="30"/>
    </row>
    <row r="25">
      <c r="A25" s="0" t="inlineStr">
        <is>
          <t xml:space="preserve">Ratio fin d'exercice / moyenne</t>
        </is>
      </c>
      <c r="B25" s="27">
        <v>1.1742181912933234</v>
      </c>
      <c r="C25" s="27">
        <v>5.27877610418637</v>
      </c>
      <c r="D25" s="30" t="inlineStr">
        <is>
          <t xml:space="preserve">Au-delà de 2 : vérifier la coupure (livraisons réellement faites avant la clôture).</t>
        </is>
      </c>
    </row>
    <row r="26">
      <c r="A26" s="0" t="inlineStr">
        <is>
          <t xml:space="preserve">CA du dernier mois / moyenne des autres mois</t>
        </is>
      </c>
      <c r="B26" s="27">
        <v>0.9543378244073304</v>
      </c>
      <c r="C26" s="27">
        <v>1.7471410494971493</v>
      </c>
      <c r="D26" s="30"/>
    </row>
    <row r="27">
      <c r="A27" s="0" t="inlineStr">
        <is>
          <t xml:space="preserve">Avoirs émis dans les 31 jours suivant la clôture (HT)</t>
        </is>
      </c>
      <c r="B27" s="12">
        <v>0</v>
      </c>
      <c r="C27" s="12" t="inlineStr">
        <is>
          <t xml:space="preserve">n.d.</t>
        </is>
      </c>
      <c r="D27" s="30" t="inlineStr">
        <is>
          <t xml:space="preserve">Avoirs en début d'exercice suivant sur des ventes de fin d'exercice : chiffre d'affaires possiblement anticipé.</t>
        </is>
      </c>
    </row>
    <row r="28">
      <c r="A28" s="0" t="inlineStr">
        <is>
          <t xml:space="preserve">Part des règlements clients passant par le factor</t>
        </is>
      </c>
      <c r="B28" s="23">
        <v>0</v>
      </c>
      <c r="C28" s="23">
        <v>0</v>
      </c>
      <c r="D28" s="30"/>
    </row>
    <row r="31">
      <c r="A31" s="13" t="inlineStr">
        <is>
          <t xml:space="preserve">Top 20 clients — 2025 (chiffre d'affaires HT)</t>
        </is>
      </c>
    </row>
    <row r="32">
      <c r="A32" s="3" t="inlineStr">
        <is>
          <t xml:space="preserve">Client</t>
        </is>
      </c>
      <c r="B32" s="3" t="inlineStr">
        <is>
          <t xml:space="preserve">CA HT</t>
        </is>
      </c>
      <c r="C32" s="3" t="inlineStr">
        <is>
          <t xml:space="preserve">% du total</t>
        </is>
      </c>
      <c r="D32" s="3" t="inlineStr">
        <is>
          <t xml:space="preserve">Groupe</t>
        </is>
      </c>
      <c r="E32" s="3" t="inlineStr">
        <is>
          <t xml:space="preserve">Factures</t>
        </is>
      </c>
    </row>
    <row r="33">
      <c r="A33" s="0" t="inlineStr">
        <is>
          <t xml:space="preserve">Agence Mobilis</t>
        </is>
      </c>
      <c r="B33" s="12">
        <v>305577.75</v>
      </c>
      <c r="C33" s="18">
        <v>0.20103799738890782</v>
      </c>
      <c r="D33" s="0"/>
      <c r="E33" s="31">
        <v>10</v>
      </c>
    </row>
    <row r="34">
      <c r="A34" s="0" t="inlineStr">
        <is>
          <t xml:space="preserve">Coworking Atelier 9</t>
        </is>
      </c>
      <c r="B34" s="12">
        <v>274397.31</v>
      </c>
      <c r="C34" s="18">
        <v>0.1805245496156161</v>
      </c>
      <c r="D34" s="0"/>
      <c r="E34" s="31">
        <v>11</v>
      </c>
    </row>
    <row r="35">
      <c r="A35" s="0" t="inlineStr">
        <is>
          <t xml:space="preserve">Hotel Les Tilleuls</t>
        </is>
      </c>
      <c r="B35" s="12">
        <v>226628.29</v>
      </c>
      <c r="C35" s="18">
        <v>0.14909756215324133</v>
      </c>
      <c r="D35" s="0"/>
      <c r="E35" s="31">
        <v>10</v>
      </c>
    </row>
    <row r="36">
      <c r="A36" s="0" t="inlineStr">
        <is>
          <t xml:space="preserve">Boutique Hetre et Chene</t>
        </is>
      </c>
      <c r="B36" s="12">
        <v>181389.39</v>
      </c>
      <c r="C36" s="18">
        <v>0.11933512735529855</v>
      </c>
      <c r="D36" s="0"/>
      <c r="E36" s="31">
        <v>8</v>
      </c>
    </row>
    <row r="37">
      <c r="A37" s="0" t="inlineStr">
        <is>
          <t xml:space="preserve">Clinique du Parc</t>
        </is>
      </c>
      <c r="B37" s="12">
        <v>152240.31</v>
      </c>
      <c r="C37" s="18">
        <v>0.10015810066101513</v>
      </c>
      <c r="D37" s="0"/>
      <c r="E37" s="31">
        <v>6</v>
      </c>
    </row>
    <row r="38">
      <c r="A38" s="0" t="inlineStr">
        <is>
          <t xml:space="preserve">Cabinet Varenne Associes</t>
        </is>
      </c>
      <c r="B38" s="12">
        <v>145517.52</v>
      </c>
      <c r="C38" s="18">
        <v>0.09573521241582654</v>
      </c>
      <c r="D38" s="0"/>
      <c r="E38" s="31">
        <v>7</v>
      </c>
    </row>
    <row r="39">
      <c r="A39" s="0" t="inlineStr">
        <is>
          <t xml:space="preserve">Restaurant Le Comptoir</t>
        </is>
      </c>
      <c r="B39" s="12">
        <v>126872.8</v>
      </c>
      <c r="C39" s="18">
        <v>0.0834689490158345</v>
      </c>
      <c r="D39" s="0"/>
      <c r="E39" s="31">
        <v>4</v>
      </c>
    </row>
    <row r="40">
      <c r="A40" s="0" t="inlineStr">
        <is>
          <t xml:space="preserve">Residence Bel Air</t>
        </is>
      </c>
      <c r="B40" s="12">
        <v>107376.6</v>
      </c>
      <c r="C40" s="18">
        <v>0.07064250139425989</v>
      </c>
      <c r="D40" s="0"/>
      <c r="E40" s="31">
        <v>5</v>
      </c>
    </row>
    <row r="43">
      <c r="A43" s="13" t="inlineStr">
        <is>
          <t xml:space="preserve">Ancienneté des soldes clients — 2025 (au 31/12/2025), méthode FIFO</t>
        </is>
      </c>
    </row>
    <row r="44">
      <c r="A44" s="3" t="inlineStr">
        <is>
          <t xml:space="preserve">Client</t>
        </is>
      </c>
      <c r="B44" s="3" t="inlineStr">
        <is>
          <t xml:space="preserve">Solde</t>
        </is>
      </c>
      <c r="C44" s="3" t="inlineStr">
        <is>
          <t xml:space="preserve">Groupe</t>
        </is>
      </c>
      <c r="D44" s="3" t="inlineStr">
        <is>
          <t xml:space="preserve">0-30 j</t>
        </is>
      </c>
      <c r="E44" s="3" t="inlineStr">
        <is>
          <t xml:space="preserve">31-60 j</t>
        </is>
      </c>
      <c r="F44" s="3" t="inlineStr">
        <is>
          <t xml:space="preserve">61-90 j</t>
        </is>
      </c>
      <c r="G44" s="3" t="inlineStr">
        <is>
          <t xml:space="preserve">91-180 j</t>
        </is>
      </c>
      <c r="H44" s="3" t="inlineStr">
        <is>
          <t xml:space="preserve">&gt; 180 j</t>
        </is>
      </c>
    </row>
    <row r="45">
      <c r="A45" s="0" t="inlineStr">
        <is>
          <t xml:space="preserve">Agence Mobilis</t>
        </is>
      </c>
      <c r="B45" s="12">
        <v>178027.53</v>
      </c>
      <c r="C45" s="0"/>
      <c r="D45" s="12">
        <v>96000</v>
      </c>
      <c r="E45" s="12">
        <v>52195.22</v>
      </c>
      <c r="F45" s="12">
        <v>29832.31</v>
      </c>
      <c r="G45" s="12">
        <v>0</v>
      </c>
      <c r="H45" s="12">
        <v>0</v>
      </c>
    </row>
    <row r="46">
      <c r="A46" s="0" t="inlineStr">
        <is>
          <t xml:space="preserve">Clinique du Parc</t>
        </is>
      </c>
      <c r="B46" s="12">
        <v>125096.26</v>
      </c>
      <c r="C46" s="0"/>
      <c r="D46" s="12">
        <v>24656.02</v>
      </c>
      <c r="E46" s="12">
        <v>18815.21</v>
      </c>
      <c r="F46" s="12">
        <v>33625.03</v>
      </c>
      <c r="G46" s="12">
        <v>22886.94</v>
      </c>
      <c r="H46" s="12">
        <v>25113.06</v>
      </c>
    </row>
    <row r="47">
      <c r="A47" s="0" t="inlineStr">
        <is>
          <t xml:space="preserve">Hotel Les Tilleuls</t>
        </is>
      </c>
      <c r="B47" s="12">
        <v>67575.82</v>
      </c>
      <c r="C47" s="0"/>
      <c r="D47" s="12">
        <v>42716.25</v>
      </c>
      <c r="E47" s="12">
        <v>24859.57</v>
      </c>
      <c r="F47" s="12">
        <v>0</v>
      </c>
      <c r="G47" s="12">
        <v>0</v>
      </c>
      <c r="H47" s="12">
        <v>0</v>
      </c>
    </row>
    <row r="48">
      <c r="A48" s="0" t="inlineStr">
        <is>
          <t xml:space="preserve">Coworking Atelier 9</t>
        </is>
      </c>
      <c r="B48" s="12">
        <v>65068.93</v>
      </c>
      <c r="C48" s="0"/>
      <c r="D48" s="12">
        <v>35897.09</v>
      </c>
      <c r="E48" s="12">
        <v>29171.84</v>
      </c>
      <c r="F48" s="12">
        <v>0</v>
      </c>
      <c r="G48" s="12">
        <v>0</v>
      </c>
      <c r="H48" s="12">
        <v>0</v>
      </c>
    </row>
    <row r="49">
      <c r="A49" s="0" t="inlineStr">
        <is>
          <t xml:space="preserve">Cabinet Varenne Associes</t>
        </is>
      </c>
      <c r="B49" s="12">
        <v>50730.63</v>
      </c>
      <c r="C49" s="0"/>
      <c r="D49" s="12">
        <v>50730.63</v>
      </c>
      <c r="E49" s="12">
        <v>0</v>
      </c>
      <c r="F49" s="12">
        <v>0</v>
      </c>
      <c r="G49" s="12">
        <v>0</v>
      </c>
      <c r="H49" s="12">
        <v>0</v>
      </c>
    </row>
    <row r="50">
      <c r="A50" s="0" t="inlineStr">
        <is>
          <t xml:space="preserve">Boutique Hetre et Chene</t>
        </is>
      </c>
      <c r="B50" s="12">
        <v>28958.15</v>
      </c>
      <c r="C50" s="0"/>
      <c r="D50" s="12">
        <v>0</v>
      </c>
      <c r="E50" s="12">
        <v>28958.15</v>
      </c>
      <c r="F50" s="12">
        <v>0</v>
      </c>
      <c r="G50" s="12">
        <v>0</v>
      </c>
      <c r="H50" s="12">
        <v>0</v>
      </c>
    </row>
    <row r="51">
      <c r="A51" s="19" t="inlineStr">
        <is>
          <t xml:space="preserve">TOTAL</t>
        </is>
      </c>
      <c r="B51" s="20">
        <f>SUM(B45:B50)</f>
      </c>
      <c r="D51" s="20">
        <f>SUM(D45:D50)</f>
      </c>
      <c r="E51" s="20">
        <f>SUM(E45:E50)</f>
      </c>
      <c r="F51" s="20">
        <f>SUM(F45:F50)</f>
      </c>
      <c r="G51" s="20">
        <f>SUM(G45:G50)</f>
      </c>
      <c r="H51" s="20">
        <f>SUM(H45:H50)</f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58" customWidth="1"/>
    <col min="2" max="2" width="15" customWidth="1"/>
    <col min="3" max="3" width="15" customWidth="1"/>
    <col min="4" max="4" width="70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>
      <c r="A1" s="1" t="inlineStr">
        <is>
          <t xml:space="preserve">Dettes fournisseurs : concentration, intragroupe, ancienneté, factures non parvenues</t>
        </is>
      </c>
    </row>
    <row r="2">
      <c r="A2" s="2" t="inlineStr">
        <is>
          <t xml:space="preserve">Valeurs calculées par l'application. Ancienneté : solde exact de chaque fournisseur imputé sur ses factures les plus récentes (FIFO), depuis la date de pièce.</t>
        </is>
      </c>
    </row>
    <row r="4">
      <c r="A4" s="3" t="inlineStr">
        <is>
          <t xml:space="preserve">Indicateur</t>
        </is>
      </c>
      <c r="B4" s="3" t="inlineStr">
        <is>
          <t xml:space="preserve">2024</t>
        </is>
      </c>
      <c r="C4" s="3" t="inlineStr">
        <is>
          <t xml:space="preserve">2025</t>
        </is>
      </c>
      <c r="D4" s="3" t="inlineStr">
        <is>
          <t xml:space="preserve">Lecture</t>
        </is>
      </c>
    </row>
    <row r="5">
      <c r="A5" s="0" t="inlineStr">
        <is>
          <t xml:space="preserve">Achats facturés HT (journaux d'achats)</t>
        </is>
      </c>
      <c r="B5" s="12">
        <v>1013183.98</v>
      </c>
      <c r="C5" s="12">
        <v>860910.51</v>
      </c>
      <c r="D5" s="30"/>
    </row>
    <row r="6">
      <c r="A6" s="0" t="inlineStr">
        <is>
          <t xml:space="preserve">dont sociétés du groupe</t>
        </is>
      </c>
      <c r="B6" s="12">
        <v>0</v>
      </c>
      <c r="C6" s="12">
        <v>0</v>
      </c>
      <c r="D6" s="30" t="inlineStr">
        <is>
          <t xml:space="preserve">Sociétés du groupe : aucune identifiée</t>
        </is>
      </c>
    </row>
    <row r="7">
      <c r="A7" s="0" t="inlineStr">
        <is>
          <t xml:space="preserve">Part intragroupe des achats</t>
        </is>
      </c>
      <c r="B7" s="23">
        <v>0</v>
      </c>
      <c r="C7" s="23">
        <v>0</v>
      </c>
      <c r="D7" s="30"/>
    </row>
    <row r="8">
      <c r="A8" s="0" t="inlineStr">
        <is>
          <t xml:space="preserve">Nombre de fournisseurs</t>
        </is>
      </c>
      <c r="B8" s="31">
        <v>8</v>
      </c>
      <c r="C8" s="31">
        <v>8</v>
      </c>
      <c r="D8" s="30"/>
    </row>
    <row r="9">
      <c r="A9" s="0" t="inlineStr">
        <is>
          <t xml:space="preserve">Poids du 1er fournisseur hors groupe</t>
        </is>
      </c>
      <c r="B9" s="23">
        <v>0.3651702823015422</v>
      </c>
      <c r="C9" s="23">
        <v>0.38577445174876535</v>
      </c>
      <c r="D9" s="30" t="inlineStr">
        <is>
          <t xml:space="preserve">Au-delà de 30 % : dépendance ; ce fournisseur est souvent le créancier qui décide du sort de l'entreprise.</t>
        </is>
      </c>
    </row>
    <row r="10">
      <c r="A10" s="0" t="inlineStr">
        <is>
          <t xml:space="preserve">Poids des 5 premiers fournisseurs hors groupe</t>
        </is>
      </c>
      <c r="B10" s="23">
        <v>0.9587833988452916</v>
      </c>
      <c r="C10" s="23">
        <v>0.9514932161764409</v>
      </c>
      <c r="D10" s="30"/>
    </row>
    <row r="11">
      <c r="A11" s="0" t="inlineStr">
        <is>
          <t xml:space="preserve">Poids des 10 premiers fournisseurs hors groupe</t>
        </is>
      </c>
      <c r="B11" s="23">
        <v>1</v>
      </c>
      <c r="C11" s="23">
        <v>1</v>
      </c>
      <c r="D11" s="30"/>
    </row>
    <row r="12">
      <c r="A12" s="0" t="inlineStr">
        <is>
          <t xml:space="preserve">Dettes fournisseurs hors groupe (401 à 404)</t>
        </is>
      </c>
      <c r="B12" s="12">
        <v>153814.87</v>
      </c>
      <c r="C12" s="12">
        <v>202786.83</v>
      </c>
      <c r="D12" s="30"/>
    </row>
    <row r="13">
      <c r="A13" s="0" t="inlineStr">
        <is>
          <t xml:space="preserve">dont factures de plus de 60 jours</t>
        </is>
      </c>
      <c r="B13" s="12">
        <v>0</v>
      </c>
      <c r="C13" s="12">
        <v>36776.26</v>
      </c>
      <c r="D13" s="30" t="inlineStr">
        <is>
          <t xml:space="preserve">Délai légal : 60 jours date de facture (45 jours fin de mois sur option), sauf accord particulier.</t>
        </is>
      </c>
    </row>
    <row r="14">
      <c r="A14" s="0" t="inlineStr">
        <is>
          <t xml:space="preserve">dont plus de 90 jours</t>
        </is>
      </c>
      <c r="B14" s="12">
        <v>0</v>
      </c>
      <c r="C14" s="12">
        <v>15500</v>
      </c>
      <c r="D14" s="30"/>
    </row>
    <row r="15">
      <c r="A15" s="0" t="inlineStr">
        <is>
          <t xml:space="preserve">dont plus d'un an</t>
        </is>
      </c>
      <c r="B15" s="12">
        <v>0</v>
      </c>
      <c r="C15" s="12">
        <v>0</v>
      </c>
      <c r="D15" s="30" t="inlineStr">
        <is>
          <t xml:space="preserve">Dettes anciennes : passif gelé (procédure, plan) ou litige ; à qualifier.</t>
        </is>
      </c>
    </row>
    <row r="16">
      <c r="A16" s="0" t="inlineStr">
        <is>
          <t xml:space="preserve">Dettes envers les sociétés du groupe</t>
        </is>
      </c>
      <c r="B16" s="12">
        <v>0</v>
      </c>
      <c r="C16" s="12">
        <v>0</v>
      </c>
      <c r="D16" s="30"/>
    </row>
    <row r="17">
      <c r="A17" s="0" t="inlineStr">
        <is>
          <t xml:space="preserve">dont effets à payer (403)</t>
        </is>
      </c>
      <c r="B17" s="12">
        <v>0</v>
      </c>
      <c r="C17" s="12">
        <v>0</v>
      </c>
      <c r="D17" s="30"/>
    </row>
    <row r="18">
      <c r="A18" s="0" t="inlineStr">
        <is>
          <t xml:space="preserve">dont fournisseurs d'immobilisations (404)</t>
        </is>
      </c>
      <c r="B18" s="12">
        <v>0</v>
      </c>
      <c r="C18" s="12">
        <v>0</v>
      </c>
      <c r="D18" s="30"/>
    </row>
    <row r="19">
      <c r="A19" s="0" t="inlineStr">
        <is>
          <t xml:space="preserve">Fournisseurs débiteurs (soldes débiteurs)</t>
        </is>
      </c>
      <c r="B19" s="12">
        <v>0</v>
      </c>
      <c r="C19" s="12">
        <v>0</v>
      </c>
      <c r="D19" s="30" t="inlineStr">
        <is>
          <t xml:space="preserve">Avoirs à recevoir, acomptes, doubles paiements : à justifier.</t>
        </is>
      </c>
    </row>
    <row r="20">
      <c r="A20" s="0" t="inlineStr">
        <is>
          <t xml:space="preserve">Avances et acomptes versés (409)</t>
        </is>
      </c>
      <c r="B20" s="12">
        <v>0</v>
      </c>
      <c r="C20" s="12">
        <v>0</v>
      </c>
      <c r="D20" s="30"/>
    </row>
    <row r="21">
      <c r="A21" s="0" t="inlineStr">
        <is>
          <t xml:space="preserve">Factures non parvenues (408)</t>
        </is>
      </c>
      <c r="B21" s="12">
        <v>0</v>
      </c>
      <c r="C21" s="12">
        <v>0</v>
      </c>
      <c r="D21" s="30"/>
    </row>
    <row r="22">
      <c r="A22" s="0" t="inlineStr">
        <is>
          <t xml:space="preserve">Mouvements du compte 408 dans l'exercice (lignes)</t>
        </is>
      </c>
      <c r="B22" s="31">
        <v>0</v>
      </c>
      <c r="C22" s="31">
        <v>0</v>
      </c>
      <c r="D22" s="30" t="inlineStr">
        <is>
          <t xml:space="preserve">Aucun mouvement et solde identique : provision figée, sans rapport avec des factures attendues.</t>
        </is>
      </c>
    </row>
    <row r="23">
      <c r="A23" s="0" t="inlineStr">
        <is>
          <t xml:space="preserve">408 identique à l'exercice précédent</t>
        </is>
      </c>
      <c r="B23" s="0" t="inlineStr">
        <is>
          <t xml:space="preserve">n.d.</t>
        </is>
      </c>
      <c r="C23" s="0" t="inlineStr">
        <is>
          <t xml:space="preserve">non</t>
        </is>
      </c>
      <c r="D23" s="30"/>
    </row>
    <row r="24">
      <c r="A24" s="0" t="inlineStr">
        <is>
          <t xml:space="preserve">DPO hors groupe (jours)</t>
        </is>
      </c>
      <c r="B24" s="31">
        <v>46</v>
      </c>
      <c r="C24" s="31">
        <v>72</v>
      </c>
      <c r="D24" s="30" t="inlineStr">
        <is>
          <t xml:space="preserve">Dettes TTC hors groupe / achats TTC hors groupe × jours de la période.</t>
        </is>
      </c>
    </row>
    <row r="27">
      <c r="A27" s="13" t="inlineStr">
        <is>
          <t xml:space="preserve">Top 20 fournisseurs — 2025 (achats HT)</t>
        </is>
      </c>
    </row>
    <row r="28">
      <c r="A28" s="3" t="inlineStr">
        <is>
          <t xml:space="preserve">Fournisseur</t>
        </is>
      </c>
      <c r="B28" s="3" t="inlineStr">
        <is>
          <t xml:space="preserve">Achats HT</t>
        </is>
      </c>
      <c r="C28" s="3" t="inlineStr">
        <is>
          <t xml:space="preserve">% du total</t>
        </is>
      </c>
      <c r="D28" s="3" t="inlineStr">
        <is>
          <t xml:space="preserve">Groupe</t>
        </is>
      </c>
      <c r="E28" s="3" t="inlineStr">
        <is>
          <t xml:space="preserve">Factures</t>
        </is>
      </c>
    </row>
    <row r="29">
      <c r="A29" s="0" t="inlineStr">
        <is>
          <t xml:space="preserve">Scierie du Nord</t>
        </is>
      </c>
      <c r="B29" s="12">
        <v>332117.28</v>
      </c>
      <c r="C29" s="18">
        <v>0.38577445174876535</v>
      </c>
      <c r="D29" s="0"/>
      <c r="E29" s="31">
        <v>16</v>
      </c>
    </row>
    <row r="30">
      <c r="A30" s="0" t="inlineStr">
        <is>
          <t xml:space="preserve">Quincaillerie Pro Est</t>
        </is>
      </c>
      <c r="B30" s="12">
        <v>192383.68</v>
      </c>
      <c r="C30" s="18">
        <v>0.22346536343248966</v>
      </c>
      <c r="D30" s="0"/>
      <c r="E30" s="31">
        <v>9</v>
      </c>
    </row>
    <row r="31">
      <c r="A31" s="0" t="inlineStr">
        <is>
          <t xml:space="preserve">Vernis et Finitions</t>
        </is>
      </c>
      <c r="B31" s="12">
        <v>157499.05</v>
      </c>
      <c r="C31" s="18">
        <v>0.1829447406792606</v>
      </c>
      <c r="D31" s="0"/>
      <c r="E31" s="31">
        <v>9</v>
      </c>
    </row>
    <row r="32">
      <c r="A32" s="0" t="inlineStr">
        <is>
          <t xml:space="preserve">SCI Les Halles</t>
        </is>
      </c>
      <c r="B32" s="12">
        <v>102000</v>
      </c>
      <c r="C32" s="18">
        <v>0.11847921336214144</v>
      </c>
      <c r="D32" s="0"/>
      <c r="E32" s="31">
        <v>12</v>
      </c>
    </row>
    <row r="33">
      <c r="A33" s="0" t="inlineStr">
        <is>
          <t xml:space="preserve">Energie Plus</t>
        </is>
      </c>
      <c r="B33" s="12">
        <v>35150.5</v>
      </c>
      <c r="C33" s="18">
        <v>0.04082944695378385</v>
      </c>
      <c r="D33" s="0"/>
      <c r="E33" s="31">
        <v>12</v>
      </c>
    </row>
    <row r="34">
      <c r="A34" s="0" t="inlineStr">
        <is>
          <t xml:space="preserve">Cabinet Comptable Exemple</t>
        </is>
      </c>
      <c r="B34" s="12">
        <v>24000</v>
      </c>
      <c r="C34" s="18">
        <v>0.027877461967562692</v>
      </c>
      <c r="D34" s="0"/>
      <c r="E34" s="31">
        <v>4</v>
      </c>
    </row>
    <row r="35">
      <c r="A35" s="0" t="inlineStr">
        <is>
          <t xml:space="preserve">Assurances Mutuelles Exemple</t>
        </is>
      </c>
      <c r="B35" s="12">
        <v>12000</v>
      </c>
      <c r="C35" s="18">
        <v>0.013938730983781346</v>
      </c>
      <c r="D35" s="0"/>
      <c r="E35" s="31">
        <v>4</v>
      </c>
    </row>
    <row r="36">
      <c r="A36" s="0" t="inlineStr">
        <is>
          <t xml:space="preserve">Telecom Pro</t>
        </is>
      </c>
      <c r="B36" s="12">
        <v>5760</v>
      </c>
      <c r="C36" s="18">
        <v>0.006690590872215046</v>
      </c>
      <c r="D36" s="0"/>
      <c r="E36" s="31">
        <v>12</v>
      </c>
    </row>
    <row r="39">
      <c r="A39" s="13" t="inlineStr">
        <is>
          <t xml:space="preserve">Ancienneté des dettes fournisseurs — 2025 (au 31/12/2025), méthode FIFO</t>
        </is>
      </c>
    </row>
    <row r="40">
      <c r="A40" s="3" t="inlineStr">
        <is>
          <t xml:space="preserve">Fournisseur</t>
        </is>
      </c>
      <c r="B40" s="3" t="inlineStr">
        <is>
          <t xml:space="preserve">Solde</t>
        </is>
      </c>
      <c r="C40" s="3" t="inlineStr">
        <is>
          <t xml:space="preserve">Groupe</t>
        </is>
      </c>
      <c r="D40" s="3" t="inlineStr">
        <is>
          <t xml:space="preserve">0-30 j</t>
        </is>
      </c>
      <c r="E40" s="3" t="inlineStr">
        <is>
          <t xml:space="preserve">31-60 j</t>
        </is>
      </c>
      <c r="F40" s="3" t="inlineStr">
        <is>
          <t xml:space="preserve">61-90 j</t>
        </is>
      </c>
      <c r="G40" s="3" t="inlineStr">
        <is>
          <t xml:space="preserve">91-180 j</t>
        </is>
      </c>
      <c r="H40" s="3" t="inlineStr">
        <is>
          <t xml:space="preserve">181-365 j</t>
        </is>
      </c>
      <c r="I40" s="3" t="inlineStr">
        <is>
          <t xml:space="preserve">&gt; 1 an</t>
        </is>
      </c>
    </row>
    <row r="41">
      <c r="A41" s="0" t="inlineStr">
        <is>
          <t xml:space="preserve">Scierie du Nord</t>
        </is>
      </c>
      <c r="B41" s="12">
        <v>144759.99</v>
      </c>
      <c r="C41" s="0"/>
      <c r="D41" s="12">
        <v>72380</v>
      </c>
      <c r="E41" s="12">
        <v>72379.99</v>
      </c>
      <c r="F41" s="12">
        <v>0</v>
      </c>
      <c r="G41" s="12">
        <v>0</v>
      </c>
      <c r="H41" s="12">
        <v>0</v>
      </c>
      <c r="I41" s="12">
        <v>0</v>
      </c>
    </row>
    <row r="42">
      <c r="A42" s="0" t="inlineStr">
        <is>
          <t xml:space="preserve">Quincaillerie Pro Est</t>
        </is>
      </c>
      <c r="B42" s="12">
        <v>21276.26</v>
      </c>
      <c r="C42" s="0"/>
      <c r="D42" s="12">
        <v>0</v>
      </c>
      <c r="E42" s="12">
        <v>0</v>
      </c>
      <c r="F42" s="12">
        <v>21276.26</v>
      </c>
      <c r="G42" s="12">
        <v>0</v>
      </c>
      <c r="H42" s="12">
        <v>0</v>
      </c>
      <c r="I42" s="12">
        <v>0</v>
      </c>
    </row>
    <row r="43">
      <c r="A43" s="0" t="inlineStr">
        <is>
          <t xml:space="preserve">Vernis et Finitions</t>
        </is>
      </c>
      <c r="B43" s="12">
        <v>14400</v>
      </c>
      <c r="C43" s="0"/>
      <c r="D43" s="12">
        <v>0</v>
      </c>
      <c r="E43" s="12">
        <v>0</v>
      </c>
      <c r="F43" s="12">
        <v>0</v>
      </c>
      <c r="G43" s="12">
        <v>14400</v>
      </c>
      <c r="H43" s="12">
        <v>0</v>
      </c>
      <c r="I43" s="12">
        <v>0</v>
      </c>
    </row>
    <row r="44">
      <c r="A44" s="0" t="inlineStr">
        <is>
          <t xml:space="preserve">SCI Les Halles</t>
        </is>
      </c>
      <c r="B44" s="12">
        <v>10200</v>
      </c>
      <c r="C44" s="0"/>
      <c r="D44" s="12">
        <v>10200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>
      <c r="A45" s="0" t="inlineStr">
        <is>
          <t xml:space="preserve">Cabinet Comptable Exemple</t>
        </is>
      </c>
      <c r="B45" s="12">
        <v>8300</v>
      </c>
      <c r="C45" s="0"/>
      <c r="D45" s="12">
        <v>7200</v>
      </c>
      <c r="E45" s="12">
        <v>0</v>
      </c>
      <c r="F45" s="12">
        <v>0</v>
      </c>
      <c r="G45" s="12">
        <v>1100</v>
      </c>
      <c r="H45" s="12">
        <v>0</v>
      </c>
      <c r="I45" s="12">
        <v>0</v>
      </c>
    </row>
    <row r="46">
      <c r="A46" s="0" t="inlineStr">
        <is>
          <t xml:space="preserve">Energie Plus</t>
        </is>
      </c>
      <c r="B46" s="12">
        <v>3274.58</v>
      </c>
      <c r="C46" s="0"/>
      <c r="D46" s="12">
        <v>3274.58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>
      <c r="A47" s="0" t="inlineStr">
        <is>
          <t xml:space="preserve">Telecom Pro</t>
        </is>
      </c>
      <c r="B47" s="12">
        <v>576</v>
      </c>
      <c r="C47" s="0"/>
      <c r="D47" s="12">
        <v>576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19" t="inlineStr">
        <is>
          <t xml:space="preserve">TOTAL</t>
        </is>
      </c>
      <c r="B48" s="20">
        <f>SUM(B41:B47)</f>
      </c>
      <c r="D48" s="20">
        <f>SUM(D41:D47)</f>
      </c>
      <c r="E48" s="20">
        <f>SUM(E41:E47)</f>
      </c>
      <c r="F48" s="20">
        <f>SUM(F41:F47)</f>
      </c>
      <c r="G48" s="20">
        <f>SUM(G41:G47)</f>
      </c>
      <c r="H48" s="20">
        <f>SUM(H41:H47)</f>
      </c>
      <c r="I48" s="20">
        <f>SUM(I41:I47)</f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2.75"/>
  <cols>
    <col min="1" max="1" width="30" customWidth="1"/>
    <col min="2" max="2" width="22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3" customWidth="1"/>
    <col min="13" max="13" width="10" customWidth="1"/>
  </cols>
  <sheetData>
    <row r="1">
      <c r="A1" s="1" t="inlineStr">
        <is>
          <t xml:space="preserve">Dettes sociales et fiscales : dû comptabilisé / payé en banque</t>
        </is>
      </c>
    </row>
    <row r="2">
      <c r="A2" s="2" t="inlineStr">
        <is>
          <t xml:space="preserve">Valeurs calculées par l'application. Doublons d'import écartés ; cotisations des mois de paie non comptabilisée estimées. À confirmer par les relevés des organismes (URSSAF, retraite, prévoyance, mutuelle, compte fiscal).</t>
        </is>
      </c>
    </row>
    <row r="4">
      <c r="A4" s="13" t="inlineStr">
        <is>
          <t xml:space="preserve">2024 (du 01/01/2024 au 31/12/2024)</t>
        </is>
      </c>
    </row>
    <row r="5">
      <c r="A5" s="3" t="inlineStr">
        <is>
          <t xml:space="preserve">Organisme</t>
        </is>
      </c>
      <c r="B5" s="3" t="inlineStr">
        <is>
          <t xml:space="preserve">Comptes</t>
        </is>
      </c>
      <c r="C5" s="3" t="inlineStr">
        <is>
          <t xml:space="preserve">Ouverture (corrigée)</t>
        </is>
      </c>
      <c r="D5" s="3" t="inlineStr">
        <is>
          <t xml:space="preserve">Dû comptabilisé</t>
        </is>
      </c>
      <c r="E5" s="3" t="inlineStr">
        <is>
          <t xml:space="preserve">Doublons écartés</t>
        </is>
      </c>
      <c r="F5" s="3" t="inlineStr">
        <is>
          <t xml:space="preserve">Payé en banque</t>
        </is>
      </c>
      <c r="G5" s="3" t="inlineStr">
        <is>
          <t xml:space="preserve">Remboursements reçus</t>
        </is>
      </c>
      <c r="H5" s="3" t="inlineStr">
        <is>
          <t xml:space="preserve">Autres apurements (OD)</t>
        </is>
      </c>
      <c r="I5" s="3" t="inlineStr">
        <is>
          <t xml:space="preserve">Clôture (corrigée)</t>
        </is>
      </c>
      <c r="J5" s="3" t="inlineStr">
        <is>
          <t xml:space="preserve">Estimation mois non comptabilisés</t>
        </is>
      </c>
      <c r="K5" s="3" t="inlineStr">
        <is>
          <t xml:space="preserve">Solde estimé</t>
        </is>
      </c>
      <c r="L5" s="3" t="inlineStr">
        <is>
          <t xml:space="preserve">Dû mensuel moyen</t>
        </is>
      </c>
      <c r="M5" s="3" t="inlineStr">
        <is>
          <t xml:space="preserve">Retard (mois)</t>
        </is>
      </c>
    </row>
    <row r="6">
      <c r="A6" s="0" t="inlineStr">
        <is>
          <t xml:space="preserve">URSSAF</t>
        </is>
      </c>
      <c r="B6" s="0" t="inlineStr">
        <is>
          <t xml:space="preserve">431000</t>
        </is>
      </c>
      <c r="C6" s="12">
        <v>18000</v>
      </c>
      <c r="D6" s="12">
        <v>398883.36</v>
      </c>
      <c r="E6" s="12">
        <v>0</v>
      </c>
      <c r="F6" s="12">
        <v>383590.84</v>
      </c>
      <c r="G6" s="12">
        <v>0</v>
      </c>
      <c r="H6" s="12">
        <v>0</v>
      </c>
      <c r="I6" s="12">
        <v>33292.52</v>
      </c>
      <c r="J6" s="12">
        <v>0</v>
      </c>
      <c r="K6" s="29">
        <f>I6+J6</f>
      </c>
      <c r="L6" s="12">
        <v>33277.73</v>
      </c>
      <c r="M6" s="27">
        <f>IF(L6&gt;1,MAX(0,K6)/L6,"n.d.")</f>
      </c>
    </row>
    <row r="7">
      <c r="A7" s="0" t="inlineStr">
        <is>
          <t xml:space="preserve">TVA</t>
        </is>
      </c>
      <c r="B7" s="0" t="inlineStr">
        <is>
          <t xml:space="preserve">445510</t>
        </is>
      </c>
      <c r="C7" s="12">
        <v>12000</v>
      </c>
      <c r="D7" s="12">
        <v>196429.9</v>
      </c>
      <c r="E7" s="12">
        <v>0</v>
      </c>
      <c r="F7" s="12">
        <v>193634.04</v>
      </c>
      <c r="G7" s="12">
        <v>0</v>
      </c>
      <c r="H7" s="12">
        <v>0</v>
      </c>
      <c r="I7" s="12">
        <v>14795.86</v>
      </c>
      <c r="J7" s="12">
        <v>0</v>
      </c>
      <c r="K7" s="29">
        <f>I7+J7</f>
      </c>
      <c r="L7" s="12">
        <v>16046.41</v>
      </c>
      <c r="M7" s="27">
        <f>IF(L7&gt;1,MAX(0,K7)/L7,"n.d.")</f>
      </c>
    </row>
    <row r="8">
      <c r="A8" s="0" t="inlineStr">
        <is>
          <t xml:space="preserve">Impôt sur les sociétés</t>
        </is>
      </c>
      <c r="B8" s="0" t="inlineStr">
        <is>
          <t xml:space="preserve">444000</t>
        </is>
      </c>
      <c r="C8" s="12">
        <v>0</v>
      </c>
      <c r="D8" s="12">
        <v>9067.03</v>
      </c>
      <c r="E8" s="12">
        <v>0</v>
      </c>
      <c r="F8" s="12">
        <v>0</v>
      </c>
      <c r="G8" s="12">
        <v>0</v>
      </c>
      <c r="H8" s="12">
        <v>0</v>
      </c>
      <c r="I8" s="12">
        <v>9067.03</v>
      </c>
      <c r="J8" s="12">
        <v>0</v>
      </c>
      <c r="K8" s="29">
        <f>I8+J8</f>
      </c>
      <c r="L8" s="12">
        <v>9067.03</v>
      </c>
      <c r="M8" s="27">
        <f>IF(L8&gt;1,MAX(0,K8)/L8,"n.d.")</f>
      </c>
    </row>
    <row r="9">
      <c r="A9" s="0" t="inlineStr">
        <is>
          <t xml:space="preserve">Crédits d'impôt comptabilisés en produit (CIR, CII…)</t>
        </is>
      </c>
      <c r="C9" s="12">
        <v>0</v>
      </c>
    </row>
    <row r="10">
      <c r="A10" s="22" t="inlineStr">
        <is>
          <t xml:space="preserve">Paie par mois : charges comptabilisées (64) / salaires nets versés en banque</t>
        </is>
      </c>
    </row>
    <row r="11">
      <c r="C11" s="3" t="inlineStr">
        <is>
          <t xml:space="preserve">2024-01</t>
        </is>
      </c>
      <c r="D11" s="3" t="inlineStr">
        <is>
          <t xml:space="preserve">2024-02</t>
        </is>
      </c>
      <c r="E11" s="3" t="inlineStr">
        <is>
          <t xml:space="preserve">2024-03</t>
        </is>
      </c>
      <c r="F11" s="3" t="inlineStr">
        <is>
          <t xml:space="preserve">2024-04</t>
        </is>
      </c>
      <c r="G11" s="3" t="inlineStr">
        <is>
          <t xml:space="preserve">2024-05</t>
        </is>
      </c>
      <c r="H11" s="3" t="inlineStr">
        <is>
          <t xml:space="preserve">2024-06</t>
        </is>
      </c>
      <c r="I11" s="3" t="inlineStr">
        <is>
          <t xml:space="preserve">2024-07</t>
        </is>
      </c>
      <c r="J11" s="3" t="inlineStr">
        <is>
          <t xml:space="preserve">2024-08</t>
        </is>
      </c>
      <c r="K11" s="3" t="inlineStr">
        <is>
          <t xml:space="preserve">2024-09</t>
        </is>
      </c>
      <c r="L11" s="3" t="inlineStr">
        <is>
          <t xml:space="preserve">2024-10</t>
        </is>
      </c>
      <c r="M11" s="3" t="inlineStr">
        <is>
          <t xml:space="preserve">2024-11</t>
        </is>
      </c>
      <c r="N11" s="3" t="inlineStr">
        <is>
          <t xml:space="preserve">2024-12</t>
        </is>
      </c>
    </row>
    <row r="12">
      <c r="A12" s="0" t="inlineStr">
        <is>
          <t xml:space="preserve">Charges de personnel comptabilisées</t>
        </is>
      </c>
      <c r="C12" s="12">
        <v>74866.36</v>
      </c>
      <c r="D12" s="12">
        <v>73160.52</v>
      </c>
      <c r="E12" s="12">
        <v>73610.09</v>
      </c>
      <c r="F12" s="12">
        <v>74662.95</v>
      </c>
      <c r="G12" s="12">
        <v>73026.87</v>
      </c>
      <c r="H12" s="12">
        <v>72685.94</v>
      </c>
      <c r="I12" s="12">
        <v>74679.04</v>
      </c>
      <c r="J12" s="12">
        <v>72480.58</v>
      </c>
      <c r="K12" s="12">
        <v>74960.21</v>
      </c>
      <c r="L12" s="12">
        <v>73614.28</v>
      </c>
      <c r="M12" s="12">
        <v>73407.82</v>
      </c>
      <c r="N12" s="12">
        <v>73867.78</v>
      </c>
    </row>
    <row r="13">
      <c r="A13" s="0" t="inlineStr">
        <is>
          <t xml:space="preserve">Salaires nets versés (banque)</t>
        </is>
      </c>
      <c r="C13" s="12">
        <v>41123.78</v>
      </c>
      <c r="D13" s="12">
        <v>40186.76</v>
      </c>
      <c r="E13" s="12">
        <v>40433.71</v>
      </c>
      <c r="F13" s="12">
        <v>41012.04</v>
      </c>
      <c r="G13" s="12">
        <v>40113.35</v>
      </c>
      <c r="H13" s="12">
        <v>39926.08</v>
      </c>
      <c r="I13" s="12">
        <v>41020.88</v>
      </c>
      <c r="J13" s="12">
        <v>39813.27</v>
      </c>
      <c r="K13" s="12">
        <v>41175.33</v>
      </c>
      <c r="L13" s="12">
        <v>40436.01</v>
      </c>
      <c r="M13" s="12">
        <v>40322.61</v>
      </c>
      <c r="N13" s="12">
        <v>40575.26</v>
      </c>
    </row>
    <row r="14">
      <c r="A14" s="0" t="inlineStr">
        <is>
          <t xml:space="preserve">URSSAF : dû / payé</t>
        </is>
      </c>
      <c r="C14" s="7" t="inlineStr">
        <is>
          <t xml:space="preserve">33743 / 18000</t>
        </is>
      </c>
      <c r="D14" s="7" t="inlineStr">
        <is>
          <t xml:space="preserve">32974 / 33743</t>
        </is>
      </c>
      <c r="E14" s="7" t="inlineStr">
        <is>
          <t xml:space="preserve">33176 / 32974</t>
        </is>
      </c>
      <c r="F14" s="7" t="inlineStr">
        <is>
          <t xml:space="preserve">33651 / 33176</t>
        </is>
      </c>
      <c r="G14" s="7" t="inlineStr">
        <is>
          <t xml:space="preserve">32914 / 33651</t>
        </is>
      </c>
      <c r="H14" s="7" t="inlineStr">
        <is>
          <t xml:space="preserve">32760 / 32914</t>
        </is>
      </c>
      <c r="I14" s="7" t="inlineStr">
        <is>
          <t xml:space="preserve">33658 / 32760</t>
        </is>
      </c>
      <c r="J14" s="7" t="inlineStr">
        <is>
          <t xml:space="preserve">32667 / 33658</t>
        </is>
      </c>
      <c r="K14" s="7" t="inlineStr">
        <is>
          <t xml:space="preserve">33785 / 32667</t>
        </is>
      </c>
      <c r="L14" s="7" t="inlineStr">
        <is>
          <t xml:space="preserve">33178 / 33785</t>
        </is>
      </c>
      <c r="M14" s="7" t="inlineStr">
        <is>
          <t xml:space="preserve">33085 / 33178</t>
        </is>
      </c>
      <c r="N14" s="7" t="inlineStr">
        <is>
          <t xml:space="preserve">33293 / 33085</t>
        </is>
      </c>
    </row>
    <row r="15">
      <c r="A15" s="0" t="inlineStr">
        <is>
          <t xml:space="preserve">TVA : dû / payé</t>
        </is>
      </c>
      <c r="C15" s="7" t="inlineStr">
        <is>
          <t xml:space="preserve">14131 / 12000</t>
        </is>
      </c>
      <c r="D15" s="7" t="inlineStr">
        <is>
          <t xml:space="preserve">14999 / 14131</t>
        </is>
      </c>
      <c r="E15" s="7" t="inlineStr">
        <is>
          <t xml:space="preserve">16610 / 14999</t>
        </is>
      </c>
      <c r="F15" s="7" t="inlineStr">
        <is>
          <t xml:space="preserve">17878 / 16610</t>
        </is>
      </c>
      <c r="G15" s="7" t="inlineStr">
        <is>
          <t xml:space="preserve">18958 / 17878</t>
        </is>
      </c>
      <c r="H15" s="7" t="inlineStr">
        <is>
          <t xml:space="preserve">17575 / 18958</t>
        </is>
      </c>
      <c r="I15" s="7" t="inlineStr">
        <is>
          <t xml:space="preserve">16019 / 17575</t>
        </is>
      </c>
      <c r="J15" s="7" t="inlineStr">
        <is>
          <t xml:space="preserve">11101 / 16019</t>
        </is>
      </c>
      <c r="K15" s="7" t="inlineStr">
        <is>
          <t xml:space="preserve">16586 / 11101</t>
        </is>
      </c>
      <c r="L15" s="7" t="inlineStr">
        <is>
          <t xml:space="preserve">18966 / 16586</t>
        </is>
      </c>
      <c r="M15" s="7" t="inlineStr">
        <is>
          <t xml:space="preserve">18811 / 18966</t>
        </is>
      </c>
      <c r="N15" s="7" t="inlineStr">
        <is>
          <t xml:space="preserve">14796 / 18811</t>
        </is>
      </c>
    </row>
    <row r="18">
      <c r="A18" s="13" t="inlineStr">
        <is>
          <t xml:space="preserve">2025 (du 01/01/2025 au 31/12/2025)</t>
        </is>
      </c>
    </row>
    <row r="19">
      <c r="A19" s="3" t="inlineStr">
        <is>
          <t xml:space="preserve">Organisme</t>
        </is>
      </c>
      <c r="B19" s="3" t="inlineStr">
        <is>
          <t xml:space="preserve">Comptes</t>
        </is>
      </c>
      <c r="C19" s="3" t="inlineStr">
        <is>
          <t xml:space="preserve">Ouverture (corrigée)</t>
        </is>
      </c>
      <c r="D19" s="3" t="inlineStr">
        <is>
          <t xml:space="preserve">Dû comptabilisé</t>
        </is>
      </c>
      <c r="E19" s="3" t="inlineStr">
        <is>
          <t xml:space="preserve">Doublons écartés</t>
        </is>
      </c>
      <c r="F19" s="3" t="inlineStr">
        <is>
          <t xml:space="preserve">Payé en banque</t>
        </is>
      </c>
      <c r="G19" s="3" t="inlineStr">
        <is>
          <t xml:space="preserve">Remboursements reçus</t>
        </is>
      </c>
      <c r="H19" s="3" t="inlineStr">
        <is>
          <t xml:space="preserve">Autres apurements (OD)</t>
        </is>
      </c>
      <c r="I19" s="3" t="inlineStr">
        <is>
          <t xml:space="preserve">Clôture (corrigée)</t>
        </is>
      </c>
      <c r="J19" s="3" t="inlineStr">
        <is>
          <t xml:space="preserve">Estimation mois non comptabilisés</t>
        </is>
      </c>
      <c r="K19" s="3" t="inlineStr">
        <is>
          <t xml:space="preserve">Solde estimé</t>
        </is>
      </c>
      <c r="L19" s="3" t="inlineStr">
        <is>
          <t xml:space="preserve">Dû mensuel moyen</t>
        </is>
      </c>
      <c r="M19" s="3" t="inlineStr">
        <is>
          <t xml:space="preserve">Retard (mois)</t>
        </is>
      </c>
    </row>
    <row r="20">
      <c r="A20" s="0" t="inlineStr">
        <is>
          <t xml:space="preserve">URSSAF</t>
        </is>
      </c>
      <c r="B20" s="0" t="inlineStr">
        <is>
          <t xml:space="preserve">431000</t>
        </is>
      </c>
      <c r="C20" s="12">
        <v>33292.52</v>
      </c>
      <c r="D20" s="12">
        <v>384973.21</v>
      </c>
      <c r="E20" s="12">
        <v>0</v>
      </c>
      <c r="F20" s="12">
        <v>289968.84</v>
      </c>
      <c r="G20" s="12">
        <v>0</v>
      </c>
      <c r="H20" s="12">
        <v>0</v>
      </c>
      <c r="I20" s="12">
        <v>128296.89</v>
      </c>
      <c r="J20" s="12">
        <v>0</v>
      </c>
      <c r="K20" s="29">
        <f>I20+J20</f>
      </c>
      <c r="L20" s="12">
        <v>32062.58</v>
      </c>
      <c r="M20" s="27">
        <f>IF(L20&gt;1,MAX(0,K20)/L20,"n.d.")</f>
      </c>
    </row>
    <row r="21">
      <c r="A21" s="0" t="inlineStr">
        <is>
          <t xml:space="preserve">TVA</t>
        </is>
      </c>
      <c r="B21" s="0" t="inlineStr">
        <is>
          <t xml:space="preserve">445510</t>
        </is>
      </c>
      <c r="C21" s="12">
        <v>14795.86</v>
      </c>
      <c r="D21" s="12">
        <v>139017.92</v>
      </c>
      <c r="E21" s="12">
        <v>0</v>
      </c>
      <c r="F21" s="12">
        <v>127752.21</v>
      </c>
      <c r="G21" s="12">
        <v>0</v>
      </c>
      <c r="H21" s="12">
        <v>4800</v>
      </c>
      <c r="I21" s="12">
        <v>21261.57</v>
      </c>
      <c r="J21" s="12">
        <v>0</v>
      </c>
      <c r="K21" s="29">
        <f>I21+J21</f>
      </c>
      <c r="L21" s="12">
        <v>12148.71</v>
      </c>
      <c r="M21" s="27">
        <f>IF(L21&gt;1,MAX(0,K21)/L21,"n.d.")</f>
      </c>
    </row>
    <row r="22">
      <c r="A22" s="0" t="inlineStr">
        <is>
          <t xml:space="preserve">Impôt sur les sociétés</t>
        </is>
      </c>
      <c r="B22" s="0" t="inlineStr">
        <is>
          <t xml:space="preserve">444000</t>
        </is>
      </c>
      <c r="C22" s="12">
        <v>9067.03</v>
      </c>
      <c r="D22" s="12">
        <v>0</v>
      </c>
      <c r="E22" s="12">
        <v>0</v>
      </c>
      <c r="F22" s="12">
        <v>9067.03</v>
      </c>
      <c r="G22" s="12">
        <v>0</v>
      </c>
      <c r="H22" s="12">
        <v>0</v>
      </c>
      <c r="I22" s="12">
        <v>0</v>
      </c>
      <c r="J22" s="12">
        <v>0</v>
      </c>
      <c r="K22" s="29">
        <f>I22+J22</f>
      </c>
      <c r="L22" s="12">
        <v>0</v>
      </c>
      <c r="M22" s="27">
        <f>IF(L22&gt;1,MAX(0,K22)/L22,"n.d.")</f>
      </c>
    </row>
    <row r="23">
      <c r="A23" s="0" t="inlineStr">
        <is>
          <t xml:space="preserve">Crédits d'impôt comptabilisés en produit (CIR, CII…)</t>
        </is>
      </c>
      <c r="C23" s="12">
        <v>0</v>
      </c>
    </row>
    <row r="24">
      <c r="A24" s="22" t="inlineStr">
        <is>
          <t xml:space="preserve">Paie par mois : charges comptabilisées (64) / salaires nets versés en banque</t>
        </is>
      </c>
    </row>
    <row r="25">
      <c r="C25" s="3" t="inlineStr">
        <is>
          <t xml:space="preserve">2025-01</t>
        </is>
      </c>
      <c r="D25" s="3" t="inlineStr">
        <is>
          <t xml:space="preserve">2025-02</t>
        </is>
      </c>
      <c r="E25" s="3" t="inlineStr">
        <is>
          <t xml:space="preserve">2025-03</t>
        </is>
      </c>
      <c r="F25" s="3" t="inlineStr">
        <is>
          <t xml:space="preserve">2025-04</t>
        </is>
      </c>
      <c r="G25" s="3" t="inlineStr">
        <is>
          <t xml:space="preserve">2025-05</t>
        </is>
      </c>
      <c r="H25" s="3" t="inlineStr">
        <is>
          <t xml:space="preserve">2025-06</t>
        </is>
      </c>
      <c r="I25" s="3" t="inlineStr">
        <is>
          <t xml:space="preserve">2025-07</t>
        </is>
      </c>
      <c r="J25" s="3" t="inlineStr">
        <is>
          <t xml:space="preserve">2025-08</t>
        </is>
      </c>
      <c r="K25" s="3" t="inlineStr">
        <is>
          <t xml:space="preserve">2025-09</t>
        </is>
      </c>
      <c r="L25" s="3" t="inlineStr">
        <is>
          <t xml:space="preserve">2025-10</t>
        </is>
      </c>
      <c r="M25" s="3" t="inlineStr">
        <is>
          <t xml:space="preserve">2025-11</t>
        </is>
      </c>
      <c r="N25" s="3" t="inlineStr">
        <is>
          <t xml:space="preserve">2025-12</t>
        </is>
      </c>
    </row>
    <row r="26">
      <c r="A26" s="0" t="inlineStr">
        <is>
          <t xml:space="preserve">Charges de personnel comptabilisées</t>
        </is>
      </c>
      <c r="C26" s="12">
        <v>69810.57</v>
      </c>
      <c r="D26" s="12">
        <v>71567.25</v>
      </c>
      <c r="E26" s="12">
        <v>71550.04</v>
      </c>
      <c r="F26" s="12">
        <v>70259.6</v>
      </c>
      <c r="G26" s="12">
        <v>71817.11</v>
      </c>
      <c r="H26" s="12">
        <v>72321.61</v>
      </c>
      <c r="I26" s="12">
        <v>72145.73</v>
      </c>
      <c r="J26" s="12">
        <v>70028.65</v>
      </c>
      <c r="K26" s="12">
        <v>70119.97</v>
      </c>
      <c r="L26" s="12">
        <v>72324.86</v>
      </c>
      <c r="M26" s="12">
        <v>72276.24</v>
      </c>
      <c r="N26" s="12">
        <v>69937.63</v>
      </c>
    </row>
    <row r="27">
      <c r="A27" s="0" t="inlineStr">
        <is>
          <t xml:space="preserve">Salaires nets versés (banque)</t>
        </is>
      </c>
      <c r="C27" s="12">
        <v>38346.65</v>
      </c>
      <c r="D27" s="12">
        <v>39311.59</v>
      </c>
      <c r="E27" s="12">
        <v>39302.13</v>
      </c>
      <c r="F27" s="12">
        <v>38593.3</v>
      </c>
      <c r="G27" s="12">
        <v>39448.84</v>
      </c>
      <c r="H27" s="12">
        <v>39725.95</v>
      </c>
      <c r="I27" s="12">
        <v>39629.34</v>
      </c>
      <c r="J27" s="12">
        <v>38466.44</v>
      </c>
      <c r="K27" s="12">
        <v>38516.6</v>
      </c>
      <c r="L27" s="12">
        <v>39727.74</v>
      </c>
      <c r="M27" s="12">
        <v>39701.03</v>
      </c>
      <c r="N27" s="12">
        <v>38416.44</v>
      </c>
    </row>
    <row r="28">
      <c r="A28" s="0" t="inlineStr">
        <is>
          <t xml:space="preserve">URSSAF : dû / payé</t>
        </is>
      </c>
      <c r="C28" s="7" t="inlineStr">
        <is>
          <t xml:space="preserve">31464 / 33293</t>
        </is>
      </c>
      <c r="D28" s="7" t="inlineStr">
        <is>
          <t xml:space="preserve">32256 / 31464</t>
        </is>
      </c>
      <c r="E28" s="7" t="inlineStr">
        <is>
          <t xml:space="preserve">32248 / 32256</t>
        </is>
      </c>
      <c r="F28" s="7" t="inlineStr">
        <is>
          <t xml:space="preserve">31666 / 32248</t>
        </is>
      </c>
      <c r="G28" s="7" t="inlineStr">
        <is>
          <t xml:space="preserve">32368 / 31666</t>
        </is>
      </c>
      <c r="H28" s="7" t="inlineStr">
        <is>
          <t xml:space="preserve">32596 / 32368</t>
        </is>
      </c>
      <c r="I28" s="7" t="inlineStr">
        <is>
          <t xml:space="preserve">32516 / 32596</t>
        </is>
      </c>
      <c r="J28" s="7" t="inlineStr">
        <is>
          <t xml:space="preserve">31562 / 32516</t>
        </is>
      </c>
      <c r="K28" s="7" t="inlineStr">
        <is>
          <t xml:space="preserve">31603 / 31562</t>
        </is>
      </c>
      <c r="L28" s="7" t="inlineStr">
        <is>
          <t xml:space="preserve">32597 / 0</t>
        </is>
      </c>
      <c r="M28" s="7" t="inlineStr">
        <is>
          <t xml:space="preserve">32575 / 0</t>
        </is>
      </c>
      <c r="N28" s="7" t="inlineStr">
        <is>
          <t xml:space="preserve">31521 / 0</t>
        </is>
      </c>
    </row>
    <row r="29">
      <c r="A29" s="0" t="inlineStr">
        <is>
          <t xml:space="preserve">TVA : dû / payé</t>
        </is>
      </c>
      <c r="C29" s="7" t="inlineStr">
        <is>
          <t xml:space="preserve">9401 / 14796</t>
        </is>
      </c>
      <c r="D29" s="7" t="inlineStr">
        <is>
          <t xml:space="preserve">17286 / 9401</t>
        </is>
      </c>
      <c r="E29" s="7" t="inlineStr">
        <is>
          <t xml:space="preserve">9420 / 17286</t>
        </is>
      </c>
      <c r="F29" s="7" t="inlineStr">
        <is>
          <t xml:space="preserve">9926 / 9420</t>
        </is>
      </c>
      <c r="G29" s="7" t="inlineStr">
        <is>
          <t xml:space="preserve">10617 / 9926</t>
        </is>
      </c>
      <c r="H29" s="7" t="inlineStr">
        <is>
          <t xml:space="preserve">9475 / 10617</t>
        </is>
      </c>
      <c r="I29" s="7" t="inlineStr">
        <is>
          <t xml:space="preserve">9285 / 9475</t>
        </is>
      </c>
      <c r="J29" s="7" t="inlineStr">
        <is>
          <t xml:space="preserve">6198 / 9285</t>
        </is>
      </c>
      <c r="K29" s="7" t="inlineStr">
        <is>
          <t xml:space="preserve">8832 / 6198</t>
        </is>
      </c>
      <c r="L29" s="7" t="inlineStr">
        <is>
          <t xml:space="preserve">11289 / 8832</t>
        </is>
      </c>
      <c r="M29" s="7" t="inlineStr">
        <is>
          <t xml:space="preserve">11227 / 11289</t>
        </is>
      </c>
      <c r="N29" s="7" t="inlineStr">
        <is>
          <t xml:space="preserve">26062 / 11227</t>
        </is>
      </c>
    </row>
    <row r="32">
      <c r="A32" s="2" t="inlineStr">
        <is>
          <t xml:space="preserve">Lecture : un retard d'environ 1 mois est normal (cotisations payées le mois suivant). Au-delà de 2 mois, dette échue probable : demander la situation du compte à l'organisme et les éventuels plans d'apurement.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58" customWidth="1"/>
    <col min="2" max="2" width="15" customWidth="1"/>
    <col min="3" max="3" width="15" customWidth="1"/>
    <col min="4" max="4" width="70" customWidth="1"/>
  </cols>
  <sheetData>
    <row r="1">
      <c r="A1" s="1" t="inlineStr">
        <is>
          <t xml:space="preserve">Stocks : cohérence de la variation, rotation, dépréciation (module d'amorce)</t>
        </is>
      </c>
    </row>
    <row r="2">
      <c r="A2" s="2" t="inlineStr">
        <is>
          <t xml:space="preserve">Valeurs calculées par l'application. Le FEC ne donne ni quantités ni prix unitaires : points d'attention à documenter avec l'état d'inventaire valorisé.</t>
        </is>
      </c>
    </row>
    <row r="4">
      <c r="A4" s="3" t="inlineStr">
        <is>
          <t xml:space="preserve">Indicateur</t>
        </is>
      </c>
      <c r="B4" s="3" t="inlineStr">
        <is>
          <t xml:space="preserve">2024</t>
        </is>
      </c>
      <c r="C4" s="3" t="inlineStr">
        <is>
          <t xml:space="preserve">2025</t>
        </is>
      </c>
      <c r="D4" s="3" t="inlineStr">
        <is>
          <t xml:space="preserve">Lecture</t>
        </is>
      </c>
    </row>
    <row r="5">
      <c r="A5" s="0" t="inlineStr">
        <is>
          <t xml:space="preserve">Stock brut à l'ouverture (à-nouveaux)</t>
        </is>
      </c>
      <c r="B5" s="12">
        <v>45000</v>
      </c>
      <c r="C5" s="12">
        <v>52000</v>
      </c>
    </row>
    <row r="6">
      <c r="A6" s="0" t="inlineStr">
        <is>
          <t xml:space="preserve">Stock brut à la clôture</t>
        </is>
      </c>
      <c r="B6" s="12">
        <v>52000</v>
      </c>
      <c r="C6" s="12">
        <v>61000</v>
      </c>
    </row>
    <row r="7">
      <c r="A7" s="0" t="inlineStr">
        <is>
          <t xml:space="preserve">Variation au bilan (clôture - ouverture)</t>
        </is>
      </c>
      <c r="B7" s="12">
        <v>7000</v>
      </c>
      <c r="C7" s="12">
        <v>9000</v>
      </c>
    </row>
    <row r="8">
      <c r="A8" s="0" t="inlineStr">
        <is>
          <t xml:space="preserve">Variation au compte de résultat (603x, 713)</t>
        </is>
      </c>
      <c r="B8" s="12">
        <v>7000</v>
      </c>
      <c r="C8" s="12">
        <v>9000</v>
      </c>
    </row>
    <row r="9">
      <c r="A9" s="0" t="inlineStr">
        <is>
          <t xml:space="preserve">Écart (doit être nul)</t>
        </is>
      </c>
      <c r="B9" s="12">
        <v>0</v>
      </c>
      <c r="C9" s="12">
        <v>0</v>
      </c>
      <c r="D9" s="30" t="inlineStr">
        <is>
          <t xml:space="preserve">Un écart signifie qu'une écriture de stock a été passée sans sa contrepartie de variation (ou inversement) : à expliquer.</t>
        </is>
      </c>
    </row>
    <row r="10">
      <c r="A10" s="0" t="inlineStr">
        <is>
          <t xml:space="preserve">Poids de la variation de stock dans le résultat (valeur absolue)</t>
        </is>
      </c>
      <c r="B10" s="23">
        <v>0.13624015324292402</v>
      </c>
      <c r="C10" s="23">
        <v>0.04127686780119959</v>
      </c>
      <c r="D10" s="30" t="inlineStr">
        <is>
          <t xml:space="preserve">Au-delà de 50 % : le résultat dépend surtout de la valorisation du stock.</t>
        </is>
      </c>
    </row>
    <row r="11">
      <c r="A11" s="0" t="inlineStr">
        <is>
          <t xml:space="preserve">Dépréciations des stocks (39x)</t>
        </is>
      </c>
      <c r="B11" s="12">
        <v>0</v>
      </c>
      <c r="C11" s="12">
        <v>0</v>
      </c>
    </row>
    <row r="12">
      <c r="A12" s="0" t="inlineStr">
        <is>
          <t xml:space="preserve">Taux de dépréciation</t>
        </is>
      </c>
      <c r="B12" s="23">
        <v>0</v>
      </c>
      <c r="C12" s="23">
        <v>0</v>
      </c>
      <c r="D12" s="30" t="inlineStr">
        <is>
          <t xml:space="preserve">À rapprocher de la rotation : rotation lente et dépréciation stable ou en baisse = risque de surévaluation.</t>
        </is>
      </c>
    </row>
    <row r="13">
      <c r="A13" s="0" t="inlineStr">
        <is>
          <t xml:space="preserve">Stock total en jours de CA HT</t>
        </is>
      </c>
      <c r="B13" s="31">
        <v>10</v>
      </c>
      <c r="C13" s="31">
        <v>15</v>
      </c>
    </row>
    <row r="15">
      <c r="A15" s="13" t="inlineStr">
        <is>
          <t xml:space="preserve">Matières et approvisionnements</t>
        </is>
      </c>
    </row>
    <row r="16">
      <c r="A16" s="0" t="inlineStr">
        <is>
          <t xml:space="preserve">Ouverture</t>
        </is>
      </c>
      <c r="B16" s="12">
        <v>45000</v>
      </c>
      <c r="C16" s="12">
        <v>52000</v>
      </c>
    </row>
    <row r="17">
      <c r="A17" s="0" t="inlineStr">
        <is>
          <t xml:space="preserve">Clôture</t>
        </is>
      </c>
      <c r="B17" s="12">
        <v>52000</v>
      </c>
      <c r="C17" s="12">
        <v>61000</v>
      </c>
    </row>
    <row r="18">
      <c r="A18" s="0" t="inlineStr">
        <is>
          <t xml:space="preserve">Variation au compte de résultat</t>
        </is>
      </c>
      <c r="B18" s="12">
        <v>7000</v>
      </c>
      <c r="C18" s="12">
        <v>9000</v>
      </c>
    </row>
    <row r="19">
      <c r="A19" s="0" t="inlineStr">
        <is>
          <t xml:space="preserve">Écart bilan / résultat</t>
        </is>
      </c>
      <c r="B19" s="12">
        <v>0</v>
      </c>
      <c r="C19" s="12">
        <v>0</v>
      </c>
    </row>
    <row r="20">
      <c r="A20" s="0" t="inlineStr">
        <is>
          <t xml:space="preserve">Dépréciation</t>
        </is>
      </c>
      <c r="B20" s="12">
        <v>0</v>
      </c>
      <c r="C20" s="12">
        <v>0</v>
      </c>
    </row>
    <row r="21">
      <c r="A21" s="0" t="inlineStr">
        <is>
          <t xml:space="preserve">Taux de dépréciation</t>
        </is>
      </c>
      <c r="B21" s="23">
        <v>0</v>
      </c>
      <c r="C21" s="23">
        <v>0</v>
      </c>
    </row>
    <row r="22">
      <c r="A22" s="0" t="inlineStr">
        <is>
          <t xml:space="preserve">Rotation (jours)</t>
        </is>
      </c>
      <c r="B22" s="31">
        <v>23</v>
      </c>
      <c r="C22" s="31">
        <v>33</v>
      </c>
      <c r="D22" s="30" t="inlineStr">
        <is>
          <t xml:space="preserve">jours d'achats consommés</t>
        </is>
      </c>
    </row>
    <row r="23">
      <c r="A23" s="0" t="inlineStr">
        <is>
          <t xml:space="preserve">Écritures de stock dans l'exercice / dont validées &gt; 120 j après la clôture</t>
        </is>
      </c>
      <c r="B23" s="0" t="inlineStr">
        <is>
          <t xml:space="preserve">2 / 0</t>
        </is>
      </c>
      <c r="C23" s="0" t="inlineStr">
        <is>
          <t xml:space="preserve">2 / 0</t>
        </is>
      </c>
    </row>
    <row r="25">
      <c r="A25" s="13" t="inlineStr">
        <is>
          <t xml:space="preserve">À construire (nécessite l'état d'inventaire valorisé)</t>
        </is>
      </c>
    </row>
    <row r="26">
      <c r="A26" s="2" t="inlineStr">
        <is>
          <t xml:space="preserve">• Rotation et ancienneté par article ; stock sans mouvement depuis plus de 12 mois.</t>
        </is>
      </c>
    </row>
    <row r="27">
      <c r="A27" s="2" t="inlineStr">
        <is>
          <t xml:space="preserve">• Comparaison des prix unitaires d'inventaire aux derniers prix d'achat (surévaluation).</t>
        </is>
      </c>
    </row>
    <row r="28">
      <c r="A28" s="2" t="inlineStr">
        <is>
          <t xml:space="preserve">• Écart entre inventaire physique et stock comptable ; provisions par famille.</t>
        </is>
      </c>
    </row>
    <row r="29">
      <c r="A29" s="2" t="inlineStr">
        <is>
          <t xml:space="preserve">• Marge du mois de clôture comparée aux autres mois (coupure des achats et des ventes).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1" ySplit="4" topLeftCell="B5" activePane="bottomRight" state="frozen"/>
    </sheetView>
  </sheetViews>
  <sheetFormatPr defaultRowHeight="12.75"/>
  <cols>
    <col min="1" max="1" width="62" customWidth="1"/>
    <col min="2" max="2" width="15" customWidth="1"/>
    <col min="3" max="3" width="15" customWidth="1"/>
    <col min="4" max="4" width="70" customWidth="1"/>
  </cols>
  <sheetData>
    <row r="1">
      <c r="A1" s="1" t="inlineStr">
        <is>
          <t xml:space="preserve">Clôture et qualité du résultat</t>
        </is>
      </c>
    </row>
    <row r="2">
      <c r="A2" s="2" t="inlineStr">
        <is>
          <t xml:space="preserve">Ce que les écritures d'arrêté des comptes apportent au résultat. Le FEC montre l'écriture, pas sa justification : chaque montant est une question à poser, pas une erreur.</t>
        </is>
      </c>
    </row>
    <row r="4">
      <c r="A4" s="3" t="inlineStr">
        <is>
          <t xml:space="preserve">Indicateur</t>
        </is>
      </c>
      <c r="B4" s="3" t="inlineStr">
        <is>
          <t xml:space="preserve">2024</t>
        </is>
      </c>
      <c r="C4" s="3" t="inlineStr">
        <is>
          <t xml:space="preserve">2025</t>
        </is>
      </c>
      <c r="D4" s="3" t="inlineStr">
        <is>
          <t xml:space="preserve">Lecture</t>
        </is>
      </c>
    </row>
    <row r="5">
      <c r="A5" s="13" t="inlineStr">
        <is>
          <t xml:space="preserve">Résultat et écritures de clôture</t>
        </is>
      </c>
    </row>
    <row r="6">
      <c r="A6" s="0" t="inlineStr">
        <is>
          <t xml:space="preserve">Résultat net comptable</t>
        </is>
      </c>
      <c r="B6" s="12">
        <v>51379.86</v>
      </c>
      <c r="C6" s="12">
        <v>-218039.8</v>
      </c>
    </row>
    <row r="7">
      <c r="A7" s="0" t="inlineStr">
        <is>
          <t xml:space="preserve">Impact des écritures de clôture (onglet Ecritures_cloture)</t>
        </is>
      </c>
      <c r="B7" s="12">
        <f>SUMIFS(Ecritures_cloture!$I$5:$I$11,Ecritures_cloture!$A$5:$A$11,"2024",Ecritures_cloture!$M$5:$M$11,"Clôture")</f>
      </c>
      <c r="C7" s="12">
        <f>SUMIFS(Ecritures_cloture!$I$5:$I$11,Ecritures_cloture!$A$5:$A$11,"2025",Ecritures_cloture!$M$5:$M$11,"Clôture")</f>
      </c>
      <c r="D7" s="30" t="inlineStr">
        <is>
          <t xml:space="preserve">Somme des écritures listées : retirer une ligne de la liste la sort du calcul.</t>
        </is>
      </c>
    </row>
    <row r="8">
      <c r="A8" s="0" t="inlineStr">
        <is>
          <t xml:space="preserve">Part du résultat net (valeur absolue)</t>
        </is>
      </c>
      <c r="B8" s="18">
        <f>IF(ABS(B6)&lt;9660,"résultat proche de zéro",ABS(B7/B6))</f>
      </c>
      <c r="C8" s="18">
        <f>IF(ABS(C6)&lt;8690,"résultat proche de zéro",ABS(C7/C6))</f>
      </c>
      <c r="D8" s="30" t="inlineStr">
        <is>
          <t xml:space="preserve">Au-delà de 30 % : le résultat dépend surtout des écritures d'inventaire.</t>
        </is>
      </c>
    </row>
    <row r="9">
      <c r="A9" s="15" t="inlineStr">
        <is>
          <t xml:space="preserve">Résultat avant écritures de clôture</t>
        </is>
      </c>
      <c r="B9" s="29">
        <f>B6-B7</f>
      </c>
      <c r="C9" s="29">
        <f>C6-C7</f>
      </c>
      <c r="D9" s="30" t="inlineStr">
        <is>
          <t xml:space="preserve">Base de départ des retraitements (EBITDA normatif).</t>
        </is>
      </c>
    </row>
    <row r="10">
      <c r="A10" s="0" t="inlineStr">
        <is>
          <t xml:space="preserve">   dont Variation de stocks</t>
        </is>
      </c>
      <c r="B10" s="12">
        <v>7000</v>
      </c>
      <c r="C10" s="12">
        <v>9000</v>
      </c>
    </row>
    <row r="11">
      <c r="A11" s="0" t="inlineStr">
        <is>
          <t xml:space="preserve">   dont Amortissements</t>
        </is>
      </c>
      <c r="B11" s="12">
        <v>-23000</v>
      </c>
      <c r="C11" s="12">
        <v>-23000</v>
      </c>
    </row>
    <row r="12">
      <c r="A12" s="0" t="inlineStr">
        <is>
          <t xml:space="preserve">   dont Impôt sur les bénéfices, crédits d'impôt</t>
        </is>
      </c>
      <c r="B12" s="12">
        <v>-9067.03</v>
      </c>
      <c r="C12" s="12">
        <v>0</v>
      </c>
    </row>
    <row r="13">
      <c r="A13" s="0" t="inlineStr">
        <is>
          <t xml:space="preserve">Extournes en début d'exercice (impact résultat)</t>
        </is>
      </c>
      <c r="B13" s="12">
        <f>SUMIFS(Ecritures_cloture!$I$5:$I$11,Ecritures_cloture!$A$5:$A$11,"2024",Ecritures_cloture!$M$5:$M$11,"Extourne N-1")</f>
      </c>
      <c r="C13" s="12">
        <f>SUMIFS(Ecritures_cloture!$I$5:$I$11,Ecritures_cloture!$A$5:$A$11,"2025",Ecritures_cloture!$M$5:$M$11,"Extourne N-1")</f>
      </c>
      <c r="D13" s="30" t="inlineStr">
        <is>
          <t xml:space="preserve">Reprise des écritures de clôture de l'exercice précédent.</t>
        </is>
      </c>
    </row>
    <row r="15">
      <c r="A15" s="13" t="inlineStr">
        <is>
          <t xml:space="preserve">Provisions et amortissements</t>
        </is>
      </c>
    </row>
    <row r="16">
      <c r="A16" s="0" t="inlineStr">
        <is>
          <t xml:space="preserve">Dotations aux provisions et dépréciations (hors amortissements)</t>
        </is>
      </c>
      <c r="B16" s="12">
        <v>0</v>
      </c>
      <c r="C16" s="12">
        <v>0</v>
      </c>
    </row>
    <row r="17">
      <c r="A17" s="0" t="inlineStr">
        <is>
          <t xml:space="preserve">Reprises de provisions et dépréciations</t>
        </is>
      </c>
      <c r="B17" s="12">
        <v>0</v>
      </c>
      <c r="C17" s="12">
        <v>0</v>
      </c>
    </row>
    <row r="18">
      <c r="A18" s="0" t="inlineStr">
        <is>
          <t xml:space="preserve">Pertes constatées sur créances et comptes courants (654, 664, 6714)</t>
        </is>
      </c>
      <c r="B18" s="12">
        <v>0</v>
      </c>
      <c r="C18" s="12">
        <v>0</v>
      </c>
      <c r="D18" s="30" t="inlineStr">
        <is>
          <t xml:space="preserve">Une reprise qui couvre une perte constatée ne soutient pas le résultat.</t>
        </is>
      </c>
    </row>
    <row r="19">
      <c r="A19" s="0" t="inlineStr">
        <is>
          <t xml:space="preserve">Reprises nettes des dotations et des pertes (positif = améliore le résultat)</t>
        </is>
      </c>
      <c r="B19" s="29">
        <f>B17-B16-B18</f>
      </c>
      <c r="C19" s="29">
        <f>C17-C16-C18</f>
      </c>
      <c r="D19" s="30" t="inlineStr">
        <is>
          <t xml:space="preserve">Positif : le résultat est soutenu par des reprises. Vérifier que le risque a disparu.</t>
        </is>
      </c>
    </row>
    <row r="20">
      <c r="A20" s="0" t="inlineStr">
        <is>
          <t xml:space="preserve">Dotations aux amortissements</t>
        </is>
      </c>
      <c r="B20" s="12">
        <v>23000</v>
      </c>
      <c r="C20" s="12">
        <v>23000</v>
      </c>
    </row>
    <row r="21">
      <c r="A21" s="0" t="inlineStr">
        <is>
          <t xml:space="preserve">Immobilisations brutes (20 à 23)</t>
        </is>
      </c>
      <c r="B21" s="12">
        <v>205000</v>
      </c>
      <c r="C21" s="12">
        <v>205000</v>
      </c>
    </row>
    <row r="22">
      <c r="A22" s="0" t="inlineStr">
        <is>
          <t xml:space="preserve">Taux d'amortissement apparent</t>
        </is>
      </c>
      <c r="B22" s="18">
        <f>IFERROR(B20/B21,"n.d.")</f>
      </c>
      <c r="C22" s="18">
        <f>IFERROR(C20/C21,"n.d.")</f>
      </c>
      <c r="D22" s="30" t="inlineStr">
        <is>
          <t xml:space="preserve">Une baisse nette sans cession ni fin d'amortissement peut signaler un allongement des durées.</t>
        </is>
      </c>
    </row>
    <row r="24">
      <c r="A24" s="13" t="inlineStr">
        <is>
          <t xml:space="preserve">Comptes de régularisation (solde présenté en positif)</t>
        </is>
      </c>
    </row>
    <row r="26">
      <c r="A26" s="13" t="inlineStr">
        <is>
          <t xml:space="preserve">Produits sans encaissement et exceptionnel</t>
        </is>
      </c>
    </row>
    <row r="27">
      <c r="A27" s="0" t="inlineStr">
        <is>
          <t xml:space="preserve">Production immobilisée (72)</t>
        </is>
      </c>
      <c r="B27" s="12">
        <v>0</v>
      </c>
      <c r="C27" s="12">
        <v>0</v>
      </c>
    </row>
    <row r="28">
      <c r="A28" s="0" t="inlineStr">
        <is>
          <t xml:space="preserve">Transferts de charges (791)</t>
        </is>
      </c>
      <c r="B28" s="12">
        <v>0</v>
      </c>
      <c r="C28" s="12">
        <v>0</v>
      </c>
    </row>
    <row r="29">
      <c r="A29" s="0" t="inlineStr">
        <is>
          <t xml:space="preserve">Crédits d'impôt en produit (CIR, CII…)</t>
        </is>
      </c>
      <c r="B29" s="12">
        <v>0</v>
      </c>
      <c r="C29" s="12">
        <v>0</v>
      </c>
    </row>
    <row r="30">
      <c r="A30" s="0" t="inlineStr">
        <is>
          <t xml:space="preserve">Variation de stock (hausse = produit)</t>
        </is>
      </c>
      <c r="B30" s="12">
        <v>7000</v>
      </c>
      <c r="C30" s="12">
        <v>9000</v>
      </c>
    </row>
    <row r="31">
      <c r="A31" s="15" t="inlineStr">
        <is>
          <t xml:space="preserve">Total produits sans encaissement</t>
        </is>
      </c>
      <c r="B31" s="29">
        <f>SUM(B27:B30)</f>
      </c>
      <c r="C31" s="29">
        <f>SUM(C27:C30)</f>
      </c>
    </row>
    <row r="32">
      <c r="A32" s="0" t="inlineStr">
        <is>
          <t xml:space="preserve">Résultat exceptionnel (77 − 67)</t>
        </is>
      </c>
      <c r="B32" s="12">
        <v>0</v>
      </c>
      <c r="C32" s="12">
        <v>0</v>
      </c>
    </row>
    <row r="33">
      <c r="A33" s="0" t="inlineStr">
        <is>
          <t xml:space="preserve">   dont apurement du passif, abandons de créances (libellés)</t>
        </is>
      </c>
      <c r="B33" s="12">
        <v>0</v>
      </c>
      <c r="C33" s="12">
        <v>0</v>
      </c>
      <c r="D33" s="30" t="inlineStr">
        <is>
          <t xml:space="preserve">Détection par libellé : à confirmer.</t>
        </is>
      </c>
    </row>
    <row r="34">
      <c r="A34" s="15" t="inlineStr">
        <is>
          <t xml:space="preserve">Résultat hors exceptionnel</t>
        </is>
      </c>
      <c r="B34" s="29">
        <f>B6-B32</f>
      </c>
      <c r="C34" s="29">
        <f>C6-C32</f>
      </c>
    </row>
    <row r="36">
      <c r="A36" s="13" t="inlineStr">
        <is>
          <t xml:space="preserve">Coupure</t>
        </is>
      </c>
    </row>
    <row r="37">
      <c r="A37" s="0" t="inlineStr">
        <is>
          <t xml:space="preserve">CA comptabilisé hors journal de ventes</t>
        </is>
      </c>
      <c r="B37" s="12">
        <v>0</v>
      </c>
      <c r="C37" s="12">
        <v>0</v>
      </c>
    </row>
    <row r="38">
      <c r="A38" s="0" t="inlineStr">
        <is>
          <t xml:space="preserve">Ventes des 5 derniers jours / moyenne (×)</t>
        </is>
      </c>
      <c r="B38" s="27">
        <v>1.2</v>
      </c>
      <c r="C38" s="27">
        <v>5.3</v>
      </c>
      <c r="D38" s="30" t="inlineStr">
        <is>
          <t xml:space="preserve">Au-delà de 2× : facturation anticipée possible ; voir aussi les avoirs émis après la clôture (onglet Creances).</t>
        </is>
      </c>
    </row>
    <row r="39">
      <c r="A39" s="0" t="inlineStr">
        <is>
          <t xml:space="preserve">Achats des 5 derniers jours / moyenne (×)</t>
        </is>
      </c>
      <c r="B39" s="27">
        <v>2.1</v>
      </c>
      <c r="C39" s="27">
        <v>2.6</v>
      </c>
      <c r="D39" s="30" t="inlineStr">
        <is>
          <t xml:space="preserve">Très bas sans factures non parvenues : charges manquantes possibles.</t>
        </is>
      </c>
    </row>
    <row r="41">
      <c r="A41" s="13" t="inlineStr">
        <is>
          <t xml:space="preserve">Points d'attention</t>
        </is>
      </c>
    </row>
    <row r="42">
      <c r="A42" s="15" t="inlineStr">
        <is>
          <t xml:space="preserve">2024 · À documenter</t>
        </is>
      </c>
      <c r="B42" s="0" t="inlineStr">
        <is>
          <t xml:space="preserve">Écritures de clôture : -25 067 € sur le résultat (49 % du résultat net). Résultat avant ces écritures : 76 447 €. Demander le détail et les justificatifs des principales écritures (liste dans l'Excel, onglet Cloture).</t>
        </is>
      </c>
    </row>
    <row r="43">
      <c r="A43" s="15" t="inlineStr">
        <is>
          <t xml:space="preserve">2024 · Info</t>
        </is>
      </c>
      <c r="B43" s="0" t="inlineStr">
        <is>
          <t xml:space="preserve">3 écriture(s) de clôture en montant rond (multiple de 1 000 €), 120 000 € au total : estimations à documenter.</t>
        </is>
      </c>
    </row>
    <row r="44">
      <c r="A44" s="15" t="inlineStr">
        <is>
          <t xml:space="preserve">2025 · À documenter</t>
        </is>
      </c>
      <c r="B44" s="0" t="inlineStr">
        <is>
          <t xml:space="preserve">Créances clients hors groupe de plus de 180 jours : 25 113 €, dépréciées à 0 € (0 %). Faible couverture : demander l'analyse du recouvrement.</t>
        </is>
      </c>
    </row>
    <row r="45">
      <c r="A45" s="15" t="inlineStr">
        <is>
          <t xml:space="preserve">2025 · Info</t>
        </is>
      </c>
      <c r="B45" s="0" t="inlineStr">
        <is>
          <t xml:space="preserve">3 écriture(s) de clôture en montant rond (multiple de 1 000 €), 136 000 € au total : estimations à documenter.</t>
        </is>
      </c>
    </row>
    <row r="47">
      <c r="A47" s="13" t="inlineStr">
        <is>
          <t xml:space="preserve">Principales écritures exceptionnelles (toutes écritures de l'exercice)</t>
        </is>
      </c>
    </row>
    <row r="48">
      <c r="A48" s="3" t="inlineStr">
        <is>
          <t xml:space="preserve">Exercice · libellé</t>
        </is>
      </c>
      <c r="B48" s="3" t="inlineStr">
        <is>
          <t xml:space="preserve">Date</t>
        </is>
      </c>
      <c r="C48" s="3" t="inlineStr">
        <is>
          <t xml:space="preserve">Impact résultat</t>
        </is>
      </c>
      <c r="D48" s="3" t="inlineStr">
        <is>
          <t xml:space="preserve">Journal / N°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2" ySplit="4" topLeftCell="C5" activePane="bottomRight" state="frozen"/>
    </sheetView>
  </sheetViews>
  <sheetFormatPr defaultRowHeight="12.75"/>
  <cols>
    <col min="1" max="1" width="11" customWidth="1"/>
    <col min="2" max="2" width="8" customWidth="1"/>
    <col min="3" max="3" width="11" customWidth="1"/>
    <col min="4" max="4" width="11" customWidth="1"/>
    <col min="5" max="5" width="11" customWidth="1"/>
    <col min="6" max="6" width="44" customWidth="1"/>
    <col min="7" max="7" width="30" customWidth="1"/>
    <col min="8" max="8" width="34" customWidth="1"/>
    <col min="9" max="9" width="14" customWidth="1"/>
    <col min="10" max="10" width="9" customWidth="1"/>
    <col min="11" max="11" width="14" customWidth="1"/>
    <col min="12" max="12" width="40" customWidth="1"/>
    <col min="13" max="13" width="11" customWidth="1"/>
  </cols>
  <sheetData>
    <row r="1">
      <c r="A1" s="1" t="inlineStr">
        <is>
          <t xml:space="preserve">Écritures de clôture ayant un impact sur le résultat</t>
        </is>
      </c>
    </row>
    <row r="2">
      <c r="A2" s="2" t="inlineStr">
        <is>
          <t xml:space="preserve">Journaux d'inventaire et d'extourne, opérations diverses des 15 derniers jours ou validées plus de 30 jours après la clôture. Colonnes K et L (jaunes) : statut et commentaire à renseigner avec le dirigeant.</t>
        </is>
      </c>
    </row>
    <row r="4">
      <c r="A4" s="3" t="inlineStr">
        <is>
          <t xml:space="preserve">Exercice</t>
        </is>
      </c>
      <c r="B4" s="3" t="inlineStr">
        <is>
          <t xml:space="preserve">Journal</t>
        </is>
      </c>
      <c r="C4" s="3" t="inlineStr">
        <is>
          <t xml:space="preserve">N° écriture</t>
        </is>
      </c>
      <c r="D4" s="3" t="inlineStr">
        <is>
          <t xml:space="preserve">Date</t>
        </is>
      </c>
      <c r="E4" s="3" t="inlineStr">
        <is>
          <t xml:space="preserve">Validée le</t>
        </is>
      </c>
      <c r="F4" s="3" t="inlineStr">
        <is>
          <t xml:space="preserve">Libellé</t>
        </is>
      </c>
      <c r="G4" s="3" t="inlineStr">
        <is>
          <t xml:space="preserve">Comptes</t>
        </is>
      </c>
      <c r="H4" s="3" t="inlineStr">
        <is>
          <t xml:space="preserve">Nature principale</t>
        </is>
      </c>
      <c r="I4" s="3" t="inlineStr">
        <is>
          <t xml:space="preserve">Impact résultat</t>
        </is>
      </c>
      <c r="J4" s="3" t="inlineStr">
        <is>
          <t xml:space="preserve">Montant rond</t>
        </is>
      </c>
      <c r="K4" s="3" t="inlineStr">
        <is>
          <t xml:space="preserve">Statut</t>
        </is>
      </c>
      <c r="L4" s="3" t="inlineStr">
        <is>
          <t xml:space="preserve">Commentaire</t>
        </is>
      </c>
      <c r="M4" s="3" t="inlineStr">
        <is>
          <t xml:space="preserve">Type</t>
        </is>
      </c>
    </row>
    <row r="5">
      <c r="A5" s="0" t="inlineStr">
        <is>
          <t xml:space="preserve">2024</t>
        </is>
      </c>
      <c r="B5" s="4" t="inlineStr">
        <is>
          <t xml:space="preserve">INV</t>
        </is>
      </c>
      <c r="C5" s="4" t="inlineStr">
        <is>
          <t xml:space="preserve">INV00002</t>
        </is>
      </c>
      <c r="D5" s="10">
        <v>45657</v>
      </c>
      <c r="E5" s="10">
        <v>45659</v>
      </c>
      <c r="F5" s="0" t="inlineStr">
        <is>
          <t xml:space="preserve">Stock final au 31/12/2024</t>
        </is>
      </c>
      <c r="G5" s="0" t="inlineStr">
        <is>
          <t xml:space="preserve">310000 603100</t>
        </is>
      </c>
      <c r="H5" s="0" t="inlineStr">
        <is>
          <t xml:space="preserve">Variation de stocks</t>
        </is>
      </c>
      <c r="I5" s="12">
        <v>52000</v>
      </c>
      <c r="J5" s="0" t="inlineStr">
        <is>
          <t xml:space="preserve">oui</t>
        </is>
      </c>
      <c r="K5" s="33" t="inlineStr">
        <is>
          <t xml:space="preserve">À documenter</t>
        </is>
      </c>
      <c r="L5" s="9"/>
      <c r="M5" s="0" t="inlineStr">
        <is>
          <t xml:space="preserve">Clôture</t>
        </is>
      </c>
    </row>
    <row r="6">
      <c r="A6" s="0" t="inlineStr">
        <is>
          <t xml:space="preserve">2024</t>
        </is>
      </c>
      <c r="B6" s="4" t="inlineStr">
        <is>
          <t xml:space="preserve">INV</t>
        </is>
      </c>
      <c r="C6" s="4" t="inlineStr">
        <is>
          <t xml:space="preserve">INV00001</t>
        </is>
      </c>
      <c r="D6" s="10">
        <v>45657</v>
      </c>
      <c r="E6" s="10">
        <v>45662</v>
      </c>
      <c r="F6" s="0" t="inlineStr">
        <is>
          <t xml:space="preserve">Annulation stock initial 2024</t>
        </is>
      </c>
      <c r="G6" s="0" t="inlineStr">
        <is>
          <t xml:space="preserve">603100 310000</t>
        </is>
      </c>
      <c r="H6" s="0" t="inlineStr">
        <is>
          <t xml:space="preserve">Variation de stocks</t>
        </is>
      </c>
      <c r="I6" s="12">
        <v>-45000</v>
      </c>
      <c r="J6" s="0" t="inlineStr">
        <is>
          <t xml:space="preserve">oui</t>
        </is>
      </c>
      <c r="K6" s="33" t="inlineStr">
        <is>
          <t xml:space="preserve">À documenter</t>
        </is>
      </c>
      <c r="L6" s="9"/>
      <c r="M6" s="0" t="inlineStr">
        <is>
          <t xml:space="preserve">Clôture</t>
        </is>
      </c>
    </row>
    <row r="7">
      <c r="A7" s="0" t="inlineStr">
        <is>
          <t xml:space="preserve">2024</t>
        </is>
      </c>
      <c r="B7" s="4" t="inlineStr">
        <is>
          <t xml:space="preserve">OD</t>
        </is>
      </c>
      <c r="C7" s="4" t="inlineStr">
        <is>
          <t xml:space="preserve">OD00013</t>
        </is>
      </c>
      <c r="D7" s="10">
        <v>45657</v>
      </c>
      <c r="E7" s="10">
        <v>45668</v>
      </c>
      <c r="F7" s="0" t="inlineStr">
        <is>
          <t xml:space="preserve">Dotations aux amortissements 2024</t>
        </is>
      </c>
      <c r="G7" s="0" t="inlineStr">
        <is>
          <t xml:space="preserve">681120 281540 281830</t>
        </is>
      </c>
      <c r="H7" s="0" t="inlineStr">
        <is>
          <t xml:space="preserve">Amortissements</t>
        </is>
      </c>
      <c r="I7" s="12">
        <v>-23000</v>
      </c>
      <c r="J7" s="0" t="inlineStr">
        <is>
          <t xml:space="preserve">oui</t>
        </is>
      </c>
      <c r="K7" s="33" t="inlineStr">
        <is>
          <t xml:space="preserve">À documenter</t>
        </is>
      </c>
      <c r="L7" s="9"/>
      <c r="M7" s="0" t="inlineStr">
        <is>
          <t xml:space="preserve">Clôture</t>
        </is>
      </c>
    </row>
    <row r="8">
      <c r="A8" s="0" t="inlineStr">
        <is>
          <t xml:space="preserve">2024</t>
        </is>
      </c>
      <c r="B8" s="4" t="inlineStr">
        <is>
          <t xml:space="preserve">OD</t>
        </is>
      </c>
      <c r="C8" s="4" t="inlineStr">
        <is>
          <t xml:space="preserve">OD00014</t>
        </is>
      </c>
      <c r="D8" s="10">
        <v>45657</v>
      </c>
      <c r="E8" s="10">
        <v>45674</v>
      </c>
      <c r="F8" s="0" t="inlineStr">
        <is>
          <t xml:space="preserve">Impot sur les societes 2024</t>
        </is>
      </c>
      <c r="G8" s="0" t="inlineStr">
        <is>
          <t xml:space="preserve">695000 444000</t>
        </is>
      </c>
      <c r="H8" s="0" t="inlineStr">
        <is>
          <t xml:space="preserve">Impôt sur les bénéfices, crédits d'impôt</t>
        </is>
      </c>
      <c r="I8" s="12">
        <v>-9067.03</v>
      </c>
      <c r="J8" s="0"/>
      <c r="K8" s="33" t="inlineStr">
        <is>
          <t xml:space="preserve">À documenter</t>
        </is>
      </c>
      <c r="L8" s="9"/>
      <c r="M8" s="0" t="inlineStr">
        <is>
          <t xml:space="preserve">Clôture</t>
        </is>
      </c>
    </row>
    <row r="9">
      <c r="A9" s="0" t="inlineStr">
        <is>
          <t xml:space="preserve">2025</t>
        </is>
      </c>
      <c r="B9" s="4" t="inlineStr">
        <is>
          <t xml:space="preserve">INV</t>
        </is>
      </c>
      <c r="C9" s="4" t="inlineStr">
        <is>
          <t xml:space="preserve">INV00002</t>
        </is>
      </c>
      <c r="D9" s="10">
        <v>46022</v>
      </c>
      <c r="E9" s="10">
        <v>46033</v>
      </c>
      <c r="F9" s="0" t="inlineStr">
        <is>
          <t xml:space="preserve">Stock final au 31/12/2025</t>
        </is>
      </c>
      <c r="G9" s="0" t="inlineStr">
        <is>
          <t xml:space="preserve">310000 603100</t>
        </is>
      </c>
      <c r="H9" s="0" t="inlineStr">
        <is>
          <t xml:space="preserve">Variation de stocks</t>
        </is>
      </c>
      <c r="I9" s="12">
        <v>61000</v>
      </c>
      <c r="J9" s="0" t="inlineStr">
        <is>
          <t xml:space="preserve">oui</t>
        </is>
      </c>
      <c r="K9" s="33" t="inlineStr">
        <is>
          <t xml:space="preserve">À documenter</t>
        </is>
      </c>
      <c r="L9" s="9"/>
      <c r="M9" s="0" t="inlineStr">
        <is>
          <t xml:space="preserve">Clôture</t>
        </is>
      </c>
    </row>
    <row r="10">
      <c r="A10" s="0" t="inlineStr">
        <is>
          <t xml:space="preserve">2025</t>
        </is>
      </c>
      <c r="B10" s="4" t="inlineStr">
        <is>
          <t xml:space="preserve">INV</t>
        </is>
      </c>
      <c r="C10" s="4" t="inlineStr">
        <is>
          <t xml:space="preserve">INV00001</t>
        </is>
      </c>
      <c r="D10" s="10">
        <v>46022</v>
      </c>
      <c r="E10" s="10">
        <v>46035</v>
      </c>
      <c r="F10" s="0" t="inlineStr">
        <is>
          <t xml:space="preserve">Annulation stock initial 2025</t>
        </is>
      </c>
      <c r="G10" s="0" t="inlineStr">
        <is>
          <t xml:space="preserve">603100 310000</t>
        </is>
      </c>
      <c r="H10" s="0" t="inlineStr">
        <is>
          <t xml:space="preserve">Variation de stocks</t>
        </is>
      </c>
      <c r="I10" s="12">
        <v>-52000</v>
      </c>
      <c r="J10" s="0" t="inlineStr">
        <is>
          <t xml:space="preserve">oui</t>
        </is>
      </c>
      <c r="K10" s="33" t="inlineStr">
        <is>
          <t xml:space="preserve">À documenter</t>
        </is>
      </c>
      <c r="L10" s="9"/>
      <c r="M10" s="0" t="inlineStr">
        <is>
          <t xml:space="preserve">Clôture</t>
        </is>
      </c>
    </row>
    <row r="11">
      <c r="A11" s="0" t="inlineStr">
        <is>
          <t xml:space="preserve">2025</t>
        </is>
      </c>
      <c r="B11" s="4" t="inlineStr">
        <is>
          <t xml:space="preserve">OD</t>
        </is>
      </c>
      <c r="C11" s="4" t="inlineStr">
        <is>
          <t xml:space="preserve">OD00015</t>
        </is>
      </c>
      <c r="D11" s="10">
        <v>46022</v>
      </c>
      <c r="E11" s="10">
        <v>46030</v>
      </c>
      <c r="F11" s="0" t="inlineStr">
        <is>
          <t xml:space="preserve">Dotations aux amortissements 2025</t>
        </is>
      </c>
      <c r="G11" s="0" t="inlineStr">
        <is>
          <t xml:space="preserve">681120 281540 281830</t>
        </is>
      </c>
      <c r="H11" s="0" t="inlineStr">
        <is>
          <t xml:space="preserve">Amortissements</t>
        </is>
      </c>
      <c r="I11" s="12">
        <v>-23000</v>
      </c>
      <c r="J11" s="0" t="inlineStr">
        <is>
          <t xml:space="preserve">oui</t>
        </is>
      </c>
      <c r="K11" s="33" t="inlineStr">
        <is>
          <t xml:space="preserve">À documenter</t>
        </is>
      </c>
      <c r="L11" s="9"/>
      <c r="M11" s="0" t="inlineStr">
        <is>
          <t xml:space="preserve">Clôture</t>
        </is>
      </c>
    </row>
  </sheetData>
  <autoFilter ref="A4:M1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2.75"/>
  <cols>
    <col min="1" max="1" width="46" customWidth="1"/>
    <col min="2" max="2" width="1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  <col min="9" max="9" width="11" customWidth="1"/>
  </cols>
  <sheetData>
    <row r="1">
      <c r="A1" s="1" t="inlineStr">
        <is>
          <t xml:space="preserve">Clients et fournisseurs — 2025 (au 31/12/2025)</t>
        </is>
      </c>
    </row>
    <row r="2">
      <c r="A2" s="2" t="inlineStr">
        <is>
          <t xml:space="preserve">Valeurs calculées par l'application (non recalculées dans Excel). Ancienneté depuis la date de pièce (échéances absentes du FEC) ; règlements imputés sur les pièces les plus anciennes.</t>
        </is>
      </c>
    </row>
    <row r="4">
      <c r="A4" s="13" t="inlineStr">
        <is>
          <t xml:space="preserve">Top 15 clients (débits des comptes clients dans les journaux de ventes)</t>
        </is>
      </c>
    </row>
    <row r="5">
      <c r="A5" s="3" t="inlineStr">
        <is>
          <t xml:space="preserve">Tiers</t>
        </is>
      </c>
      <c r="B5" s="3" t="inlineStr">
        <is>
          <t xml:space="preserve">Facturé TTC</t>
        </is>
      </c>
      <c r="C5" s="3" t="inlineStr">
        <is>
          <t xml:space="preserve">% du total</t>
        </is>
      </c>
      <c r="D5" s="3" t="inlineStr">
        <is>
          <t xml:space="preserve">% cumulé</t>
        </is>
      </c>
    </row>
    <row r="6">
      <c r="A6" s="0" t="inlineStr">
        <is>
          <t xml:space="preserve">Agence Mobilis</t>
        </is>
      </c>
      <c r="B6" s="12">
        <v>366693.29</v>
      </c>
      <c r="C6" s="18">
        <v>0.20103799014296045</v>
      </c>
      <c r="D6" s="18">
        <v>0.20103799014296045</v>
      </c>
    </row>
    <row r="7">
      <c r="A7" s="0" t="inlineStr">
        <is>
          <t xml:space="preserve">Coworking Atelier 9</t>
        </is>
      </c>
      <c r="B7" s="12">
        <v>329276.77</v>
      </c>
      <c r="C7" s="18">
        <v>0.18052454693557618</v>
      </c>
      <c r="D7" s="18">
        <v>0.3815625370785366</v>
      </c>
    </row>
    <row r="8">
      <c r="A8" s="0" t="inlineStr">
        <is>
          <t xml:space="preserve">Hotel Les Tilleuls</t>
        </is>
      </c>
      <c r="B8" s="12">
        <v>271953.95</v>
      </c>
      <c r="C8" s="18">
        <v>0.14909756194185925</v>
      </c>
      <c r="D8" s="18">
        <v>0.5306600990203958</v>
      </c>
    </row>
    <row r="9">
      <c r="A9" s="0" t="inlineStr">
        <is>
          <t xml:space="preserve">Boutique Hetre et Chene</t>
        </is>
      </c>
      <c r="B9" s="12">
        <v>217667.28</v>
      </c>
      <c r="C9" s="18">
        <v>0.11933513288744661</v>
      </c>
      <c r="D9" s="18">
        <v>0.6499952319078425</v>
      </c>
    </row>
    <row r="10">
      <c r="A10" s="0" t="inlineStr">
        <is>
          <t xml:space="preserve">Clinique du Parc</t>
        </is>
      </c>
      <c r="B10" s="12">
        <v>182688.38</v>
      </c>
      <c r="C10" s="18">
        <v>0.10015810416840025</v>
      </c>
      <c r="D10" s="18">
        <v>0.7501533360762427</v>
      </c>
    </row>
    <row r="11">
      <c r="A11" s="0" t="inlineStr">
        <is>
          <t xml:space="preserve">Cabinet Varenne Associes</t>
        </is>
      </c>
      <c r="B11" s="12">
        <v>174621.02</v>
      </c>
      <c r="C11" s="18">
        <v>0.09573520938306151</v>
      </c>
      <c r="D11" s="18">
        <v>0.8458885454593043</v>
      </c>
    </row>
    <row r="12">
      <c r="A12" s="0" t="inlineStr">
        <is>
          <t xml:space="preserve">Restaurant Le Comptoir</t>
        </is>
      </c>
      <c r="B12" s="12">
        <v>152247.37</v>
      </c>
      <c r="C12" s="18">
        <v>0.08346895376610695</v>
      </c>
      <c r="D12" s="18">
        <v>0.9293574992254112</v>
      </c>
    </row>
    <row r="13">
      <c r="A13" s="0" t="inlineStr">
        <is>
          <t xml:space="preserve">Residence Bel Air</t>
        </is>
      </c>
      <c r="B13" s="12">
        <v>128851.92</v>
      </c>
      <c r="C13" s="18">
        <v>0.07064250077458882</v>
      </c>
      <c r="D13" s="18">
        <v>1</v>
      </c>
    </row>
    <row r="14">
      <c r="A14" s="15" t="inlineStr">
        <is>
          <t xml:space="preserve">Total (8 tiers)</t>
        </is>
      </c>
      <c r="B14" s="29">
        <v>1823999.98</v>
      </c>
    </row>
    <row r="16">
      <c r="A16" s="13" t="inlineStr">
        <is>
          <t xml:space="preserve">Top 15 fournisseurs (crédits des comptes fournisseurs dans les journaux d'achats)</t>
        </is>
      </c>
    </row>
    <row r="17">
      <c r="A17" s="3" t="inlineStr">
        <is>
          <t xml:space="preserve">Tiers</t>
        </is>
      </c>
      <c r="B17" s="3" t="inlineStr">
        <is>
          <t xml:space="preserve">Facturé TTC</t>
        </is>
      </c>
      <c r="C17" s="3" t="inlineStr">
        <is>
          <t xml:space="preserve">% du total</t>
        </is>
      </c>
      <c r="D17" s="3" t="inlineStr">
        <is>
          <t xml:space="preserve">% cumulé</t>
        </is>
      </c>
    </row>
    <row r="18">
      <c r="A18" s="0" t="inlineStr">
        <is>
          <t xml:space="preserve">Scierie du Nord</t>
        </is>
      </c>
      <c r="B18" s="12">
        <v>398540.74</v>
      </c>
      <c r="C18" s="18">
        <v>0.38667274801429646</v>
      </c>
      <c r="D18" s="18">
        <v>0.38667274801429646</v>
      </c>
    </row>
    <row r="19">
      <c r="A19" s="0" t="inlineStr">
        <is>
          <t xml:space="preserve">Quincaillerie Pro Est</t>
        </is>
      </c>
      <c r="B19" s="12">
        <v>230860.41</v>
      </c>
      <c r="C19" s="18">
        <v>0.22398570631049453</v>
      </c>
      <c r="D19" s="18">
        <v>0.6106584543247909</v>
      </c>
    </row>
    <row r="20">
      <c r="A20" s="0" t="inlineStr">
        <is>
          <t xml:space="preserve">Vernis et Finitions</t>
        </is>
      </c>
      <c r="B20" s="12">
        <v>188998.86</v>
      </c>
      <c r="C20" s="18">
        <v>0.18337073536765472</v>
      </c>
      <c r="D20" s="18">
        <v>0.7940291896924456</v>
      </c>
    </row>
    <row r="21">
      <c r="A21" s="0" t="inlineStr">
        <is>
          <t xml:space="preserve">SCI Les Halles</t>
        </is>
      </c>
      <c r="B21" s="12">
        <v>122400</v>
      </c>
      <c r="C21" s="18">
        <v>0.11875509730059187</v>
      </c>
      <c r="D21" s="18">
        <v>0.9127842869930375</v>
      </c>
    </row>
    <row r="22">
      <c r="A22" s="0" t="inlineStr">
        <is>
          <t xml:space="preserve">Energie Plus</t>
        </is>
      </c>
      <c r="B22" s="12">
        <v>42180.59</v>
      </c>
      <c r="C22" s="18">
        <v>0.04092451037292788</v>
      </c>
      <c r="D22" s="18">
        <v>0.9537087973659654</v>
      </c>
    </row>
    <row r="23">
      <c r="A23" s="0" t="inlineStr">
        <is>
          <t xml:space="preserve">Cabinet Comptable Exemple</t>
        </is>
      </c>
      <c r="B23" s="12">
        <v>28800</v>
      </c>
      <c r="C23" s="18">
        <v>0.02794237583543338</v>
      </c>
      <c r="D23" s="18">
        <v>0.9816511732013987</v>
      </c>
    </row>
    <row r="24">
      <c r="A24" s="0" t="inlineStr">
        <is>
          <t xml:space="preserve">Assurances Mutuelles Exemple</t>
        </is>
      </c>
      <c r="B24" s="12">
        <v>12000</v>
      </c>
      <c r="C24" s="18">
        <v>0.011642656598097241</v>
      </c>
      <c r="D24" s="18">
        <v>0.993293829799496</v>
      </c>
    </row>
    <row r="25">
      <c r="A25" s="0" t="inlineStr">
        <is>
          <t xml:space="preserve">Telecom Pro</t>
        </is>
      </c>
      <c r="B25" s="12">
        <v>6912</v>
      </c>
      <c r="C25" s="18">
        <v>0.006706170200504012</v>
      </c>
      <c r="D25" s="18">
        <v>1</v>
      </c>
    </row>
    <row r="26">
      <c r="A26" s="15" t="inlineStr">
        <is>
          <t xml:space="preserve">Total (8 tiers)</t>
        </is>
      </c>
      <c r="B26" s="29">
        <v>1030692.6</v>
      </c>
    </row>
    <row r="28">
      <c r="A28" s="13" t="inlineStr">
        <is>
          <t xml:space="preserve">Balance âgée clients (postes non lettrés au 31/12/2025)</t>
        </is>
      </c>
    </row>
    <row r="29">
      <c r="A29" s="3" t="inlineStr">
        <is>
          <t xml:space="preserve">Tiers</t>
        </is>
      </c>
      <c r="B29" s="3" t="inlineStr">
        <is>
          <t xml:space="preserve">Solde ouvert</t>
        </is>
      </c>
      <c r="C29" s="3" t="inlineStr">
        <is>
          <t xml:space="preserve">0-30 j</t>
        </is>
      </c>
      <c r="D29" s="3" t="inlineStr">
        <is>
          <t xml:space="preserve">31-60 j</t>
        </is>
      </c>
      <c r="E29" s="3" t="inlineStr">
        <is>
          <t xml:space="preserve">61-90 j</t>
        </is>
      </c>
      <c r="F29" s="3" t="inlineStr">
        <is>
          <t xml:space="preserve">91-180 j</t>
        </is>
      </c>
      <c r="G29" s="3" t="inlineStr">
        <is>
          <t xml:space="preserve">&gt; 180 j</t>
        </is>
      </c>
      <c r="H29" s="3" t="inlineStr">
        <is>
          <t xml:space="preserve">Trop-perçu / non imputé</t>
        </is>
      </c>
      <c r="I29" s="3" t="inlineStr">
        <is>
          <t xml:space="preserve">Dont &gt; 90 j</t>
        </is>
      </c>
    </row>
    <row r="30">
      <c r="A30" s="0" t="inlineStr">
        <is>
          <t xml:space="preserve">Agence Mobilis</t>
        </is>
      </c>
      <c r="B30" s="12">
        <v>178027.53</v>
      </c>
      <c r="C30" s="12">
        <v>96000</v>
      </c>
      <c r="D30" s="12">
        <v>52195.22</v>
      </c>
      <c r="E30" s="12">
        <v>29832.31</v>
      </c>
      <c r="F30" s="12">
        <v>0</v>
      </c>
      <c r="G30" s="12">
        <v>0</v>
      </c>
      <c r="H30" s="12">
        <v>0</v>
      </c>
      <c r="I30" s="18">
        <f>IF(B30&lt;=0,0,(F30+G30)/B30)</f>
      </c>
    </row>
    <row r="31">
      <c r="A31" s="0" t="inlineStr">
        <is>
          <t xml:space="preserve">Clinique du Parc</t>
        </is>
      </c>
      <c r="B31" s="12">
        <v>125096.26</v>
      </c>
      <c r="C31" s="12">
        <v>24656.02</v>
      </c>
      <c r="D31" s="12">
        <v>18815.21</v>
      </c>
      <c r="E31" s="12">
        <v>33625.03</v>
      </c>
      <c r="F31" s="12">
        <v>0</v>
      </c>
      <c r="G31" s="12">
        <v>48000</v>
      </c>
      <c r="H31" s="12">
        <v>0</v>
      </c>
      <c r="I31" s="18">
        <f>IF(B31&lt;=0,0,(F31+G31)/B31)</f>
      </c>
    </row>
    <row r="32">
      <c r="A32" s="0" t="inlineStr">
        <is>
          <t xml:space="preserve">Hotel Les Tilleuls</t>
        </is>
      </c>
      <c r="B32" s="12">
        <v>67575.82</v>
      </c>
      <c r="C32" s="12">
        <v>42716.25</v>
      </c>
      <c r="D32" s="12">
        <v>24859.57</v>
      </c>
      <c r="E32" s="12">
        <v>0</v>
      </c>
      <c r="F32" s="12">
        <v>0</v>
      </c>
      <c r="G32" s="12">
        <v>0</v>
      </c>
      <c r="H32" s="12">
        <v>0</v>
      </c>
      <c r="I32" s="18">
        <f>IF(B32&lt;=0,0,(F32+G32)/B32)</f>
      </c>
    </row>
    <row r="33">
      <c r="A33" s="0" t="inlineStr">
        <is>
          <t xml:space="preserve">Coworking Atelier 9</t>
        </is>
      </c>
      <c r="B33" s="12">
        <v>65068.93</v>
      </c>
      <c r="C33" s="12">
        <v>35897.09</v>
      </c>
      <c r="D33" s="12">
        <v>29171.84</v>
      </c>
      <c r="E33" s="12">
        <v>0</v>
      </c>
      <c r="F33" s="12">
        <v>0</v>
      </c>
      <c r="G33" s="12">
        <v>0</v>
      </c>
      <c r="H33" s="12">
        <v>0</v>
      </c>
      <c r="I33" s="18">
        <f>IF(B33&lt;=0,0,(F33+G33)/B33)</f>
      </c>
    </row>
    <row r="34">
      <c r="A34" s="0" t="inlineStr">
        <is>
          <t xml:space="preserve">Cabinet Varenne Associes</t>
        </is>
      </c>
      <c r="B34" s="12">
        <v>50730.63</v>
      </c>
      <c r="C34" s="12">
        <v>50730.63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8">
        <f>IF(B34&lt;=0,0,(F34+G34)/B34)</f>
      </c>
    </row>
    <row r="35">
      <c r="A35" s="0" t="inlineStr">
        <is>
          <t xml:space="preserve">Boutique Hetre et Chene</t>
        </is>
      </c>
      <c r="B35" s="12">
        <v>28958.15</v>
      </c>
      <c r="C35" s="12">
        <v>0</v>
      </c>
      <c r="D35" s="12">
        <v>28958.15</v>
      </c>
      <c r="E35" s="12">
        <v>0</v>
      </c>
      <c r="F35" s="12">
        <v>0</v>
      </c>
      <c r="G35" s="12">
        <v>0</v>
      </c>
      <c r="H35" s="12">
        <v>0</v>
      </c>
      <c r="I35" s="18">
        <f>IF(B35&lt;=0,0,(F35+G35)/B35)</f>
      </c>
    </row>
    <row r="36">
      <c r="A36" s="19" t="inlineStr">
        <is>
          <t xml:space="preserve">TOTAL</t>
        </is>
      </c>
      <c r="B36" s="20">
        <f>SUM(B30:B35)</f>
      </c>
      <c r="C36" s="20">
        <f>SUM(C30:C35)</f>
      </c>
      <c r="D36" s="20">
        <f>SUM(D30:D35)</f>
      </c>
      <c r="E36" s="20">
        <f>SUM(E30:E35)</f>
      </c>
      <c r="F36" s="20">
        <f>SUM(F30:F35)</f>
      </c>
      <c r="G36" s="20">
        <f>SUM(G30:G35)</f>
      </c>
      <c r="H36" s="20">
        <f>SUM(H30:H35)</f>
      </c>
      <c r="I36" s="21">
        <f>IF(B36&lt;=0,0,(F36+G36)/B36)</f>
      </c>
    </row>
    <row r="39">
      <c r="A39" s="13" t="inlineStr">
        <is>
          <t xml:space="preserve">Balance âgée fournisseurs (postes non lettrés au 31/12/2025)</t>
        </is>
      </c>
    </row>
    <row r="40">
      <c r="A40" s="3" t="inlineStr">
        <is>
          <t xml:space="preserve">Tiers</t>
        </is>
      </c>
      <c r="B40" s="3" t="inlineStr">
        <is>
          <t xml:space="preserve">Solde ouvert</t>
        </is>
      </c>
      <c r="C40" s="3" t="inlineStr">
        <is>
          <t xml:space="preserve">0-30 j</t>
        </is>
      </c>
      <c r="D40" s="3" t="inlineStr">
        <is>
          <t xml:space="preserve">31-60 j</t>
        </is>
      </c>
      <c r="E40" s="3" t="inlineStr">
        <is>
          <t xml:space="preserve">61-90 j</t>
        </is>
      </c>
      <c r="F40" s="3" t="inlineStr">
        <is>
          <t xml:space="preserve">91-180 j</t>
        </is>
      </c>
      <c r="G40" s="3" t="inlineStr">
        <is>
          <t xml:space="preserve">&gt; 180 j</t>
        </is>
      </c>
      <c r="H40" s="3" t="inlineStr">
        <is>
          <t xml:space="preserve">Trop-perçu / non imputé</t>
        </is>
      </c>
      <c r="I40" s="3" t="inlineStr">
        <is>
          <t xml:space="preserve">Dont &gt; 90 j</t>
        </is>
      </c>
    </row>
    <row r="41">
      <c r="A41" s="0" t="inlineStr">
        <is>
          <t xml:space="preserve">Scierie du Nord</t>
        </is>
      </c>
      <c r="B41" s="12">
        <v>144759.99</v>
      </c>
      <c r="C41" s="12">
        <v>72380</v>
      </c>
      <c r="D41" s="12">
        <v>72379.99</v>
      </c>
      <c r="E41" s="12">
        <v>0</v>
      </c>
      <c r="F41" s="12">
        <v>0</v>
      </c>
      <c r="G41" s="12">
        <v>0</v>
      </c>
      <c r="H41" s="12">
        <v>0</v>
      </c>
      <c r="I41" s="18">
        <f>IF(B41&lt;=0,0,(F41+G41)/B41)</f>
      </c>
    </row>
    <row r="42">
      <c r="A42" s="0" t="inlineStr">
        <is>
          <t xml:space="preserve">Quincaillerie Pro Est</t>
        </is>
      </c>
      <c r="B42" s="12">
        <v>21276.26</v>
      </c>
      <c r="C42" s="12">
        <v>0</v>
      </c>
      <c r="D42" s="12">
        <v>0</v>
      </c>
      <c r="E42" s="12">
        <v>21276.26</v>
      </c>
      <c r="F42" s="12">
        <v>0</v>
      </c>
      <c r="G42" s="12">
        <v>0</v>
      </c>
      <c r="H42" s="12">
        <v>0</v>
      </c>
      <c r="I42" s="18">
        <f>IF(B42&lt;=0,0,(F42+G42)/B42)</f>
      </c>
    </row>
    <row r="43">
      <c r="A43" s="0" t="inlineStr">
        <is>
          <t xml:space="preserve">Vernis et Finitions</t>
        </is>
      </c>
      <c r="B43" s="12">
        <v>14400</v>
      </c>
      <c r="C43" s="12">
        <v>0</v>
      </c>
      <c r="D43" s="12">
        <v>0</v>
      </c>
      <c r="E43" s="12">
        <v>0</v>
      </c>
      <c r="F43" s="12">
        <v>0</v>
      </c>
      <c r="G43" s="12">
        <v>14400</v>
      </c>
      <c r="H43" s="12">
        <v>0</v>
      </c>
      <c r="I43" s="18">
        <f>IF(B43&lt;=0,0,(F43+G43)/B43)</f>
      </c>
    </row>
    <row r="44">
      <c r="A44" s="0" t="inlineStr">
        <is>
          <t xml:space="preserve">SCI Les Halles</t>
        </is>
      </c>
      <c r="B44" s="12">
        <v>10200</v>
      </c>
      <c r="C44" s="12">
        <v>10200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8">
        <f>IF(B44&lt;=0,0,(F44+G44)/B44)</f>
      </c>
    </row>
    <row r="45">
      <c r="A45" s="0" t="inlineStr">
        <is>
          <t xml:space="preserve">Cabinet Comptable Exemple</t>
        </is>
      </c>
      <c r="B45" s="12">
        <v>8300</v>
      </c>
      <c r="C45" s="12">
        <v>7200</v>
      </c>
      <c r="D45" s="12">
        <v>0</v>
      </c>
      <c r="E45" s="12">
        <v>0</v>
      </c>
      <c r="F45" s="12">
        <v>1100</v>
      </c>
      <c r="G45" s="12">
        <v>0</v>
      </c>
      <c r="H45" s="12">
        <v>0</v>
      </c>
      <c r="I45" s="18">
        <f>IF(B45&lt;=0,0,(F45+G45)/B45)</f>
      </c>
    </row>
    <row r="46">
      <c r="A46" s="0" t="inlineStr">
        <is>
          <t xml:space="preserve">Energie Plus</t>
        </is>
      </c>
      <c r="B46" s="12">
        <v>3274.58</v>
      </c>
      <c r="C46" s="12">
        <v>3274.58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8">
        <f>IF(B46&lt;=0,0,(F46+G46)/B46)</f>
      </c>
    </row>
    <row r="47">
      <c r="A47" s="0" t="inlineStr">
        <is>
          <t xml:space="preserve">Telecom Pro</t>
        </is>
      </c>
      <c r="B47" s="12">
        <v>576</v>
      </c>
      <c r="C47" s="12">
        <v>576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8">
        <f>IF(B47&lt;=0,0,(F47+G47)/B47)</f>
      </c>
    </row>
    <row r="48">
      <c r="A48" s="19" t="inlineStr">
        <is>
          <t xml:space="preserve">TOTAL</t>
        </is>
      </c>
      <c r="B48" s="20">
        <f>SUM(B41:B47)</f>
      </c>
      <c r="C48" s="20">
        <f>SUM(C41:C47)</f>
      </c>
      <c r="D48" s="20">
        <f>SUM(D41:D47)</f>
      </c>
      <c r="E48" s="20">
        <f>SUM(E41:E47)</f>
      </c>
      <c r="F48" s="20">
        <f>SUM(F41:F47)</f>
      </c>
      <c r="G48" s="20">
        <f>SUM(G41:G47)</f>
      </c>
      <c r="H48" s="20">
        <f>SUM(H41:H47)</f>
      </c>
      <c r="I48" s="21">
        <f>IF(B48&lt;=0,0,(F48+G48)/B48)</f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2" ySplit="4" topLeftCell="C5" activePane="bottomRight" state="frozen"/>
    </sheetView>
  </sheetViews>
  <sheetFormatPr defaultRowHeight="12.75"/>
  <cols>
    <col min="1" max="1" width="7" customWidth="1"/>
    <col min="2" max="2" width="44" customWidth="1"/>
    <col min="3" max="3" width="10" customWidth="1"/>
    <col min="4" max="4" width="11" customWidth="1"/>
    <col min="5" max="5" width="5" customWidth="1"/>
    <col min="6" max="6" width="12" customWidth="1"/>
    <col min="7" max="7" width="12" customWidth="1"/>
    <col min="8" max="8" width="10" customWidth="1"/>
    <col min="9" max="9" width="9" customWidth="1"/>
    <col min="10" max="10" width="12" customWidth="1"/>
    <col min="11" max="11" width="12" customWidth="1"/>
    <col min="12" max="12" width="10" customWidth="1"/>
    <col min="13" max="13" width="9" customWidth="1"/>
  </cols>
  <sheetData>
    <row r="1">
      <c r="A1" s="1" t="inlineStr">
        <is>
          <t xml:space="preserve">Rapprochement FEC / liasse fiscale</t>
        </is>
      </c>
    </row>
    <row r="2">
      <c r="A2" s="2" t="inlineStr">
        <is>
          <t xml:space="preserve">Colonnes « Liasse » : montants lus automatiquement dans le PDF (bleu, modifiables). Tolérance d'arrondi : 1 € par ligne, 3 € sur les totaux.</t>
        </is>
      </c>
    </row>
    <row r="4">
      <c r="A4" s="3" t="inlineStr">
        <is>
          <t xml:space="preserve">Code</t>
        </is>
      </c>
      <c r="B4" s="3" t="inlineStr">
        <is>
          <t xml:space="preserve">Poste</t>
        </is>
      </c>
      <c r="C4" s="3" t="inlineStr">
        <is>
          <t xml:space="preserve">Formulaire</t>
        </is>
      </c>
      <c r="D4" s="3" t="inlineStr">
        <is>
          <t xml:space="preserve">Groupe</t>
        </is>
      </c>
      <c r="E4" s="3" t="inlineStr">
        <is>
          <t xml:space="preserve">Sens</t>
        </is>
      </c>
      <c r="F4" s="3" t="inlineStr">
        <is>
          <t xml:space="preserve">Liasse 2024</t>
        </is>
      </c>
      <c r="G4" s="3" t="inlineStr">
        <is>
          <t xml:space="preserve">FEC 2024</t>
        </is>
      </c>
      <c r="H4" s="3" t="inlineStr">
        <is>
          <t xml:space="preserve">Écart 2024</t>
        </is>
      </c>
      <c r="I4" s="3" t="inlineStr">
        <is>
          <t xml:space="preserve">Statut 2024</t>
        </is>
      </c>
      <c r="J4" s="3" t="inlineStr">
        <is>
          <t xml:space="preserve">Liasse 2025</t>
        </is>
      </c>
      <c r="K4" s="3" t="inlineStr">
        <is>
          <t xml:space="preserve">FEC 2025</t>
        </is>
      </c>
      <c r="L4" s="3" t="inlineStr">
        <is>
          <t xml:space="preserve">Écart 2025</t>
        </is>
      </c>
      <c r="M4" s="3" t="inlineStr">
        <is>
          <t xml:space="preserve">Statut 2025</t>
        </is>
      </c>
    </row>
    <row r="5">
      <c r="A5" s="4" t="inlineStr">
        <is>
          <t xml:space="preserve">AR</t>
        </is>
      </c>
      <c r="B5" s="0" t="inlineStr">
        <is>
          <t xml:space="preserve">Installations techniques, matériel et outillage</t>
        </is>
      </c>
      <c r="C5" s="0" t="inlineStr">
        <is>
          <t xml:space="preserve">2050</t>
        </is>
      </c>
      <c r="D5" s="7" t="inlineStr">
        <is>
          <t xml:space="preserve">ACTIF_BRUT</t>
        </is>
      </c>
      <c r="E5" s="7">
        <v>1</v>
      </c>
      <c r="F5" s="11"/>
      <c r="G5" s="12">
        <f>1*SUMIFS(Comptes!$F$5:$F$42,Comptes!$G$5:$G$42,$A5)</f>
      </c>
      <c r="H5" s="12">
        <f>G5-F5</f>
      </c>
      <c r="I5" s="0" t="inlineStr">
        <is>
          <t xml:space="preserve">n.d.</t>
        </is>
      </c>
      <c r="J5" s="11"/>
      <c r="K5" s="12">
        <f>1*SUMIFS(Comptes!$I$5:$I$42,Comptes!$J$5:$J$42,$A5)</f>
      </c>
      <c r="L5" s="12">
        <f>K5-J5</f>
      </c>
      <c r="M5" s="0" t="inlineStr">
        <is>
          <t xml:space="preserve">n.d.</t>
        </is>
      </c>
    </row>
    <row r="6">
      <c r="A6" s="4" t="inlineStr">
        <is>
          <t xml:space="preserve">AS</t>
        </is>
      </c>
      <c r="B6" s="0" t="inlineStr">
        <is>
          <t xml:space="preserve">Amort. installations techniques</t>
        </is>
      </c>
      <c r="C6" s="0" t="inlineStr">
        <is>
          <t xml:space="preserve">2050</t>
        </is>
      </c>
      <c r="D6" s="7" t="inlineStr">
        <is>
          <t xml:space="preserve">AMORT</t>
        </is>
      </c>
      <c r="E6" s="7">
        <v>-1</v>
      </c>
      <c r="F6" s="11"/>
      <c r="G6" s="12">
        <f>-1*SUMIFS(Comptes!$F$5:$F$42,Comptes!$G$5:$G$42,$A6)</f>
      </c>
      <c r="H6" s="12">
        <f>G6-F6</f>
      </c>
      <c r="I6" s="0" t="inlineStr">
        <is>
          <t xml:space="preserve">n.d.</t>
        </is>
      </c>
      <c r="J6" s="11"/>
      <c r="K6" s="12">
        <f>-1*SUMIFS(Comptes!$I$5:$I$42,Comptes!$J$5:$J$42,$A6)</f>
      </c>
      <c r="L6" s="12">
        <f>K6-J6</f>
      </c>
      <c r="M6" s="0" t="inlineStr">
        <is>
          <t xml:space="preserve">n.d.</t>
        </is>
      </c>
    </row>
    <row r="7">
      <c r="A7" s="4" t="inlineStr">
        <is>
          <t xml:space="preserve">AT</t>
        </is>
      </c>
      <c r="B7" s="0" t="inlineStr">
        <is>
          <t xml:space="preserve">Autres immobilisations corporelles</t>
        </is>
      </c>
      <c r="C7" s="0" t="inlineStr">
        <is>
          <t xml:space="preserve">2050</t>
        </is>
      </c>
      <c r="D7" s="7" t="inlineStr">
        <is>
          <t xml:space="preserve">ACTIF_BRUT</t>
        </is>
      </c>
      <c r="E7" s="7">
        <v>1</v>
      </c>
      <c r="F7" s="11"/>
      <c r="G7" s="12">
        <f>1*SUMIFS(Comptes!$F$5:$F$42,Comptes!$G$5:$G$42,$A7)</f>
      </c>
      <c r="H7" s="12">
        <f>G7-F7</f>
      </c>
      <c r="I7" s="0" t="inlineStr">
        <is>
          <t xml:space="preserve">n.d.</t>
        </is>
      </c>
      <c r="J7" s="11"/>
      <c r="K7" s="12">
        <f>1*SUMIFS(Comptes!$I$5:$I$42,Comptes!$J$5:$J$42,$A7)</f>
      </c>
      <c r="L7" s="12">
        <f>K7-J7</f>
      </c>
      <c r="M7" s="0" t="inlineStr">
        <is>
          <t xml:space="preserve">n.d.</t>
        </is>
      </c>
    </row>
    <row r="8">
      <c r="A8" s="4" t="inlineStr">
        <is>
          <t xml:space="preserve">AU</t>
        </is>
      </c>
      <c r="B8" s="0" t="inlineStr">
        <is>
          <t xml:space="preserve">Amort. autres immo. corporelles</t>
        </is>
      </c>
      <c r="C8" s="0" t="inlineStr">
        <is>
          <t xml:space="preserve">2050</t>
        </is>
      </c>
      <c r="D8" s="7" t="inlineStr">
        <is>
          <t xml:space="preserve">AMORT</t>
        </is>
      </c>
      <c r="E8" s="7">
        <v>-1</v>
      </c>
      <c r="F8" s="11"/>
      <c r="G8" s="12">
        <f>-1*SUMIFS(Comptes!$F$5:$F$42,Comptes!$G$5:$G$42,$A8)</f>
      </c>
      <c r="H8" s="12">
        <f>G8-F8</f>
      </c>
      <c r="I8" s="0" t="inlineStr">
        <is>
          <t xml:space="preserve">n.d.</t>
        </is>
      </c>
      <c r="J8" s="11"/>
      <c r="K8" s="12">
        <f>-1*SUMIFS(Comptes!$I$5:$I$42,Comptes!$J$5:$J$42,$A8)</f>
      </c>
      <c r="L8" s="12">
        <f>K8-J8</f>
      </c>
      <c r="M8" s="0" t="inlineStr">
        <is>
          <t xml:space="preserve">n.d.</t>
        </is>
      </c>
    </row>
    <row r="9">
      <c r="A9" s="4" t="inlineStr">
        <is>
          <t xml:space="preserve">BL</t>
        </is>
      </c>
      <c r="B9" s="0" t="inlineStr">
        <is>
          <t xml:space="preserve">Matières premières, approvisionnements</t>
        </is>
      </c>
      <c r="C9" s="0" t="inlineStr">
        <is>
          <t xml:space="preserve">2050</t>
        </is>
      </c>
      <c r="D9" s="7" t="inlineStr">
        <is>
          <t xml:space="preserve">ACTIF_BRUT</t>
        </is>
      </c>
      <c r="E9" s="7">
        <v>1</v>
      </c>
      <c r="F9" s="11"/>
      <c r="G9" s="12">
        <f>1*SUMIFS(Comptes!$F$5:$F$42,Comptes!$G$5:$G$42,$A9)</f>
      </c>
      <c r="H9" s="12">
        <f>G9-F9</f>
      </c>
      <c r="I9" s="0" t="inlineStr">
        <is>
          <t xml:space="preserve">n.d.</t>
        </is>
      </c>
      <c r="J9" s="11"/>
      <c r="K9" s="12">
        <f>1*SUMIFS(Comptes!$I$5:$I$42,Comptes!$J$5:$J$42,$A9)</f>
      </c>
      <c r="L9" s="12">
        <f>K9-J9</f>
      </c>
      <c r="M9" s="0" t="inlineStr">
        <is>
          <t xml:space="preserve">n.d.</t>
        </is>
      </c>
    </row>
    <row r="10">
      <c r="A10" s="4" t="inlineStr">
        <is>
          <t xml:space="preserve">BX</t>
        </is>
      </c>
      <c r="B10" s="0" t="inlineStr">
        <is>
          <t xml:space="preserve">Clients et comptes rattachés</t>
        </is>
      </c>
      <c r="C10" s="0" t="inlineStr">
        <is>
          <t xml:space="preserve">2050</t>
        </is>
      </c>
      <c r="D10" s="7" t="inlineStr">
        <is>
          <t xml:space="preserve">ACTIF_BRUT</t>
        </is>
      </c>
      <c r="E10" s="7">
        <v>1</v>
      </c>
      <c r="F10" s="11"/>
      <c r="G10" s="12">
        <f>1*SUMIFS(Comptes!$F$5:$F$42,Comptes!$G$5:$G$42,$A10)</f>
      </c>
      <c r="H10" s="12">
        <f>G10-F10</f>
      </c>
      <c r="I10" s="0" t="inlineStr">
        <is>
          <t xml:space="preserve">n.d.</t>
        </is>
      </c>
      <c r="J10" s="11"/>
      <c r="K10" s="12">
        <f>1*SUMIFS(Comptes!$I$5:$I$42,Comptes!$J$5:$J$42,$A10)</f>
      </c>
      <c r="L10" s="12">
        <f>K10-J10</f>
      </c>
      <c r="M10" s="0" t="inlineStr">
        <is>
          <t xml:space="preserve">n.d.</t>
        </is>
      </c>
    </row>
    <row r="11">
      <c r="A11" s="4" t="inlineStr">
        <is>
          <t xml:space="preserve">BZ</t>
        </is>
      </c>
      <c r="B11" s="0" t="inlineStr">
        <is>
          <t xml:space="preserve">Autres créances</t>
        </is>
      </c>
      <c r="C11" s="0" t="inlineStr">
        <is>
          <t xml:space="preserve">2050</t>
        </is>
      </c>
      <c r="D11" s="7" t="inlineStr">
        <is>
          <t xml:space="preserve">ACTIF_BRUT</t>
        </is>
      </c>
      <c r="E11" s="7">
        <v>1</v>
      </c>
      <c r="F11" s="11"/>
      <c r="G11" s="12">
        <f>1*SUMIFS(Comptes!$F$5:$F$42,Comptes!$G$5:$G$42,$A11)</f>
      </c>
      <c r="H11" s="12">
        <f>G11-F11</f>
      </c>
      <c r="I11" s="0" t="inlineStr">
        <is>
          <t xml:space="preserve">n.d.</t>
        </is>
      </c>
      <c r="J11" s="11"/>
      <c r="K11" s="12">
        <f>1*SUMIFS(Comptes!$I$5:$I$42,Comptes!$J$5:$J$42,$A11)</f>
      </c>
      <c r="L11" s="12">
        <f>K11-J11</f>
      </c>
      <c r="M11" s="0" t="inlineStr">
        <is>
          <t xml:space="preserve">n.d.</t>
        </is>
      </c>
    </row>
    <row r="12">
      <c r="A12" s="4" t="inlineStr">
        <is>
          <t xml:space="preserve">CF</t>
        </is>
      </c>
      <c r="B12" s="0" t="inlineStr">
        <is>
          <t xml:space="preserve">Disponibilités</t>
        </is>
      </c>
      <c r="C12" s="0" t="inlineStr">
        <is>
          <t xml:space="preserve">2050</t>
        </is>
      </c>
      <c r="D12" s="7" t="inlineStr">
        <is>
          <t xml:space="preserve">ACTIF_BRUT</t>
        </is>
      </c>
      <c r="E12" s="7">
        <v>1</v>
      </c>
      <c r="F12" s="11"/>
      <c r="G12" s="12">
        <f>1*SUMIFS(Comptes!$F$5:$F$42,Comptes!$G$5:$G$42,$A12)</f>
      </c>
      <c r="H12" s="12">
        <f>G12-F12</f>
      </c>
      <c r="I12" s="0" t="inlineStr">
        <is>
          <t xml:space="preserve">n.d.</t>
        </is>
      </c>
      <c r="J12" s="11"/>
      <c r="K12" s="12">
        <f>1*SUMIFS(Comptes!$I$5:$I$42,Comptes!$J$5:$J$42,$A12)</f>
      </c>
      <c r="L12" s="12">
        <f>K12-J12</f>
      </c>
      <c r="M12" s="0" t="inlineStr">
        <is>
          <t xml:space="preserve">n.d.</t>
        </is>
      </c>
    </row>
    <row r="13">
      <c r="A13" s="4" t="inlineStr">
        <is>
          <t xml:space="preserve">DA</t>
        </is>
      </c>
      <c r="B13" s="0" t="inlineStr">
        <is>
          <t xml:space="preserve">Capital social</t>
        </is>
      </c>
      <c r="C13" s="0" t="inlineStr">
        <is>
          <t xml:space="preserve">2051</t>
        </is>
      </c>
      <c r="D13" s="7" t="inlineStr">
        <is>
          <t xml:space="preserve">PASSIF</t>
        </is>
      </c>
      <c r="E13" s="7">
        <v>-1</v>
      </c>
      <c r="F13" s="11"/>
      <c r="G13" s="12">
        <f>-1*SUMIFS(Comptes!$F$5:$F$42,Comptes!$G$5:$G$42,$A13)</f>
      </c>
      <c r="H13" s="12">
        <f>G13-F13</f>
      </c>
      <c r="I13" s="0" t="inlineStr">
        <is>
          <t xml:space="preserve">n.d.</t>
        </is>
      </c>
      <c r="J13" s="11"/>
      <c r="K13" s="12">
        <f>-1*SUMIFS(Comptes!$I$5:$I$42,Comptes!$J$5:$J$42,$A13)</f>
      </c>
      <c r="L13" s="12">
        <f>K13-J13</f>
      </c>
      <c r="M13" s="0" t="inlineStr">
        <is>
          <t xml:space="preserve">n.d.</t>
        </is>
      </c>
    </row>
    <row r="14">
      <c r="A14" s="4" t="inlineStr">
        <is>
          <t xml:space="preserve">DD</t>
        </is>
      </c>
      <c r="B14" s="0" t="inlineStr">
        <is>
          <t xml:space="preserve">Réserve légale</t>
        </is>
      </c>
      <c r="C14" s="0" t="inlineStr">
        <is>
          <t xml:space="preserve">2051</t>
        </is>
      </c>
      <c r="D14" s="7" t="inlineStr">
        <is>
          <t xml:space="preserve">PASSIF</t>
        </is>
      </c>
      <c r="E14" s="7">
        <v>-1</v>
      </c>
      <c r="F14" s="11"/>
      <c r="G14" s="12">
        <f>-1*SUMIFS(Comptes!$F$5:$F$42,Comptes!$G$5:$G$42,$A14)</f>
      </c>
      <c r="H14" s="12">
        <f>G14-F14</f>
      </c>
      <c r="I14" s="0" t="inlineStr">
        <is>
          <t xml:space="preserve">n.d.</t>
        </is>
      </c>
      <c r="J14" s="11"/>
      <c r="K14" s="12">
        <f>-1*SUMIFS(Comptes!$I$5:$I$42,Comptes!$J$5:$J$42,$A14)</f>
      </c>
      <c r="L14" s="12">
        <f>K14-J14</f>
      </c>
      <c r="M14" s="0" t="inlineStr">
        <is>
          <t xml:space="preserve">n.d.</t>
        </is>
      </c>
    </row>
    <row r="15">
      <c r="A15" s="4" t="inlineStr">
        <is>
          <t xml:space="preserve">DH</t>
        </is>
      </c>
      <c r="B15" s="0" t="inlineStr">
        <is>
          <t xml:space="preserve">Report à nouveau</t>
        </is>
      </c>
      <c r="C15" s="0" t="inlineStr">
        <is>
          <t xml:space="preserve">2051</t>
        </is>
      </c>
      <c r="D15" s="7" t="inlineStr">
        <is>
          <t xml:space="preserve">PASSIF</t>
        </is>
      </c>
      <c r="E15" s="7">
        <v>-1</v>
      </c>
      <c r="F15" s="11"/>
      <c r="G15" s="12">
        <f>-1*SUMIFS(Comptes!$F$5:$F$42,Comptes!$G$5:$G$42,$A15)</f>
      </c>
      <c r="H15" s="12">
        <f>G15-F15</f>
      </c>
      <c r="I15" s="0" t="inlineStr">
        <is>
          <t xml:space="preserve">n.d.</t>
        </is>
      </c>
      <c r="J15" s="11"/>
      <c r="K15" s="12">
        <f>-1*SUMIFS(Comptes!$I$5:$I$42,Comptes!$J$5:$J$42,$A15)</f>
      </c>
      <c r="L15" s="12">
        <f>K15-J15</f>
      </c>
      <c r="M15" s="0" t="inlineStr">
        <is>
          <t xml:space="preserve">n.d.</t>
        </is>
      </c>
    </row>
    <row r="16">
      <c r="A16" s="4" t="inlineStr">
        <is>
          <t xml:space="preserve">DI</t>
        </is>
      </c>
      <c r="B16" s="0" t="inlineStr">
        <is>
          <t xml:space="preserve">Résultat de l'exercice</t>
        </is>
      </c>
      <c r="C16" s="0" t="inlineStr">
        <is>
          <t xml:space="preserve">2051</t>
        </is>
      </c>
      <c r="D16" s="7" t="inlineStr">
        <is>
          <t xml:space="preserve">PASSIF</t>
        </is>
      </c>
      <c r="E16" s="7">
        <v>-1</v>
      </c>
      <c r="F16" s="11"/>
      <c r="G16" s="12">
        <f>-SUMIFS(Comptes!$F$5:$F$42,Comptes!$A$5:$A$42,"6*")-SUMIFS(Comptes!$F$5:$F$42,Comptes!$A$5:$A$42,"7*")</f>
      </c>
      <c r="H16" s="12">
        <f>G16-F16</f>
      </c>
      <c r="I16" s="0" t="inlineStr">
        <is>
          <t xml:space="preserve">n.d.</t>
        </is>
      </c>
      <c r="J16" s="11"/>
      <c r="K16" s="12">
        <f>-SUMIFS(Comptes!$I$5:$I$42,Comptes!$A$5:$A$42,"6*")-SUMIFS(Comptes!$I$5:$I$42,Comptes!$A$5:$A$42,"7*")</f>
      </c>
      <c r="L16" s="12">
        <f>K16-J16</f>
      </c>
      <c r="M16" s="0" t="inlineStr">
        <is>
          <t xml:space="preserve">n.d.</t>
        </is>
      </c>
    </row>
    <row r="17">
      <c r="A17" s="4" t="inlineStr">
        <is>
          <t xml:space="preserve">DU</t>
        </is>
      </c>
      <c r="B17" s="0" t="inlineStr">
        <is>
          <t xml:space="preserve">Emprunts et dettes auprès des établissements de crédit</t>
        </is>
      </c>
      <c r="C17" s="0" t="inlineStr">
        <is>
          <t xml:space="preserve">2051</t>
        </is>
      </c>
      <c r="D17" s="7" t="inlineStr">
        <is>
          <t xml:space="preserve">PASSIF</t>
        </is>
      </c>
      <c r="E17" s="7">
        <v>-1</v>
      </c>
      <c r="F17" s="11"/>
      <c r="G17" s="12">
        <f>-1*SUMIFS(Comptes!$F$5:$F$42,Comptes!$G$5:$G$42,$A17)</f>
      </c>
      <c r="H17" s="12">
        <f>G17-F17</f>
      </c>
      <c r="I17" s="0" t="inlineStr">
        <is>
          <t xml:space="preserve">n.d.</t>
        </is>
      </c>
      <c r="J17" s="11"/>
      <c r="K17" s="12">
        <f>-1*SUMIFS(Comptes!$I$5:$I$42,Comptes!$J$5:$J$42,$A17)</f>
      </c>
      <c r="L17" s="12">
        <f>K17-J17</f>
      </c>
      <c r="M17" s="0" t="inlineStr">
        <is>
          <t xml:space="preserve">n.d.</t>
        </is>
      </c>
    </row>
    <row r="18">
      <c r="A18" s="4" t="inlineStr">
        <is>
          <t xml:space="preserve">DV</t>
        </is>
      </c>
      <c r="B18" s="0" t="inlineStr">
        <is>
          <t xml:space="preserve">Emprunts et dettes financières divers</t>
        </is>
      </c>
      <c r="C18" s="0" t="inlineStr">
        <is>
          <t xml:space="preserve">2051</t>
        </is>
      </c>
      <c r="D18" s="7" t="inlineStr">
        <is>
          <t xml:space="preserve">PASSIF</t>
        </is>
      </c>
      <c r="E18" s="7">
        <v>-1</v>
      </c>
      <c r="F18" s="11"/>
      <c r="G18" s="12">
        <f>-1*SUMIFS(Comptes!$F$5:$F$42,Comptes!$G$5:$G$42,$A18)</f>
      </c>
      <c r="H18" s="12">
        <f>G18-F18</f>
      </c>
      <c r="I18" s="0" t="inlineStr">
        <is>
          <t xml:space="preserve">n.d.</t>
        </is>
      </c>
      <c r="J18" s="11"/>
      <c r="K18" s="12">
        <f>-1*SUMIFS(Comptes!$I$5:$I$42,Comptes!$J$5:$J$42,$A18)</f>
      </c>
      <c r="L18" s="12">
        <f>K18-J18</f>
      </c>
      <c r="M18" s="0" t="inlineStr">
        <is>
          <t xml:space="preserve">n.d.</t>
        </is>
      </c>
    </row>
    <row r="19">
      <c r="A19" s="4" t="inlineStr">
        <is>
          <t xml:space="preserve">DX</t>
        </is>
      </c>
      <c r="B19" s="0" t="inlineStr">
        <is>
          <t xml:space="preserve">Dettes fournisseurs</t>
        </is>
      </c>
      <c r="C19" s="0" t="inlineStr">
        <is>
          <t xml:space="preserve">2051</t>
        </is>
      </c>
      <c r="D19" s="7" t="inlineStr">
        <is>
          <t xml:space="preserve">PASSIF</t>
        </is>
      </c>
      <c r="E19" s="7">
        <v>-1</v>
      </c>
      <c r="F19" s="11"/>
      <c r="G19" s="12">
        <f>-1*SUMIFS(Comptes!$F$5:$F$42,Comptes!$G$5:$G$42,$A19)</f>
      </c>
      <c r="H19" s="12">
        <f>G19-F19</f>
      </c>
      <c r="I19" s="0" t="inlineStr">
        <is>
          <t xml:space="preserve">n.d.</t>
        </is>
      </c>
      <c r="J19" s="11"/>
      <c r="K19" s="12">
        <f>-1*SUMIFS(Comptes!$I$5:$I$42,Comptes!$J$5:$J$42,$A19)</f>
      </c>
      <c r="L19" s="12">
        <f>K19-J19</f>
      </c>
      <c r="M19" s="0" t="inlineStr">
        <is>
          <t xml:space="preserve">n.d.</t>
        </is>
      </c>
    </row>
    <row r="20">
      <c r="A20" s="4" t="inlineStr">
        <is>
          <t xml:space="preserve">DY</t>
        </is>
      </c>
      <c r="B20" s="0" t="inlineStr">
        <is>
          <t xml:space="preserve">Dettes fiscales et sociales</t>
        </is>
      </c>
      <c r="C20" s="0" t="inlineStr">
        <is>
          <t xml:space="preserve">2051</t>
        </is>
      </c>
      <c r="D20" s="7" t="inlineStr">
        <is>
          <t xml:space="preserve">PASSIF</t>
        </is>
      </c>
      <c r="E20" s="7">
        <v>-1</v>
      </c>
      <c r="F20" s="11"/>
      <c r="G20" s="12">
        <f>-1*SUMIFS(Comptes!$F$5:$F$42,Comptes!$G$5:$G$42,$A20)</f>
      </c>
      <c r="H20" s="12">
        <f>G20-F20</f>
      </c>
      <c r="I20" s="0" t="inlineStr">
        <is>
          <t xml:space="preserve">n.d.</t>
        </is>
      </c>
      <c r="J20" s="11"/>
      <c r="K20" s="12">
        <f>-1*SUMIFS(Comptes!$I$5:$I$42,Comptes!$J$5:$J$42,$A20)</f>
      </c>
      <c r="L20" s="12">
        <f>K20-J20</f>
      </c>
      <c r="M20" s="0" t="inlineStr">
        <is>
          <t xml:space="preserve">n.d.</t>
        </is>
      </c>
    </row>
    <row r="21">
      <c r="A21" s="4" t="inlineStr">
        <is>
          <t xml:space="preserve">EA</t>
        </is>
      </c>
      <c r="B21" s="0" t="inlineStr">
        <is>
          <t xml:space="preserve">Autres dettes</t>
        </is>
      </c>
      <c r="C21" s="0" t="inlineStr">
        <is>
          <t xml:space="preserve">2051</t>
        </is>
      </c>
      <c r="D21" s="7" t="inlineStr">
        <is>
          <t xml:space="preserve">PASSIF</t>
        </is>
      </c>
      <c r="E21" s="7">
        <v>-1</v>
      </c>
      <c r="F21" s="11"/>
      <c r="G21" s="12">
        <f>-1*SUMIFS(Comptes!$F$5:$F$42,Comptes!$G$5:$G$42,$A21)</f>
      </c>
      <c r="H21" s="12">
        <f>G21-F21</f>
      </c>
      <c r="I21" s="0" t="inlineStr">
        <is>
          <t xml:space="preserve">n.d.</t>
        </is>
      </c>
      <c r="J21" s="11"/>
      <c r="K21" s="12">
        <f>-1*SUMIFS(Comptes!$I$5:$I$42,Comptes!$J$5:$J$42,$A21)</f>
      </c>
      <c r="L21" s="12">
        <f>K21-J21</f>
      </c>
      <c r="M21" s="0" t="inlineStr">
        <is>
          <t xml:space="preserve">n.d.</t>
        </is>
      </c>
    </row>
    <row r="22">
      <c r="A22" s="4" t="inlineStr">
        <is>
          <t xml:space="preserve">FF</t>
        </is>
      </c>
      <c r="B22" s="0" t="inlineStr">
        <is>
          <t xml:space="preserve">Production vendue - biens</t>
        </is>
      </c>
      <c r="C22" s="0" t="inlineStr">
        <is>
          <t xml:space="preserve">2052</t>
        </is>
      </c>
      <c r="D22" s="7" t="inlineStr">
        <is>
          <t xml:space="preserve">PROD_EXPL</t>
        </is>
      </c>
      <c r="E22" s="7">
        <v>-1</v>
      </c>
      <c r="F22" s="11"/>
      <c r="G22" s="12">
        <f>-1*SUMIFS(Comptes!$F$5:$F$42,Comptes!$G$5:$G$42,$A22)</f>
      </c>
      <c r="H22" s="12">
        <f>G22-F22</f>
      </c>
      <c r="I22" s="0" t="inlineStr">
        <is>
          <t xml:space="preserve">n.d.</t>
        </is>
      </c>
      <c r="J22" s="11"/>
      <c r="K22" s="12">
        <f>-1*SUMIFS(Comptes!$I$5:$I$42,Comptes!$J$5:$J$42,$A22)</f>
      </c>
      <c r="L22" s="12">
        <f>K22-J22</f>
      </c>
      <c r="M22" s="0" t="inlineStr">
        <is>
          <t xml:space="preserve">n.d.</t>
        </is>
      </c>
    </row>
    <row r="23">
      <c r="A23" s="4" t="inlineStr">
        <is>
          <t xml:space="preserve">FU</t>
        </is>
      </c>
      <c r="B23" s="0" t="inlineStr">
        <is>
          <t xml:space="preserve">Achats de matières premières et approvisionnements</t>
        </is>
      </c>
      <c r="C23" s="0" t="inlineStr">
        <is>
          <t xml:space="preserve">2052</t>
        </is>
      </c>
      <c r="D23" s="7" t="inlineStr">
        <is>
          <t xml:space="preserve">CHG_EXPL</t>
        </is>
      </c>
      <c r="E23" s="7">
        <v>1</v>
      </c>
      <c r="F23" s="11"/>
      <c r="G23" s="12">
        <f>1*SUMIFS(Comptes!$F$5:$F$42,Comptes!$G$5:$G$42,$A23)</f>
      </c>
      <c r="H23" s="12">
        <f>G23-F23</f>
      </c>
      <c r="I23" s="0" t="inlineStr">
        <is>
          <t xml:space="preserve">n.d.</t>
        </is>
      </c>
      <c r="J23" s="11"/>
      <c r="K23" s="12">
        <f>1*SUMIFS(Comptes!$I$5:$I$42,Comptes!$J$5:$J$42,$A23)</f>
      </c>
      <c r="L23" s="12">
        <f>K23-J23</f>
      </c>
      <c r="M23" s="0" t="inlineStr">
        <is>
          <t xml:space="preserve">n.d.</t>
        </is>
      </c>
    </row>
    <row r="24">
      <c r="A24" s="4" t="inlineStr">
        <is>
          <t xml:space="preserve">FV</t>
        </is>
      </c>
      <c r="B24" s="0" t="inlineStr">
        <is>
          <t xml:space="preserve">Variation de stocks (matières)</t>
        </is>
      </c>
      <c r="C24" s="0" t="inlineStr">
        <is>
          <t xml:space="preserve">2052</t>
        </is>
      </c>
      <c r="D24" s="7" t="inlineStr">
        <is>
          <t xml:space="preserve">CHG_EXPL</t>
        </is>
      </c>
      <c r="E24" s="7">
        <v>1</v>
      </c>
      <c r="F24" s="11"/>
      <c r="G24" s="12">
        <f>1*SUMIFS(Comptes!$F$5:$F$42,Comptes!$G$5:$G$42,$A24)</f>
      </c>
      <c r="H24" s="12">
        <f>G24-F24</f>
      </c>
      <c r="I24" s="0" t="inlineStr">
        <is>
          <t xml:space="preserve">n.d.</t>
        </is>
      </c>
      <c r="J24" s="11"/>
      <c r="K24" s="12">
        <f>1*SUMIFS(Comptes!$I$5:$I$42,Comptes!$J$5:$J$42,$A24)</f>
      </c>
      <c r="L24" s="12">
        <f>K24-J24</f>
      </c>
      <c r="M24" s="0" t="inlineStr">
        <is>
          <t xml:space="preserve">n.d.</t>
        </is>
      </c>
    </row>
    <row r="25">
      <c r="A25" s="4" t="inlineStr">
        <is>
          <t xml:space="preserve">FW</t>
        </is>
      </c>
      <c r="B25" s="0" t="inlineStr">
        <is>
          <t xml:space="preserve">Autres achats et charges externes</t>
        </is>
      </c>
      <c r="C25" s="0" t="inlineStr">
        <is>
          <t xml:space="preserve">2052</t>
        </is>
      </c>
      <c r="D25" s="7" t="inlineStr">
        <is>
          <t xml:space="preserve">CHG_EXPL</t>
        </is>
      </c>
      <c r="E25" s="7">
        <v>1</v>
      </c>
      <c r="F25" s="11"/>
      <c r="G25" s="12">
        <f>1*SUMIFS(Comptes!$F$5:$F$42,Comptes!$G$5:$G$42,$A25)</f>
      </c>
      <c r="H25" s="12">
        <f>G25-F25</f>
      </c>
      <c r="I25" s="0" t="inlineStr">
        <is>
          <t xml:space="preserve">n.d.</t>
        </is>
      </c>
      <c r="J25" s="11"/>
      <c r="K25" s="12">
        <f>1*SUMIFS(Comptes!$I$5:$I$42,Comptes!$J$5:$J$42,$A25)</f>
      </c>
      <c r="L25" s="12">
        <f>K25-J25</f>
      </c>
      <c r="M25" s="0" t="inlineStr">
        <is>
          <t xml:space="preserve">n.d.</t>
        </is>
      </c>
    </row>
    <row r="26">
      <c r="A26" s="4" t="inlineStr">
        <is>
          <t xml:space="preserve">FX</t>
        </is>
      </c>
      <c r="B26" s="0" t="inlineStr">
        <is>
          <t xml:space="preserve">Impôts, taxes et versements assimilés</t>
        </is>
      </c>
      <c r="C26" s="0" t="inlineStr">
        <is>
          <t xml:space="preserve">2052</t>
        </is>
      </c>
      <c r="D26" s="7" t="inlineStr">
        <is>
          <t xml:space="preserve">CHG_EXPL</t>
        </is>
      </c>
      <c r="E26" s="7">
        <v>1</v>
      </c>
      <c r="F26" s="11"/>
      <c r="G26" s="12">
        <f>1*SUMIFS(Comptes!$F$5:$F$42,Comptes!$G$5:$G$42,$A26)</f>
      </c>
      <c r="H26" s="12">
        <f>G26-F26</f>
      </c>
      <c r="I26" s="0" t="inlineStr">
        <is>
          <t xml:space="preserve">n.d.</t>
        </is>
      </c>
      <c r="J26" s="11"/>
      <c r="K26" s="12">
        <f>1*SUMIFS(Comptes!$I$5:$I$42,Comptes!$J$5:$J$42,$A26)</f>
      </c>
      <c r="L26" s="12">
        <f>K26-J26</f>
      </c>
      <c r="M26" s="0" t="inlineStr">
        <is>
          <t xml:space="preserve">n.d.</t>
        </is>
      </c>
    </row>
    <row r="27">
      <c r="A27" s="4" t="inlineStr">
        <is>
          <t xml:space="preserve">FY</t>
        </is>
      </c>
      <c r="B27" s="0" t="inlineStr">
        <is>
          <t xml:space="preserve">Salaires et traitements</t>
        </is>
      </c>
      <c r="C27" s="0" t="inlineStr">
        <is>
          <t xml:space="preserve">2052</t>
        </is>
      </c>
      <c r="D27" s="7" t="inlineStr">
        <is>
          <t xml:space="preserve">CHG_EXPL</t>
        </is>
      </c>
      <c r="E27" s="7">
        <v>1</v>
      </c>
      <c r="F27" s="11"/>
      <c r="G27" s="12">
        <f>1*SUMIFS(Comptes!$F$5:$F$42,Comptes!$G$5:$G$42,$A27)</f>
      </c>
      <c r="H27" s="12">
        <f>G27-F27</f>
      </c>
      <c r="I27" s="0" t="inlineStr">
        <is>
          <t xml:space="preserve">n.d.</t>
        </is>
      </c>
      <c r="J27" s="11"/>
      <c r="K27" s="12">
        <f>1*SUMIFS(Comptes!$I$5:$I$42,Comptes!$J$5:$J$42,$A27)</f>
      </c>
      <c r="L27" s="12">
        <f>K27-J27</f>
      </c>
      <c r="M27" s="0" t="inlineStr">
        <is>
          <t xml:space="preserve">n.d.</t>
        </is>
      </c>
    </row>
    <row r="28">
      <c r="A28" s="4" t="inlineStr">
        <is>
          <t xml:space="preserve">FZ</t>
        </is>
      </c>
      <c r="B28" s="0" t="inlineStr">
        <is>
          <t xml:space="preserve">Charges sociales</t>
        </is>
      </c>
      <c r="C28" s="0" t="inlineStr">
        <is>
          <t xml:space="preserve">2052</t>
        </is>
      </c>
      <c r="D28" s="7" t="inlineStr">
        <is>
          <t xml:space="preserve">CHG_EXPL</t>
        </is>
      </c>
      <c r="E28" s="7">
        <v>1</v>
      </c>
      <c r="F28" s="11"/>
      <c r="G28" s="12">
        <f>1*SUMIFS(Comptes!$F$5:$F$42,Comptes!$G$5:$G$42,$A28)</f>
      </c>
      <c r="H28" s="12">
        <f>G28-F28</f>
      </c>
      <c r="I28" s="0" t="inlineStr">
        <is>
          <t xml:space="preserve">n.d.</t>
        </is>
      </c>
      <c r="J28" s="11"/>
      <c r="K28" s="12">
        <f>1*SUMIFS(Comptes!$I$5:$I$42,Comptes!$J$5:$J$42,$A28)</f>
      </c>
      <c r="L28" s="12">
        <f>K28-J28</f>
      </c>
      <c r="M28" s="0" t="inlineStr">
        <is>
          <t xml:space="preserve">n.d.</t>
        </is>
      </c>
    </row>
    <row r="29">
      <c r="A29" s="4" t="inlineStr">
        <is>
          <t xml:space="preserve">GA</t>
        </is>
      </c>
      <c r="B29" s="0" t="inlineStr">
        <is>
          <t xml:space="preserve">Dotations aux amortissements</t>
        </is>
      </c>
      <c r="C29" s="0" t="inlineStr">
        <is>
          <t xml:space="preserve">2052</t>
        </is>
      </c>
      <c r="D29" s="7" t="inlineStr">
        <is>
          <t xml:space="preserve">CHG_EXPL</t>
        </is>
      </c>
      <c r="E29" s="7">
        <v>1</v>
      </c>
      <c r="F29" s="11"/>
      <c r="G29" s="12">
        <f>1*SUMIFS(Comptes!$F$5:$F$42,Comptes!$G$5:$G$42,$A29)</f>
      </c>
      <c r="H29" s="12">
        <f>G29-F29</f>
      </c>
      <c r="I29" s="0" t="inlineStr">
        <is>
          <t xml:space="preserve">n.d.</t>
        </is>
      </c>
      <c r="J29" s="11"/>
      <c r="K29" s="12">
        <f>1*SUMIFS(Comptes!$I$5:$I$42,Comptes!$J$5:$J$42,$A29)</f>
      </c>
      <c r="L29" s="12">
        <f>K29-J29</f>
      </c>
      <c r="M29" s="0" t="inlineStr">
        <is>
          <t xml:space="preserve">n.d.</t>
        </is>
      </c>
    </row>
    <row r="30">
      <c r="A30" s="4" t="inlineStr">
        <is>
          <t xml:space="preserve">GR</t>
        </is>
      </c>
      <c r="B30" s="0" t="inlineStr">
        <is>
          <t xml:space="preserve">Intérêts et charges assimilées</t>
        </is>
      </c>
      <c r="C30" s="0" t="inlineStr">
        <is>
          <t xml:space="preserve">2052</t>
        </is>
      </c>
      <c r="D30" s="7" t="inlineStr">
        <is>
          <t xml:space="preserve">CHG_FIN</t>
        </is>
      </c>
      <c r="E30" s="7">
        <v>1</v>
      </c>
      <c r="F30" s="11"/>
      <c r="G30" s="12">
        <f>1*SUMIFS(Comptes!$F$5:$F$42,Comptes!$G$5:$G$42,$A30)</f>
      </c>
      <c r="H30" s="12">
        <f>G30-F30</f>
      </c>
      <c r="I30" s="0" t="inlineStr">
        <is>
          <t xml:space="preserve">n.d.</t>
        </is>
      </c>
      <c r="J30" s="11"/>
      <c r="K30" s="12">
        <f>1*SUMIFS(Comptes!$I$5:$I$42,Comptes!$J$5:$J$42,$A30)</f>
      </c>
      <c r="L30" s="12">
        <f>K30-J30</f>
      </c>
      <c r="M30" s="0" t="inlineStr">
        <is>
          <t xml:space="preserve">n.d.</t>
        </is>
      </c>
    </row>
    <row r="31">
      <c r="A31" s="4" t="inlineStr">
        <is>
          <t xml:space="preserve">HK</t>
        </is>
      </c>
      <c r="B31" s="0" t="inlineStr">
        <is>
          <t xml:space="preserve">Impôts sur les bénéfices</t>
        </is>
      </c>
      <c r="C31" s="0" t="inlineStr">
        <is>
          <t xml:space="preserve">2053</t>
        </is>
      </c>
      <c r="D31" s="7" t="inlineStr">
        <is>
          <t xml:space="preserve">IS_PART</t>
        </is>
      </c>
      <c r="E31" s="7">
        <v>1</v>
      </c>
      <c r="F31" s="11"/>
      <c r="G31" s="12">
        <f>1*SUMIFS(Comptes!$F$5:$F$42,Comptes!$G$5:$G$42,$A31)</f>
      </c>
      <c r="H31" s="12">
        <f>G31-F31</f>
      </c>
      <c r="I31" s="0" t="inlineStr">
        <is>
          <t xml:space="preserve">n.d.</t>
        </is>
      </c>
      <c r="J31" s="11"/>
      <c r="K31" s="12">
        <f>1*SUMIFS(Comptes!$I$5:$I$42,Comptes!$J$5:$J$42,$A31)</f>
      </c>
      <c r="L31" s="12">
        <f>K31-J31</f>
      </c>
      <c r="M31" s="0" t="inlineStr">
        <is>
          <t xml:space="preserve">n.d.</t>
        </is>
      </c>
    </row>
    <row r="33">
      <c r="A33" s="13" t="inlineStr">
        <is>
          <t xml:space="preserve">Totaux</t>
        </is>
      </c>
    </row>
    <row r="34">
      <c r="A34" s="14" t="inlineStr">
        <is>
          <t xml:space="preserve">CO</t>
        </is>
      </c>
      <c r="B34" s="15" t="inlineStr">
        <is>
          <t xml:space="preserve">TOTAL ACTIF BRUT</t>
        </is>
      </c>
      <c r="C34" s="0" t="inlineStr">
        <is>
          <t xml:space="preserve">total 2050</t>
        </is>
      </c>
      <c r="F34" s="16"/>
      <c r="G34" s="17">
        <f>SUMIFS($G$5:$G$31,$D$5:$D$31,"ACTIF_BRUT")</f>
      </c>
      <c r="H34" s="17">
        <f>G34-F34</f>
      </c>
      <c r="I34" s="15" t="inlineStr">
        <is>
          <t xml:space="preserve">n.d.</t>
        </is>
      </c>
      <c r="J34" s="16"/>
      <c r="K34" s="17">
        <f>SUMIFS($K$5:$K$31,$D$5:$D$31,"ACTIF_BRUT")</f>
      </c>
      <c r="L34" s="17">
        <f>K34-J34</f>
      </c>
      <c r="M34" s="15" t="inlineStr">
        <is>
          <t xml:space="preserve">n.d.</t>
        </is>
      </c>
    </row>
    <row r="35">
      <c r="A35" s="14" t="inlineStr">
        <is>
          <t xml:space="preserve">EE</t>
        </is>
      </c>
      <c r="B35" s="15" t="inlineStr">
        <is>
          <t xml:space="preserve">TOTAL PASSIF (= actif net)</t>
        </is>
      </c>
      <c r="C35" s="0" t="inlineStr">
        <is>
          <t xml:space="preserve">total 2050</t>
        </is>
      </c>
      <c r="F35" s="16"/>
      <c r="G35" s="17">
        <f>SUMIFS($G$5:$G$31,$D$5:$D$31,"PASSIF")</f>
      </c>
      <c r="H35" s="17">
        <f>G35-F35</f>
      </c>
      <c r="I35" s="15" t="inlineStr">
        <is>
          <t xml:space="preserve">n.d.</t>
        </is>
      </c>
      <c r="J35" s="16"/>
      <c r="K35" s="17">
        <f>SUMIFS($K$5:$K$31,$D$5:$D$31,"PASSIF")</f>
      </c>
      <c r="L35" s="17">
        <f>K35-J35</f>
      </c>
      <c r="M35" s="15" t="inlineStr">
        <is>
          <t xml:space="preserve">n.d.</t>
        </is>
      </c>
    </row>
    <row r="36">
      <c r="A36" s="14" t="inlineStr">
        <is>
          <t xml:space="preserve">FR</t>
        </is>
      </c>
      <c r="B36" s="15" t="inlineStr">
        <is>
          <t xml:space="preserve">Total produits d'exploitation</t>
        </is>
      </c>
      <c r="C36" s="0" t="inlineStr">
        <is>
          <t xml:space="preserve">total 2050</t>
        </is>
      </c>
      <c r="F36" s="16"/>
      <c r="G36" s="17">
        <f>SUMIFS($G$5:$G$31,$D$5:$D$31,"PROD_EXPL")</f>
      </c>
      <c r="H36" s="17">
        <f>G36-F36</f>
      </c>
      <c r="I36" s="15" t="inlineStr">
        <is>
          <t xml:space="preserve">n.d.</t>
        </is>
      </c>
      <c r="J36" s="16"/>
      <c r="K36" s="17">
        <f>SUMIFS($K$5:$K$31,$D$5:$D$31,"PROD_EXPL")</f>
      </c>
      <c r="L36" s="17">
        <f>K36-J36</f>
      </c>
      <c r="M36" s="15" t="inlineStr">
        <is>
          <t xml:space="preserve">n.d.</t>
        </is>
      </c>
    </row>
    <row r="37">
      <c r="A37" s="14" t="inlineStr">
        <is>
          <t xml:space="preserve">GF</t>
        </is>
      </c>
      <c r="B37" s="15" t="inlineStr">
        <is>
          <t xml:space="preserve">Total charges d'exploitation</t>
        </is>
      </c>
      <c r="C37" s="0" t="inlineStr">
        <is>
          <t xml:space="preserve">total 2050</t>
        </is>
      </c>
      <c r="F37" s="16"/>
      <c r="G37" s="17">
        <f>SUMIFS($G$5:$G$31,$D$5:$D$31,"CHG_EXPL")</f>
      </c>
      <c r="H37" s="17">
        <f>G37-F37</f>
      </c>
      <c r="I37" s="15" t="inlineStr">
        <is>
          <t xml:space="preserve">n.d.</t>
        </is>
      </c>
      <c r="J37" s="16"/>
      <c r="K37" s="17">
        <f>SUMIFS($K$5:$K$31,$D$5:$D$31,"CHG_EXPL")</f>
      </c>
      <c r="L37" s="17">
        <f>K37-J37</f>
      </c>
      <c r="M37" s="15" t="inlineStr">
        <is>
          <t xml:space="preserve">n.d.</t>
        </is>
      </c>
    </row>
    <row r="38">
      <c r="A38" s="14" t="inlineStr">
        <is>
          <t xml:space="preserve">GG</t>
        </is>
      </c>
      <c r="B38" s="15" t="inlineStr">
        <is>
          <t xml:space="preserve">Résultat d'exploitation</t>
        </is>
      </c>
      <c r="C38" s="0" t="inlineStr">
        <is>
          <t xml:space="preserve">total 2050</t>
        </is>
      </c>
      <c r="F38" s="16"/>
      <c r="G38" s="17">
        <f>SUMIFS($G$5:$G$31,$D$5:$D$31,"PROD_EXPL")-SUMIFS($G$5:$G$31,$D$5:$D$31,"CHG_EXPL")</f>
      </c>
      <c r="H38" s="17">
        <f>G38-F38</f>
      </c>
      <c r="I38" s="15" t="inlineStr">
        <is>
          <t xml:space="preserve">n.d.</t>
        </is>
      </c>
      <c r="J38" s="16"/>
      <c r="K38" s="17">
        <f>SUMIFS($K$5:$K$31,$D$5:$D$31,"PROD_EXPL")-SUMIFS($K$5:$K$31,$D$5:$D$31,"CHG_EXPL")</f>
      </c>
      <c r="L38" s="17">
        <f>K38-J38</f>
      </c>
      <c r="M38" s="15" t="inlineStr">
        <is>
          <t xml:space="preserve">n.d.</t>
        </is>
      </c>
    </row>
    <row r="39">
      <c r="A39" s="14" t="inlineStr">
        <is>
          <t xml:space="preserve">GV</t>
        </is>
      </c>
      <c r="B39" s="15" t="inlineStr">
        <is>
          <t xml:space="preserve">Résultat financier</t>
        </is>
      </c>
      <c r="C39" s="0" t="inlineStr">
        <is>
          <t xml:space="preserve">total 2050</t>
        </is>
      </c>
      <c r="F39" s="16"/>
      <c r="G39" s="17">
        <f>SUMIFS($G$5:$G$31,$D$5:$D$31,"PROD_FIN")-SUMIFS($G$5:$G$31,$D$5:$D$31,"CHG_FIN")</f>
      </c>
      <c r="H39" s="17">
        <f>G39-F39</f>
      </c>
      <c r="I39" s="15" t="inlineStr">
        <is>
          <t xml:space="preserve">n.d.</t>
        </is>
      </c>
      <c r="J39" s="16"/>
      <c r="K39" s="17">
        <f>SUMIFS($K$5:$K$31,$D$5:$D$31,"PROD_FIN")-SUMIFS($K$5:$K$31,$D$5:$D$31,"CHG_FIN")</f>
      </c>
      <c r="L39" s="17">
        <f>K39-J39</f>
      </c>
      <c r="M39" s="15" t="inlineStr">
        <is>
          <t xml:space="preserve">n.d.</t>
        </is>
      </c>
    </row>
    <row r="40">
      <c r="A40" s="14" t="inlineStr">
        <is>
          <t xml:space="preserve">HD</t>
        </is>
      </c>
      <c r="B40" s="15" t="inlineStr">
        <is>
          <t xml:space="preserve">Total produits exceptionnels</t>
        </is>
      </c>
      <c r="C40" s="0" t="inlineStr">
        <is>
          <t xml:space="preserve">total 2050</t>
        </is>
      </c>
      <c r="F40" s="16"/>
      <c r="G40" s="17">
        <f>SUMIFS($G$5:$G$31,$D$5:$D$31,"PROD_EXC")</f>
      </c>
      <c r="H40" s="17">
        <f>G40-F40</f>
      </c>
      <c r="I40" s="15" t="inlineStr">
        <is>
          <t xml:space="preserve">n.d.</t>
        </is>
      </c>
      <c r="J40" s="16"/>
      <c r="K40" s="17">
        <f>SUMIFS($K$5:$K$31,$D$5:$D$31,"PROD_EXC")</f>
      </c>
      <c r="L40" s="17">
        <f>K40-J40</f>
      </c>
      <c r="M40" s="15" t="inlineStr">
        <is>
          <t xml:space="preserve">n.d.</t>
        </is>
      </c>
    </row>
    <row r="41">
      <c r="A41" s="14" t="inlineStr">
        <is>
          <t xml:space="preserve">HH</t>
        </is>
      </c>
      <c r="B41" s="15" t="inlineStr">
        <is>
          <t xml:space="preserve">Total charges exceptionnelles</t>
        </is>
      </c>
      <c r="C41" s="0" t="inlineStr">
        <is>
          <t xml:space="preserve">total 2050</t>
        </is>
      </c>
      <c r="F41" s="16"/>
      <c r="G41" s="17">
        <f>SUMIFS($G$5:$G$31,$D$5:$D$31,"CHG_EXC")</f>
      </c>
      <c r="H41" s="17">
        <f>G41-F41</f>
      </c>
      <c r="I41" s="15" t="inlineStr">
        <is>
          <t xml:space="preserve">n.d.</t>
        </is>
      </c>
      <c r="J41" s="16"/>
      <c r="K41" s="17">
        <f>SUMIFS($K$5:$K$31,$D$5:$D$31,"CHG_EXC")</f>
      </c>
      <c r="L41" s="17">
        <f>K41-J41</f>
      </c>
      <c r="M41" s="15" t="inlineStr">
        <is>
          <t xml:space="preserve">n.d.</t>
        </is>
      </c>
    </row>
    <row r="42">
      <c r="A42" s="14" t="inlineStr">
        <is>
          <t xml:space="preserve">HI</t>
        </is>
      </c>
      <c r="B42" s="15" t="inlineStr">
        <is>
          <t xml:space="preserve">Résultat exceptionnel</t>
        </is>
      </c>
      <c r="C42" s="0" t="inlineStr">
        <is>
          <t xml:space="preserve">total 2050</t>
        </is>
      </c>
      <c r="F42" s="16"/>
      <c r="G42" s="17">
        <f>SUMIFS($G$5:$G$31,$D$5:$D$31,"PROD_EXC")-SUMIFS($G$5:$G$31,$D$5:$D$31,"CHG_EXC")</f>
      </c>
      <c r="H42" s="17">
        <f>G42-F42</f>
      </c>
      <c r="I42" s="15" t="inlineStr">
        <is>
          <t xml:space="preserve">n.d.</t>
        </is>
      </c>
      <c r="J42" s="16"/>
      <c r="K42" s="17">
        <f>SUMIFS($K$5:$K$31,$D$5:$D$31,"PROD_EXC")-SUMIFS($K$5:$K$31,$D$5:$D$31,"CHG_EXC")</f>
      </c>
      <c r="L42" s="17">
        <f>K42-J42</f>
      </c>
      <c r="M42" s="15" t="inlineStr">
        <is>
          <t xml:space="preserve">n.d.</t>
        </is>
      </c>
    </row>
    <row r="43">
      <c r="A43" s="14" t="inlineStr">
        <is>
          <t xml:space="preserve">HN</t>
        </is>
      </c>
      <c r="B43" s="15" t="inlineStr">
        <is>
          <t xml:space="preserve">Bénéfice ou perte</t>
        </is>
      </c>
      <c r="C43" s="0" t="inlineStr">
        <is>
          <t xml:space="preserve">total 2050</t>
        </is>
      </c>
      <c r="F43" s="16"/>
      <c r="G43" s="17">
        <f>SUMIFS($G$5:$G$31,$D$5:$D$31,"PROD_EXPL")-SUMIFS($G$5:$G$31,$D$5:$D$31,"CHG_EXPL")+SUMIFS($G$5:$G$31,$D$5:$D$31,"PROD_FIN")-SUMIFS($G$5:$G$31,$D$5:$D$31,"CHG_FIN")+SUMIFS($G$5:$G$31,$D$5:$D$31,"PROD_EXC")-SUMIFS($G$5:$G$31,$D$5:$D$31,"CHG_EXC")-SUMIFS($G$5:$G$31,$D$5:$D$31,"IS_PART")</f>
      </c>
      <c r="H43" s="17">
        <f>G43-F43</f>
      </c>
      <c r="I43" s="15" t="inlineStr">
        <is>
          <t xml:space="preserve">n.d.</t>
        </is>
      </c>
      <c r="J43" s="16"/>
      <c r="K43" s="17">
        <f>SUMIFS($K$5:$K$31,$D$5:$D$31,"PROD_EXPL")-SUMIFS($K$5:$K$31,$D$5:$D$31,"CHG_EXPL")+SUMIFS($K$5:$K$31,$D$5:$D$31,"PROD_FIN")-SUMIFS($K$5:$K$31,$D$5:$D$31,"CHG_FIN")+SUMIFS($K$5:$K$31,$D$5:$D$31,"PROD_EXC")-SUMIFS($K$5:$K$31,$D$5:$D$31,"CHG_EXC")-SUMIFS($K$5:$K$31,$D$5:$D$31,"IS_PART")</f>
      </c>
      <c r="L43" s="17">
        <f>K43-J43</f>
      </c>
      <c r="M43" s="15" t="inlineStr">
        <is>
          <t xml:space="preserve">n.d.</t>
        </is>
      </c>
    </row>
    <row r="44">
      <c r="A44" s="15" t="inlineStr">
        <is>
          <t xml:space="preserve">ACTIF NET</t>
        </is>
      </c>
      <c r="B44" s="15" t="inlineStr">
        <is>
          <t xml:space="preserve">Actif brut - amortissements et dépréciations (= total passif)</t>
        </is>
      </c>
      <c r="F44" s="17"/>
      <c r="G44" s="17">
        <f>G34-SUMIFS($G$5:$G$31,$D$5:$D$31,"AMORT")</f>
      </c>
      <c r="H44" s="17">
        <f>G44-F44</f>
      </c>
      <c r="I44" s="15" t="inlineStr">
        <is>
          <t xml:space="preserve">n.d.</t>
        </is>
      </c>
      <c r="J44" s="17"/>
      <c r="K44" s="17">
        <f>K34-SUMIFS($K$5:$K$31,$D$5:$D$31,"AMORT")</f>
      </c>
      <c r="L44" s="17">
        <f>K44-J44</f>
      </c>
      <c r="M44" s="15" t="inlineStr">
        <is>
          <t xml:space="preserve">n.d.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2" ySplit="4" topLeftCell="C5" activePane="bottomRight" state="frozen"/>
    </sheetView>
  </sheetViews>
  <sheetFormatPr defaultRowHeight="12.75"/>
  <cols>
    <col min="1" max="1" width="13" customWidth="1"/>
    <col min="2" max="2" width="32" customWidth="1"/>
    <col min="3" max="3" width="10" customWidth="1"/>
    <col min="4" max="4" width="11" customWidth="1"/>
    <col min="5" max="5" width="16" customWidth="1"/>
    <col min="6" max="6" width="13" customWidth="1"/>
    <col min="7" max="7" width="8" customWidth="1"/>
    <col min="8" max="8" width="20" customWidth="1"/>
    <col min="9" max="9" width="13" customWidth="1"/>
    <col min="10" max="10" width="8" customWidth="1"/>
    <col min="11" max="11" width="20" customWidth="1"/>
  </cols>
  <sheetData>
    <row r="1">
      <c r="A1" s="1" t="inlineStr">
        <is>
          <t xml:space="preserve">Balance des comptes et affectation</t>
        </is>
      </c>
    </row>
    <row r="2">
      <c r="A2" s="2" t="inlineStr">
        <is>
          <t xml:space="preserve">Soldes recalculés depuis chaque FEC. Surcharges (D, E, jaunes) : uniquement pour corriger une affectation propre au dossier.</t>
        </is>
      </c>
    </row>
    <row r="4">
      <c r="A4" s="3" t="inlineStr">
        <is>
          <t xml:space="preserve">Compte</t>
        </is>
      </c>
      <c r="B4" s="3" t="inlineStr">
        <is>
          <t xml:space="preserve">Libellé</t>
        </is>
      </c>
      <c r="C4" s="3" t="inlineStr">
        <is>
          <t xml:space="preserve">Racine retenue</t>
        </is>
      </c>
      <c r="D4" s="3" t="inlineStr">
        <is>
          <t xml:space="preserve">Surcharge poste liasse</t>
        </is>
      </c>
      <c r="E4" s="3" t="inlineStr">
        <is>
          <t xml:space="preserve">Surcharge agrégat</t>
        </is>
      </c>
      <c r="F4" s="3" t="inlineStr">
        <is>
          <t xml:space="preserve">Solde 2024</t>
        </is>
      </c>
      <c r="G4" s="3" t="inlineStr">
        <is>
          <t xml:space="preserve">Poste 2024</t>
        </is>
      </c>
      <c r="H4" s="3" t="inlineStr">
        <is>
          <t xml:space="preserve">Agrégat 2024</t>
        </is>
      </c>
      <c r="I4" s="3" t="inlineStr">
        <is>
          <t xml:space="preserve">Solde 2025</t>
        </is>
      </c>
      <c r="J4" s="3" t="inlineStr">
        <is>
          <t xml:space="preserve">Poste 2025</t>
        </is>
      </c>
      <c r="K4" s="3" t="inlineStr">
        <is>
          <t xml:space="preserve">Agrégat 2025</t>
        </is>
      </c>
    </row>
    <row r="5">
      <c r="A5" s="4" t="inlineStr">
        <is>
          <t xml:space="preserve">101300</t>
        </is>
      </c>
      <c r="B5" s="0" t="inlineStr">
        <is>
          <t xml:space="preserve">Capital souscrit appele verse</t>
        </is>
      </c>
      <c r="C5" s="0">
        <f>IF(ISNUMBER(MATCH(LEFT($A5,4),Referentiel!$A$5:$A$193,0)),LEFT($A5,4),IF(ISNUMBER(MATCH(LEFT($A5,3),Referentiel!$A$5:$A$193,0)),LEFT($A5,3),IF(ISNUMBER(MATCH(LEFT($A5,2),Referentiel!$A$5:$A$193,0)),LEFT($A5,2),"NON MAPPÉ")))</f>
      </c>
      <c r="D5" s="9"/>
      <c r="E5" s="9"/>
      <c r="F5" s="8">
        <f>ROUND(SUMIFS(FEC_2024!$I:$I,FEC_2024!$E:$E,$A5)-SUMIFS(FEC_2024!$J:$J,FEC_2024!$E:$E,$A5),2)</f>
      </c>
      <c r="G5" s="0">
        <f>IF($D5&lt;&gt;"",$D5,IF($C5="NON MAPPÉ","?",IF(F5&gt;=0,INDEX(Referentiel!$C$5:$C$193,MATCH($C5,Referentiel!$A$5:$A$193,0)),INDEX(Referentiel!$D$5:$D$193,MATCH($C5,Referentiel!$A$5:$A$193,0)))))</f>
      </c>
      <c r="H5" s="0">
        <f>IF($E5&lt;&gt;"",$E5,IF($C5="NON MAPPÉ","?",IF(F5&gt;=0,INDEX(Referentiel!$E$5:$E$193,MATCH($C5,Referentiel!$A$5:$A$193,0)),INDEX(Referentiel!$F$5:$F$193,MATCH($C5,Referentiel!$A$5:$A$193,0)))))</f>
      </c>
      <c r="I5" s="8">
        <f>ROUND(SUMIFS(FEC_2025!$I:$I,FEC_2025!$E:$E,$A5)-SUMIFS(FEC_2025!$J:$J,FEC_2025!$E:$E,$A5),2)</f>
      </c>
      <c r="J5" s="0">
        <f>IF($D5&lt;&gt;"",$D5,IF($C5="NON MAPPÉ","?",IF(I5&gt;=0,INDEX(Referentiel!$C$5:$C$193,MATCH($C5,Referentiel!$A$5:$A$193,0)),INDEX(Referentiel!$D$5:$D$193,MATCH($C5,Referentiel!$A$5:$A$193,0)))))</f>
      </c>
      <c r="K5" s="0">
        <f>IF($E5&lt;&gt;"",$E5,IF($C5="NON MAPPÉ","?",IF(I5&gt;=0,INDEX(Referentiel!$E$5:$E$193,MATCH($C5,Referentiel!$A$5:$A$193,0)),INDEX(Referentiel!$F$5:$F$193,MATCH($C5,Referentiel!$A$5:$A$193,0)))))</f>
      </c>
    </row>
    <row r="6">
      <c r="A6" s="4" t="inlineStr">
        <is>
          <t xml:space="preserve">106100</t>
        </is>
      </c>
      <c r="B6" s="0" t="inlineStr">
        <is>
          <t xml:space="preserve">Reserve legale</t>
        </is>
      </c>
      <c r="C6" s="0">
        <f>IF(ISNUMBER(MATCH(LEFT($A6,4),Referentiel!$A$5:$A$193,0)),LEFT($A6,4),IF(ISNUMBER(MATCH(LEFT($A6,3),Referentiel!$A$5:$A$193,0)),LEFT($A6,3),IF(ISNUMBER(MATCH(LEFT($A6,2),Referentiel!$A$5:$A$193,0)),LEFT($A6,2),"NON MAPPÉ")))</f>
      </c>
      <c r="D6" s="9"/>
      <c r="E6" s="9"/>
      <c r="F6" s="8">
        <f>ROUND(SUMIFS(FEC_2024!$I:$I,FEC_2024!$E:$E,$A6)-SUMIFS(FEC_2024!$J:$J,FEC_2024!$E:$E,$A6),2)</f>
      </c>
      <c r="G6" s="0">
        <f>IF($D6&lt;&gt;"",$D6,IF($C6="NON MAPPÉ","?",IF(F6&gt;=0,INDEX(Referentiel!$C$5:$C$193,MATCH($C6,Referentiel!$A$5:$A$193,0)),INDEX(Referentiel!$D$5:$D$193,MATCH($C6,Referentiel!$A$5:$A$193,0)))))</f>
      </c>
      <c r="H6" s="0">
        <f>IF($E6&lt;&gt;"",$E6,IF($C6="NON MAPPÉ","?",IF(F6&gt;=0,INDEX(Referentiel!$E$5:$E$193,MATCH($C6,Referentiel!$A$5:$A$193,0)),INDEX(Referentiel!$F$5:$F$193,MATCH($C6,Referentiel!$A$5:$A$193,0)))))</f>
      </c>
      <c r="I6" s="8">
        <f>ROUND(SUMIFS(FEC_2025!$I:$I,FEC_2025!$E:$E,$A6)-SUMIFS(FEC_2025!$J:$J,FEC_2025!$E:$E,$A6),2)</f>
      </c>
      <c r="J6" s="0">
        <f>IF($D6&lt;&gt;"",$D6,IF($C6="NON MAPPÉ","?",IF(I6&gt;=0,INDEX(Referentiel!$C$5:$C$193,MATCH($C6,Referentiel!$A$5:$A$193,0)),INDEX(Referentiel!$D$5:$D$193,MATCH($C6,Referentiel!$A$5:$A$193,0)))))</f>
      </c>
      <c r="K6" s="0">
        <f>IF($E6&lt;&gt;"",$E6,IF($C6="NON MAPPÉ","?",IF(I6&gt;=0,INDEX(Referentiel!$E$5:$E$193,MATCH($C6,Referentiel!$A$5:$A$193,0)),INDEX(Referentiel!$F$5:$F$193,MATCH($C6,Referentiel!$A$5:$A$193,0)))))</f>
      </c>
    </row>
    <row r="7">
      <c r="A7" s="4" t="inlineStr">
        <is>
          <t xml:space="preserve">110000</t>
        </is>
      </c>
      <c r="B7" s="0" t="inlineStr">
        <is>
          <t xml:space="preserve">Report a nouveau</t>
        </is>
      </c>
      <c r="C7" s="0">
        <f>IF(ISNUMBER(MATCH(LEFT($A7,4),Referentiel!$A$5:$A$193,0)),LEFT($A7,4),IF(ISNUMBER(MATCH(LEFT($A7,3),Referentiel!$A$5:$A$193,0)),LEFT($A7,3),IF(ISNUMBER(MATCH(LEFT($A7,2),Referentiel!$A$5:$A$193,0)),LEFT($A7,2),"NON MAPPÉ")))</f>
      </c>
      <c r="D7" s="9"/>
      <c r="E7" s="9"/>
      <c r="F7" s="8">
        <f>ROUND(SUMIFS(FEC_2024!$I:$I,FEC_2024!$E:$E,$A7)-SUMIFS(FEC_2024!$J:$J,FEC_2024!$E:$E,$A7),2)</f>
      </c>
      <c r="G7" s="0">
        <f>IF($D7&lt;&gt;"",$D7,IF($C7="NON MAPPÉ","?",IF(F7&gt;=0,INDEX(Referentiel!$C$5:$C$193,MATCH($C7,Referentiel!$A$5:$A$193,0)),INDEX(Referentiel!$D$5:$D$193,MATCH($C7,Referentiel!$A$5:$A$193,0)))))</f>
      </c>
      <c r="H7" s="0">
        <f>IF($E7&lt;&gt;"",$E7,IF($C7="NON MAPPÉ","?",IF(F7&gt;=0,INDEX(Referentiel!$E$5:$E$193,MATCH($C7,Referentiel!$A$5:$A$193,0)),INDEX(Referentiel!$F$5:$F$193,MATCH($C7,Referentiel!$A$5:$A$193,0)))))</f>
      </c>
      <c r="I7" s="8">
        <f>ROUND(SUMIFS(FEC_2025!$I:$I,FEC_2025!$E:$E,$A7)-SUMIFS(FEC_2025!$J:$J,FEC_2025!$E:$E,$A7),2)</f>
      </c>
      <c r="J7" s="0">
        <f>IF($D7&lt;&gt;"",$D7,IF($C7="NON MAPPÉ","?",IF(I7&gt;=0,INDEX(Referentiel!$C$5:$C$193,MATCH($C7,Referentiel!$A$5:$A$193,0)),INDEX(Referentiel!$D$5:$D$193,MATCH($C7,Referentiel!$A$5:$A$193,0)))))</f>
      </c>
      <c r="K7" s="0">
        <f>IF($E7&lt;&gt;"",$E7,IF($C7="NON MAPPÉ","?",IF(I7&gt;=0,INDEX(Referentiel!$E$5:$E$193,MATCH($C7,Referentiel!$A$5:$A$193,0)),INDEX(Referentiel!$F$5:$F$193,MATCH($C7,Referentiel!$A$5:$A$193,0)))))</f>
      </c>
    </row>
    <row r="8">
      <c r="A8" s="4" t="inlineStr">
        <is>
          <t xml:space="preserve">120000</t>
        </is>
      </c>
      <c r="B8" s="0" t="inlineStr">
        <is>
          <t xml:space="preserve">Resultat de l'exercice</t>
        </is>
      </c>
      <c r="C8" s="0">
        <f>IF(ISNUMBER(MATCH(LEFT($A8,4),Referentiel!$A$5:$A$193,0)),LEFT($A8,4),IF(ISNUMBER(MATCH(LEFT($A8,3),Referentiel!$A$5:$A$193,0)),LEFT($A8,3),IF(ISNUMBER(MATCH(LEFT($A8,2),Referentiel!$A$5:$A$193,0)),LEFT($A8,2),"NON MAPPÉ")))</f>
      </c>
      <c r="D8" s="9"/>
      <c r="E8" s="9"/>
      <c r="F8" s="8">
        <f>ROUND(SUMIFS(FEC_2024!$I:$I,FEC_2024!$E:$E,$A8)-SUMIFS(FEC_2024!$J:$J,FEC_2024!$E:$E,$A8),2)</f>
      </c>
      <c r="G8" s="0">
        <f>IF($D8&lt;&gt;"",$D8,IF($C8="NON MAPPÉ","?",IF(F8&gt;=0,INDEX(Referentiel!$C$5:$C$193,MATCH($C8,Referentiel!$A$5:$A$193,0)),INDEX(Referentiel!$D$5:$D$193,MATCH($C8,Referentiel!$A$5:$A$193,0)))))</f>
      </c>
      <c r="H8" s="0">
        <f>IF($E8&lt;&gt;"",$E8,IF($C8="NON MAPPÉ","?",IF(F8&gt;=0,INDEX(Referentiel!$E$5:$E$193,MATCH($C8,Referentiel!$A$5:$A$193,0)),INDEX(Referentiel!$F$5:$F$193,MATCH($C8,Referentiel!$A$5:$A$193,0)))))</f>
      </c>
      <c r="I8" s="8">
        <f>ROUND(SUMIFS(FEC_2025!$I:$I,FEC_2025!$E:$E,$A8)-SUMIFS(FEC_2025!$J:$J,FEC_2025!$E:$E,$A8),2)</f>
      </c>
      <c r="J8" s="0">
        <f>IF($D8&lt;&gt;"",$D8,IF($C8="NON MAPPÉ","?",IF(I8&gt;=0,INDEX(Referentiel!$C$5:$C$193,MATCH($C8,Referentiel!$A$5:$A$193,0)),INDEX(Referentiel!$D$5:$D$193,MATCH($C8,Referentiel!$A$5:$A$193,0)))))</f>
      </c>
      <c r="K8" s="0">
        <f>IF($E8&lt;&gt;"",$E8,IF($C8="NON MAPPÉ","?",IF(I8&gt;=0,INDEX(Referentiel!$E$5:$E$193,MATCH($C8,Referentiel!$A$5:$A$193,0)),INDEX(Referentiel!$F$5:$F$193,MATCH($C8,Referentiel!$A$5:$A$193,0)))))</f>
      </c>
    </row>
    <row r="9">
      <c r="A9" s="4" t="inlineStr">
        <is>
          <t xml:space="preserve">164000</t>
        </is>
      </c>
      <c r="B9" s="0" t="inlineStr">
        <is>
          <t xml:space="preserve">Emprunts aupres des etablissements de credit</t>
        </is>
      </c>
      <c r="C9" s="0">
        <f>IF(ISNUMBER(MATCH(LEFT($A9,4),Referentiel!$A$5:$A$193,0)),LEFT($A9,4),IF(ISNUMBER(MATCH(LEFT($A9,3),Referentiel!$A$5:$A$193,0)),LEFT($A9,3),IF(ISNUMBER(MATCH(LEFT($A9,2),Referentiel!$A$5:$A$193,0)),LEFT($A9,2),"NON MAPPÉ")))</f>
      </c>
      <c r="D9" s="9"/>
      <c r="E9" s="9"/>
      <c r="F9" s="8">
        <f>ROUND(SUMIFS(FEC_2024!$I:$I,FEC_2024!$E:$E,$A9)-SUMIFS(FEC_2024!$J:$J,FEC_2024!$E:$E,$A9),2)</f>
      </c>
      <c r="G9" s="0">
        <f>IF($D9&lt;&gt;"",$D9,IF($C9="NON MAPPÉ","?",IF(F9&gt;=0,INDEX(Referentiel!$C$5:$C$193,MATCH($C9,Referentiel!$A$5:$A$193,0)),INDEX(Referentiel!$D$5:$D$193,MATCH($C9,Referentiel!$A$5:$A$193,0)))))</f>
      </c>
      <c r="H9" s="0">
        <f>IF($E9&lt;&gt;"",$E9,IF($C9="NON MAPPÉ","?",IF(F9&gt;=0,INDEX(Referentiel!$E$5:$E$193,MATCH($C9,Referentiel!$A$5:$A$193,0)),INDEX(Referentiel!$F$5:$F$193,MATCH($C9,Referentiel!$A$5:$A$193,0)))))</f>
      </c>
      <c r="I9" s="8">
        <f>ROUND(SUMIFS(FEC_2025!$I:$I,FEC_2025!$E:$E,$A9)-SUMIFS(FEC_2025!$J:$J,FEC_2025!$E:$E,$A9),2)</f>
      </c>
      <c r="J9" s="0">
        <f>IF($D9&lt;&gt;"",$D9,IF($C9="NON MAPPÉ","?",IF(I9&gt;=0,INDEX(Referentiel!$C$5:$C$193,MATCH($C9,Referentiel!$A$5:$A$193,0)),INDEX(Referentiel!$D$5:$D$193,MATCH($C9,Referentiel!$A$5:$A$193,0)))))</f>
      </c>
      <c r="K9" s="0">
        <f>IF($E9&lt;&gt;"",$E9,IF($C9="NON MAPPÉ","?",IF(I9&gt;=0,INDEX(Referentiel!$E$5:$E$193,MATCH($C9,Referentiel!$A$5:$A$193,0)),INDEX(Referentiel!$F$5:$F$193,MATCH($C9,Referentiel!$A$5:$A$193,0)))))</f>
      </c>
    </row>
    <row r="10">
      <c r="A10" s="4" t="inlineStr">
        <is>
          <t xml:space="preserve">215400</t>
        </is>
      </c>
      <c r="B10" s="0" t="inlineStr">
        <is>
          <t xml:space="preserve">Materiel industriel</t>
        </is>
      </c>
      <c r="C10" s="0">
        <f>IF(ISNUMBER(MATCH(LEFT($A10,4),Referentiel!$A$5:$A$193,0)),LEFT($A10,4),IF(ISNUMBER(MATCH(LEFT($A10,3),Referentiel!$A$5:$A$193,0)),LEFT($A10,3),IF(ISNUMBER(MATCH(LEFT($A10,2),Referentiel!$A$5:$A$193,0)),LEFT($A10,2),"NON MAPPÉ")))</f>
      </c>
      <c r="D10" s="9"/>
      <c r="E10" s="9"/>
      <c r="F10" s="8">
        <f>ROUND(SUMIFS(FEC_2024!$I:$I,FEC_2024!$E:$E,$A10)-SUMIFS(FEC_2024!$J:$J,FEC_2024!$E:$E,$A10),2)</f>
      </c>
      <c r="G10" s="0">
        <f>IF($D10&lt;&gt;"",$D10,IF($C10="NON MAPPÉ","?",IF(F10&gt;=0,INDEX(Referentiel!$C$5:$C$193,MATCH($C10,Referentiel!$A$5:$A$193,0)),INDEX(Referentiel!$D$5:$D$193,MATCH($C10,Referentiel!$A$5:$A$193,0)))))</f>
      </c>
      <c r="H10" s="0">
        <f>IF($E10&lt;&gt;"",$E10,IF($C10="NON MAPPÉ","?",IF(F10&gt;=0,INDEX(Referentiel!$E$5:$E$193,MATCH($C10,Referentiel!$A$5:$A$193,0)),INDEX(Referentiel!$F$5:$F$193,MATCH($C10,Referentiel!$A$5:$A$193,0)))))</f>
      </c>
      <c r="I10" s="8">
        <f>ROUND(SUMIFS(FEC_2025!$I:$I,FEC_2025!$E:$E,$A10)-SUMIFS(FEC_2025!$J:$J,FEC_2025!$E:$E,$A10),2)</f>
      </c>
      <c r="J10" s="0">
        <f>IF($D10&lt;&gt;"",$D10,IF($C10="NON MAPPÉ","?",IF(I10&gt;=0,INDEX(Referentiel!$C$5:$C$193,MATCH($C10,Referentiel!$A$5:$A$193,0)),INDEX(Referentiel!$D$5:$D$193,MATCH($C10,Referentiel!$A$5:$A$193,0)))))</f>
      </c>
      <c r="K10" s="0">
        <f>IF($E10&lt;&gt;"",$E10,IF($C10="NON MAPPÉ","?",IF(I10&gt;=0,INDEX(Referentiel!$E$5:$E$193,MATCH($C10,Referentiel!$A$5:$A$193,0)),INDEX(Referentiel!$F$5:$F$193,MATCH($C10,Referentiel!$A$5:$A$193,0)))))</f>
      </c>
    </row>
    <row r="11">
      <c r="A11" s="4" t="inlineStr">
        <is>
          <t xml:space="preserve">218300</t>
        </is>
      </c>
      <c r="B11" s="0" t="inlineStr">
        <is>
          <t xml:space="preserve">Materiel de bureau et informatique</t>
        </is>
      </c>
      <c r="C11" s="0">
        <f>IF(ISNUMBER(MATCH(LEFT($A11,4),Referentiel!$A$5:$A$193,0)),LEFT($A11,4),IF(ISNUMBER(MATCH(LEFT($A11,3),Referentiel!$A$5:$A$193,0)),LEFT($A11,3),IF(ISNUMBER(MATCH(LEFT($A11,2),Referentiel!$A$5:$A$193,0)),LEFT($A11,2),"NON MAPPÉ")))</f>
      </c>
      <c r="D11" s="9"/>
      <c r="E11" s="9"/>
      <c r="F11" s="8">
        <f>ROUND(SUMIFS(FEC_2024!$I:$I,FEC_2024!$E:$E,$A11)-SUMIFS(FEC_2024!$J:$J,FEC_2024!$E:$E,$A11),2)</f>
      </c>
      <c r="G11" s="0">
        <f>IF($D11&lt;&gt;"",$D11,IF($C11="NON MAPPÉ","?",IF(F11&gt;=0,INDEX(Referentiel!$C$5:$C$193,MATCH($C11,Referentiel!$A$5:$A$193,0)),INDEX(Referentiel!$D$5:$D$193,MATCH($C11,Referentiel!$A$5:$A$193,0)))))</f>
      </c>
      <c r="H11" s="0">
        <f>IF($E11&lt;&gt;"",$E11,IF($C11="NON MAPPÉ","?",IF(F11&gt;=0,INDEX(Referentiel!$E$5:$E$193,MATCH($C11,Referentiel!$A$5:$A$193,0)),INDEX(Referentiel!$F$5:$F$193,MATCH($C11,Referentiel!$A$5:$A$193,0)))))</f>
      </c>
      <c r="I11" s="8">
        <f>ROUND(SUMIFS(FEC_2025!$I:$I,FEC_2025!$E:$E,$A11)-SUMIFS(FEC_2025!$J:$J,FEC_2025!$E:$E,$A11),2)</f>
      </c>
      <c r="J11" s="0">
        <f>IF($D11&lt;&gt;"",$D11,IF($C11="NON MAPPÉ","?",IF(I11&gt;=0,INDEX(Referentiel!$C$5:$C$193,MATCH($C11,Referentiel!$A$5:$A$193,0)),INDEX(Referentiel!$D$5:$D$193,MATCH($C11,Referentiel!$A$5:$A$193,0)))))</f>
      </c>
      <c r="K11" s="0">
        <f>IF($E11&lt;&gt;"",$E11,IF($C11="NON MAPPÉ","?",IF(I11&gt;=0,INDEX(Referentiel!$E$5:$E$193,MATCH($C11,Referentiel!$A$5:$A$193,0)),INDEX(Referentiel!$F$5:$F$193,MATCH($C11,Referentiel!$A$5:$A$193,0)))))</f>
      </c>
    </row>
    <row r="12">
      <c r="A12" s="4" t="inlineStr">
        <is>
          <t xml:space="preserve">281540</t>
        </is>
      </c>
      <c r="B12" s="0" t="inlineStr">
        <is>
          <t xml:space="preserve">Amortissements materiel industriel</t>
        </is>
      </c>
      <c r="C12" s="0">
        <f>IF(ISNUMBER(MATCH(LEFT($A12,4),Referentiel!$A$5:$A$193,0)),LEFT($A12,4),IF(ISNUMBER(MATCH(LEFT($A12,3),Referentiel!$A$5:$A$193,0)),LEFT($A12,3),IF(ISNUMBER(MATCH(LEFT($A12,2),Referentiel!$A$5:$A$193,0)),LEFT($A12,2),"NON MAPPÉ")))</f>
      </c>
      <c r="D12" s="9"/>
      <c r="E12" s="9"/>
      <c r="F12" s="8">
        <f>ROUND(SUMIFS(FEC_2024!$I:$I,FEC_2024!$E:$E,$A12)-SUMIFS(FEC_2024!$J:$J,FEC_2024!$E:$E,$A12),2)</f>
      </c>
      <c r="G12" s="0">
        <f>IF($D12&lt;&gt;"",$D12,IF($C12="NON MAPPÉ","?",IF(F12&gt;=0,INDEX(Referentiel!$C$5:$C$193,MATCH($C12,Referentiel!$A$5:$A$193,0)),INDEX(Referentiel!$D$5:$D$193,MATCH($C12,Referentiel!$A$5:$A$193,0)))))</f>
      </c>
      <c r="H12" s="0">
        <f>IF($E12&lt;&gt;"",$E12,IF($C12="NON MAPPÉ","?",IF(F12&gt;=0,INDEX(Referentiel!$E$5:$E$193,MATCH($C12,Referentiel!$A$5:$A$193,0)),INDEX(Referentiel!$F$5:$F$193,MATCH($C12,Referentiel!$A$5:$A$193,0)))))</f>
      </c>
      <c r="I12" s="8">
        <f>ROUND(SUMIFS(FEC_2025!$I:$I,FEC_2025!$E:$E,$A12)-SUMIFS(FEC_2025!$J:$J,FEC_2025!$E:$E,$A12),2)</f>
      </c>
      <c r="J12" s="0">
        <f>IF($D12&lt;&gt;"",$D12,IF($C12="NON MAPPÉ","?",IF(I12&gt;=0,INDEX(Referentiel!$C$5:$C$193,MATCH($C12,Referentiel!$A$5:$A$193,0)),INDEX(Referentiel!$D$5:$D$193,MATCH($C12,Referentiel!$A$5:$A$193,0)))))</f>
      </c>
      <c r="K12" s="0">
        <f>IF($E12&lt;&gt;"",$E12,IF($C12="NON MAPPÉ","?",IF(I12&gt;=0,INDEX(Referentiel!$E$5:$E$193,MATCH($C12,Referentiel!$A$5:$A$193,0)),INDEX(Referentiel!$F$5:$F$193,MATCH($C12,Referentiel!$A$5:$A$193,0)))))</f>
      </c>
    </row>
    <row r="13">
      <c r="A13" s="4" t="inlineStr">
        <is>
          <t xml:space="preserve">281830</t>
        </is>
      </c>
      <c r="B13" s="0" t="inlineStr">
        <is>
          <t xml:space="preserve">Amortissements materiel de bureau</t>
        </is>
      </c>
      <c r="C13" s="0">
        <f>IF(ISNUMBER(MATCH(LEFT($A13,4),Referentiel!$A$5:$A$193,0)),LEFT($A13,4),IF(ISNUMBER(MATCH(LEFT($A13,3),Referentiel!$A$5:$A$193,0)),LEFT($A13,3),IF(ISNUMBER(MATCH(LEFT($A13,2),Referentiel!$A$5:$A$193,0)),LEFT($A13,2),"NON MAPPÉ")))</f>
      </c>
      <c r="D13" s="9"/>
      <c r="E13" s="9"/>
      <c r="F13" s="8">
        <f>ROUND(SUMIFS(FEC_2024!$I:$I,FEC_2024!$E:$E,$A13)-SUMIFS(FEC_2024!$J:$J,FEC_2024!$E:$E,$A13),2)</f>
      </c>
      <c r="G13" s="0">
        <f>IF($D13&lt;&gt;"",$D13,IF($C13="NON MAPPÉ","?",IF(F13&gt;=0,INDEX(Referentiel!$C$5:$C$193,MATCH($C13,Referentiel!$A$5:$A$193,0)),INDEX(Referentiel!$D$5:$D$193,MATCH($C13,Referentiel!$A$5:$A$193,0)))))</f>
      </c>
      <c r="H13" s="0">
        <f>IF($E13&lt;&gt;"",$E13,IF($C13="NON MAPPÉ","?",IF(F13&gt;=0,INDEX(Referentiel!$E$5:$E$193,MATCH($C13,Referentiel!$A$5:$A$193,0)),INDEX(Referentiel!$F$5:$F$193,MATCH($C13,Referentiel!$A$5:$A$193,0)))))</f>
      </c>
      <c r="I13" s="8">
        <f>ROUND(SUMIFS(FEC_2025!$I:$I,FEC_2025!$E:$E,$A13)-SUMIFS(FEC_2025!$J:$J,FEC_2025!$E:$E,$A13),2)</f>
      </c>
      <c r="J13" s="0">
        <f>IF($D13&lt;&gt;"",$D13,IF($C13="NON MAPPÉ","?",IF(I13&gt;=0,INDEX(Referentiel!$C$5:$C$193,MATCH($C13,Referentiel!$A$5:$A$193,0)),INDEX(Referentiel!$D$5:$D$193,MATCH($C13,Referentiel!$A$5:$A$193,0)))))</f>
      </c>
      <c r="K13" s="0">
        <f>IF($E13&lt;&gt;"",$E13,IF($C13="NON MAPPÉ","?",IF(I13&gt;=0,INDEX(Referentiel!$E$5:$E$193,MATCH($C13,Referentiel!$A$5:$A$193,0)),INDEX(Referentiel!$F$5:$F$193,MATCH($C13,Referentiel!$A$5:$A$193,0)))))</f>
      </c>
    </row>
    <row r="14">
      <c r="A14" s="4" t="inlineStr">
        <is>
          <t xml:space="preserve">310000</t>
        </is>
      </c>
      <c r="B14" s="0" t="inlineStr">
        <is>
          <t xml:space="preserve">Stocks de matieres premieres</t>
        </is>
      </c>
      <c r="C14" s="0">
        <f>IF(ISNUMBER(MATCH(LEFT($A14,4),Referentiel!$A$5:$A$193,0)),LEFT($A14,4),IF(ISNUMBER(MATCH(LEFT($A14,3),Referentiel!$A$5:$A$193,0)),LEFT($A14,3),IF(ISNUMBER(MATCH(LEFT($A14,2),Referentiel!$A$5:$A$193,0)),LEFT($A14,2),"NON MAPPÉ")))</f>
      </c>
      <c r="D14" s="9"/>
      <c r="E14" s="9"/>
      <c r="F14" s="8">
        <f>ROUND(SUMIFS(FEC_2024!$I:$I,FEC_2024!$E:$E,$A14)-SUMIFS(FEC_2024!$J:$J,FEC_2024!$E:$E,$A14),2)</f>
      </c>
      <c r="G14" s="0">
        <f>IF($D14&lt;&gt;"",$D14,IF($C14="NON MAPPÉ","?",IF(F14&gt;=0,INDEX(Referentiel!$C$5:$C$193,MATCH($C14,Referentiel!$A$5:$A$193,0)),INDEX(Referentiel!$D$5:$D$193,MATCH($C14,Referentiel!$A$5:$A$193,0)))))</f>
      </c>
      <c r="H14" s="0">
        <f>IF($E14&lt;&gt;"",$E14,IF($C14="NON MAPPÉ","?",IF(F14&gt;=0,INDEX(Referentiel!$E$5:$E$193,MATCH($C14,Referentiel!$A$5:$A$193,0)),INDEX(Referentiel!$F$5:$F$193,MATCH($C14,Referentiel!$A$5:$A$193,0)))))</f>
      </c>
      <c r="I14" s="8">
        <f>ROUND(SUMIFS(FEC_2025!$I:$I,FEC_2025!$E:$E,$A14)-SUMIFS(FEC_2025!$J:$J,FEC_2025!$E:$E,$A14),2)</f>
      </c>
      <c r="J14" s="0">
        <f>IF($D14&lt;&gt;"",$D14,IF($C14="NON MAPPÉ","?",IF(I14&gt;=0,INDEX(Referentiel!$C$5:$C$193,MATCH($C14,Referentiel!$A$5:$A$193,0)),INDEX(Referentiel!$D$5:$D$193,MATCH($C14,Referentiel!$A$5:$A$193,0)))))</f>
      </c>
      <c r="K14" s="0">
        <f>IF($E14&lt;&gt;"",$E14,IF($C14="NON MAPPÉ","?",IF(I14&gt;=0,INDEX(Referentiel!$E$5:$E$193,MATCH($C14,Referentiel!$A$5:$A$193,0)),INDEX(Referentiel!$F$5:$F$193,MATCH($C14,Referentiel!$A$5:$A$193,0)))))</f>
      </c>
    </row>
    <row r="15">
      <c r="A15" s="4" t="inlineStr">
        <is>
          <t xml:space="preserve">401000</t>
        </is>
      </c>
      <c r="B15" s="0" t="inlineStr">
        <is>
          <t xml:space="preserve">Fournisseurs — tiers débiteurs</t>
        </is>
      </c>
      <c r="C15" s="0">
        <f>IF(ISNUMBER(MATCH(LEFT($A15,4),Referentiel!$A$5:$A$193,0)),LEFT($A15,4),IF(ISNUMBER(MATCH(LEFT($A15,3),Referentiel!$A$5:$A$193,0)),LEFT($A15,3),IF(ISNUMBER(MATCH(LEFT($A15,2),Referentiel!$A$5:$A$193,0)),LEFT($A15,2),"NON MAPPÉ")))</f>
      </c>
      <c r="D15" s="9"/>
      <c r="E15" s="9"/>
      <c r="F15" s="8">
        <f>ROUND(SUMIFS(Soldes_tiers!$E$5:$E$20,Soldes_tiers!$B$5:$B$20,$A15,Soldes_tiers!$E$5:$E$20,"&gt;0"),2)</f>
      </c>
      <c r="G15" s="0">
        <f>IF($D15&lt;&gt;"",$D15,IF($C15="NON MAPPÉ","?",IF(F15&gt;=0,INDEX(Referentiel!$C$5:$C$193,MATCH($C15,Referentiel!$A$5:$A$193,0)),INDEX(Referentiel!$D$5:$D$193,MATCH($C15,Referentiel!$A$5:$A$193,0)))))</f>
      </c>
      <c r="H15" s="0">
        <f>IF($E15&lt;&gt;"",$E15,IF($C15="NON MAPPÉ","?",IF(F15&gt;=0,INDEX(Referentiel!$E$5:$E$193,MATCH($C15,Referentiel!$A$5:$A$193,0)),INDEX(Referentiel!$F$5:$F$193,MATCH($C15,Referentiel!$A$5:$A$193,0)))))</f>
      </c>
      <c r="I15" s="8">
        <f>ROUND(SUMIFS(Soldes_tiers!$F$5:$F$20,Soldes_tiers!$B$5:$B$20,$A15,Soldes_tiers!$F$5:$F$20,"&gt;0"),2)</f>
      </c>
      <c r="J15" s="0">
        <f>IF($D15&lt;&gt;"",$D15,IF($C15="NON MAPPÉ","?",IF(I15&gt;=0,INDEX(Referentiel!$C$5:$C$193,MATCH($C15,Referentiel!$A$5:$A$193,0)),INDEX(Referentiel!$D$5:$D$193,MATCH($C15,Referentiel!$A$5:$A$193,0)))))</f>
      </c>
      <c r="K15" s="0">
        <f>IF($E15&lt;&gt;"",$E15,IF($C15="NON MAPPÉ","?",IF(I15&gt;=0,INDEX(Referentiel!$E$5:$E$193,MATCH($C15,Referentiel!$A$5:$A$193,0)),INDEX(Referentiel!$F$5:$F$193,MATCH($C15,Referentiel!$A$5:$A$193,0)))))</f>
      </c>
    </row>
    <row r="16">
      <c r="A16" s="4" t="inlineStr">
        <is>
          <t xml:space="preserve">401000</t>
        </is>
      </c>
      <c r="B16" s="0" t="inlineStr">
        <is>
          <t xml:space="preserve">Fournisseurs — tiers créditeurs et non ventilé</t>
        </is>
      </c>
      <c r="C16" s="0">
        <f>IF(ISNUMBER(MATCH(LEFT($A16,4),Referentiel!$A$5:$A$193,0)),LEFT($A16,4),IF(ISNUMBER(MATCH(LEFT($A16,3),Referentiel!$A$5:$A$193,0)),LEFT($A16,3),IF(ISNUMBER(MATCH(LEFT($A16,2),Referentiel!$A$5:$A$193,0)),LEFT($A16,2),"NON MAPPÉ")))</f>
      </c>
      <c r="D16" s="9"/>
      <c r="E16" s="9"/>
      <c r="F16" s="8">
        <f>ROUND(SUMIFS(FEC_2024!$I:$I,FEC_2024!$E:$E,$A16)-SUMIFS(FEC_2024!$J:$J,FEC_2024!$E:$E,$A16),2)-F15</f>
      </c>
      <c r="G16" s="0">
        <f>IF($D16&lt;&gt;"",$D16,IF($C16="NON MAPPÉ","?",IF(F16&gt;=0,INDEX(Referentiel!$C$5:$C$193,MATCH($C16,Referentiel!$A$5:$A$193,0)),INDEX(Referentiel!$D$5:$D$193,MATCH($C16,Referentiel!$A$5:$A$193,0)))))</f>
      </c>
      <c r="H16" s="0">
        <f>IF($E16&lt;&gt;"",$E16,IF($C16="NON MAPPÉ","?",IF(F16&gt;=0,INDEX(Referentiel!$E$5:$E$193,MATCH($C16,Referentiel!$A$5:$A$193,0)),INDEX(Referentiel!$F$5:$F$193,MATCH($C16,Referentiel!$A$5:$A$193,0)))))</f>
      </c>
      <c r="I16" s="8">
        <f>ROUND(SUMIFS(FEC_2025!$I:$I,FEC_2025!$E:$E,$A16)-SUMIFS(FEC_2025!$J:$J,FEC_2025!$E:$E,$A16),2)-I15</f>
      </c>
      <c r="J16" s="0">
        <f>IF($D16&lt;&gt;"",$D16,IF($C16="NON MAPPÉ","?",IF(I16&gt;=0,INDEX(Referentiel!$C$5:$C$193,MATCH($C16,Referentiel!$A$5:$A$193,0)),INDEX(Referentiel!$D$5:$D$193,MATCH($C16,Referentiel!$A$5:$A$193,0)))))</f>
      </c>
      <c r="K16" s="0">
        <f>IF($E16&lt;&gt;"",$E16,IF($C16="NON MAPPÉ","?",IF(I16&gt;=0,INDEX(Referentiel!$E$5:$E$193,MATCH($C16,Referentiel!$A$5:$A$193,0)),INDEX(Referentiel!$F$5:$F$193,MATCH($C16,Referentiel!$A$5:$A$193,0)))))</f>
      </c>
    </row>
    <row r="17">
      <c r="A17" s="4" t="inlineStr">
        <is>
          <t xml:space="preserve">411000</t>
        </is>
      </c>
      <c r="B17" s="0" t="inlineStr">
        <is>
          <t xml:space="preserve">Clients — tiers débiteurs</t>
        </is>
      </c>
      <c r="C17" s="0">
        <f>IF(ISNUMBER(MATCH(LEFT($A17,4),Referentiel!$A$5:$A$193,0)),LEFT($A17,4),IF(ISNUMBER(MATCH(LEFT($A17,3),Referentiel!$A$5:$A$193,0)),LEFT($A17,3),IF(ISNUMBER(MATCH(LEFT($A17,2),Referentiel!$A$5:$A$193,0)),LEFT($A17,2),"NON MAPPÉ")))</f>
      </c>
      <c r="D17" s="9"/>
      <c r="E17" s="9"/>
      <c r="F17" s="8">
        <f>ROUND(SUMIFS(Soldes_tiers!$E$5:$E$20,Soldes_tiers!$B$5:$B$20,$A17,Soldes_tiers!$E$5:$E$20,"&gt;0"),2)</f>
      </c>
      <c r="G17" s="0">
        <f>IF($D17&lt;&gt;"",$D17,IF($C17="NON MAPPÉ","?",IF(F17&gt;=0,INDEX(Referentiel!$C$5:$C$193,MATCH($C17,Referentiel!$A$5:$A$193,0)),INDEX(Referentiel!$D$5:$D$193,MATCH($C17,Referentiel!$A$5:$A$193,0)))))</f>
      </c>
      <c r="H17" s="0">
        <f>IF($E17&lt;&gt;"",$E17,IF($C17="NON MAPPÉ","?",IF(F17&gt;=0,INDEX(Referentiel!$E$5:$E$193,MATCH($C17,Referentiel!$A$5:$A$193,0)),INDEX(Referentiel!$F$5:$F$193,MATCH($C17,Referentiel!$A$5:$A$193,0)))))</f>
      </c>
      <c r="I17" s="8">
        <f>ROUND(SUMIFS(Soldes_tiers!$F$5:$F$20,Soldes_tiers!$B$5:$B$20,$A17,Soldes_tiers!$F$5:$F$20,"&gt;0"),2)</f>
      </c>
      <c r="J17" s="0">
        <f>IF($D17&lt;&gt;"",$D17,IF($C17="NON MAPPÉ","?",IF(I17&gt;=0,INDEX(Referentiel!$C$5:$C$193,MATCH($C17,Referentiel!$A$5:$A$193,0)),INDEX(Referentiel!$D$5:$D$193,MATCH($C17,Referentiel!$A$5:$A$193,0)))))</f>
      </c>
      <c r="K17" s="0">
        <f>IF($E17&lt;&gt;"",$E17,IF($C17="NON MAPPÉ","?",IF(I17&gt;=0,INDEX(Referentiel!$E$5:$E$193,MATCH($C17,Referentiel!$A$5:$A$193,0)),INDEX(Referentiel!$F$5:$F$193,MATCH($C17,Referentiel!$A$5:$A$193,0)))))</f>
      </c>
    </row>
    <row r="18">
      <c r="A18" s="4" t="inlineStr">
        <is>
          <t xml:space="preserve">411000</t>
        </is>
      </c>
      <c r="B18" s="0" t="inlineStr">
        <is>
          <t xml:space="preserve">Clients — tiers créditeurs et non ventilé</t>
        </is>
      </c>
      <c r="C18" s="0">
        <f>IF(ISNUMBER(MATCH(LEFT($A18,4),Referentiel!$A$5:$A$193,0)),LEFT($A18,4),IF(ISNUMBER(MATCH(LEFT($A18,3),Referentiel!$A$5:$A$193,0)),LEFT($A18,3),IF(ISNUMBER(MATCH(LEFT($A18,2),Referentiel!$A$5:$A$193,0)),LEFT($A18,2),"NON MAPPÉ")))</f>
      </c>
      <c r="D18" s="9"/>
      <c r="E18" s="9"/>
      <c r="F18" s="8">
        <f>ROUND(SUMIFS(FEC_2024!$I:$I,FEC_2024!$E:$E,$A18)-SUMIFS(FEC_2024!$J:$J,FEC_2024!$E:$E,$A18),2)-F17</f>
      </c>
      <c r="G18" s="0">
        <f>IF($D18&lt;&gt;"",$D18,IF($C18="NON MAPPÉ","?",IF(F18&gt;=0,INDEX(Referentiel!$C$5:$C$193,MATCH($C18,Referentiel!$A$5:$A$193,0)),INDEX(Referentiel!$D$5:$D$193,MATCH($C18,Referentiel!$A$5:$A$193,0)))))</f>
      </c>
      <c r="H18" s="0">
        <f>IF($E18&lt;&gt;"",$E18,IF($C18="NON MAPPÉ","?",IF(F18&gt;=0,INDEX(Referentiel!$E$5:$E$193,MATCH($C18,Referentiel!$A$5:$A$193,0)),INDEX(Referentiel!$F$5:$F$193,MATCH($C18,Referentiel!$A$5:$A$193,0)))))</f>
      </c>
      <c r="I18" s="8">
        <f>ROUND(SUMIFS(FEC_2025!$I:$I,FEC_2025!$E:$E,$A18)-SUMIFS(FEC_2025!$J:$J,FEC_2025!$E:$E,$A18),2)-I17</f>
      </c>
      <c r="J18" s="0">
        <f>IF($D18&lt;&gt;"",$D18,IF($C18="NON MAPPÉ","?",IF(I18&gt;=0,INDEX(Referentiel!$C$5:$C$193,MATCH($C18,Referentiel!$A$5:$A$193,0)),INDEX(Referentiel!$D$5:$D$193,MATCH($C18,Referentiel!$A$5:$A$193,0)))))</f>
      </c>
      <c r="K18" s="0">
        <f>IF($E18&lt;&gt;"",$E18,IF($C18="NON MAPPÉ","?",IF(I18&gt;=0,INDEX(Referentiel!$E$5:$E$193,MATCH($C18,Referentiel!$A$5:$A$193,0)),INDEX(Referentiel!$F$5:$F$193,MATCH($C18,Referentiel!$A$5:$A$193,0)))))</f>
      </c>
    </row>
    <row r="19">
      <c r="A19" s="4" t="inlineStr">
        <is>
          <t xml:space="preserve">421000</t>
        </is>
      </c>
      <c r="B19" s="0" t="inlineStr">
        <is>
          <t xml:space="preserve">Personnel remunerations dues</t>
        </is>
      </c>
      <c r="C19" s="0">
        <f>IF(ISNUMBER(MATCH(LEFT($A19,4),Referentiel!$A$5:$A$193,0)),LEFT($A19,4),IF(ISNUMBER(MATCH(LEFT($A19,3),Referentiel!$A$5:$A$193,0)),LEFT($A19,3),IF(ISNUMBER(MATCH(LEFT($A19,2),Referentiel!$A$5:$A$193,0)),LEFT($A19,2),"NON MAPPÉ")))</f>
      </c>
      <c r="D19" s="9"/>
      <c r="E19" s="9"/>
      <c r="F19" s="8">
        <f>ROUND(SUMIFS(FEC_2024!$I:$I,FEC_2024!$E:$E,$A19)-SUMIFS(FEC_2024!$J:$J,FEC_2024!$E:$E,$A19),2)</f>
      </c>
      <c r="G19" s="0">
        <f>IF($D19&lt;&gt;"",$D19,IF($C19="NON MAPPÉ","?",IF(F19&gt;=0,INDEX(Referentiel!$C$5:$C$193,MATCH($C19,Referentiel!$A$5:$A$193,0)),INDEX(Referentiel!$D$5:$D$193,MATCH($C19,Referentiel!$A$5:$A$193,0)))))</f>
      </c>
      <c r="H19" s="0">
        <f>IF($E19&lt;&gt;"",$E19,IF($C19="NON MAPPÉ","?",IF(F19&gt;=0,INDEX(Referentiel!$E$5:$E$193,MATCH($C19,Referentiel!$A$5:$A$193,0)),INDEX(Referentiel!$F$5:$F$193,MATCH($C19,Referentiel!$A$5:$A$193,0)))))</f>
      </c>
      <c r="I19" s="8">
        <f>ROUND(SUMIFS(FEC_2025!$I:$I,FEC_2025!$E:$E,$A19)-SUMIFS(FEC_2025!$J:$J,FEC_2025!$E:$E,$A19),2)</f>
      </c>
      <c r="J19" s="0">
        <f>IF($D19&lt;&gt;"",$D19,IF($C19="NON MAPPÉ","?",IF(I19&gt;=0,INDEX(Referentiel!$C$5:$C$193,MATCH($C19,Referentiel!$A$5:$A$193,0)),INDEX(Referentiel!$D$5:$D$193,MATCH($C19,Referentiel!$A$5:$A$193,0)))))</f>
      </c>
      <c r="K19" s="0">
        <f>IF($E19&lt;&gt;"",$E19,IF($C19="NON MAPPÉ","?",IF(I19&gt;=0,INDEX(Referentiel!$E$5:$E$193,MATCH($C19,Referentiel!$A$5:$A$193,0)),INDEX(Referentiel!$F$5:$F$193,MATCH($C19,Referentiel!$A$5:$A$193,0)))))</f>
      </c>
    </row>
    <row r="20">
      <c r="A20" s="4" t="inlineStr">
        <is>
          <t xml:space="preserve">431000</t>
        </is>
      </c>
      <c r="B20" s="0" t="inlineStr">
        <is>
          <t xml:space="preserve">Securite sociale</t>
        </is>
      </c>
      <c r="C20" s="0">
        <f>IF(ISNUMBER(MATCH(LEFT($A20,4),Referentiel!$A$5:$A$193,0)),LEFT($A20,4),IF(ISNUMBER(MATCH(LEFT($A20,3),Referentiel!$A$5:$A$193,0)),LEFT($A20,3),IF(ISNUMBER(MATCH(LEFT($A20,2),Referentiel!$A$5:$A$193,0)),LEFT($A20,2),"NON MAPPÉ")))</f>
      </c>
      <c r="D20" s="9"/>
      <c r="E20" s="9"/>
      <c r="F20" s="8">
        <f>ROUND(SUMIFS(FEC_2024!$I:$I,FEC_2024!$E:$E,$A20)-SUMIFS(FEC_2024!$J:$J,FEC_2024!$E:$E,$A20),2)</f>
      </c>
      <c r="G20" s="0">
        <f>IF($D20&lt;&gt;"",$D20,IF($C20="NON MAPPÉ","?",IF(F20&gt;=0,INDEX(Referentiel!$C$5:$C$193,MATCH($C20,Referentiel!$A$5:$A$193,0)),INDEX(Referentiel!$D$5:$D$193,MATCH($C20,Referentiel!$A$5:$A$193,0)))))</f>
      </c>
      <c r="H20" s="0">
        <f>IF($E20&lt;&gt;"",$E20,IF($C20="NON MAPPÉ","?",IF(F20&gt;=0,INDEX(Referentiel!$E$5:$E$193,MATCH($C20,Referentiel!$A$5:$A$193,0)),INDEX(Referentiel!$F$5:$F$193,MATCH($C20,Referentiel!$A$5:$A$193,0)))))</f>
      </c>
      <c r="I20" s="8">
        <f>ROUND(SUMIFS(FEC_2025!$I:$I,FEC_2025!$E:$E,$A20)-SUMIFS(FEC_2025!$J:$J,FEC_2025!$E:$E,$A20),2)</f>
      </c>
      <c r="J20" s="0">
        <f>IF($D20&lt;&gt;"",$D20,IF($C20="NON MAPPÉ","?",IF(I20&gt;=0,INDEX(Referentiel!$C$5:$C$193,MATCH($C20,Referentiel!$A$5:$A$193,0)),INDEX(Referentiel!$D$5:$D$193,MATCH($C20,Referentiel!$A$5:$A$193,0)))))</f>
      </c>
      <c r="K20" s="0">
        <f>IF($E20&lt;&gt;"",$E20,IF($C20="NON MAPPÉ","?",IF(I20&gt;=0,INDEX(Referentiel!$E$5:$E$193,MATCH($C20,Referentiel!$A$5:$A$193,0)),INDEX(Referentiel!$F$5:$F$193,MATCH($C20,Referentiel!$A$5:$A$193,0)))))</f>
      </c>
    </row>
    <row r="21">
      <c r="A21" s="4" t="inlineStr">
        <is>
          <t xml:space="preserve">444000</t>
        </is>
      </c>
      <c r="B21" s="0" t="inlineStr">
        <is>
          <t xml:space="preserve">Etat impot sur les benefices</t>
        </is>
      </c>
      <c r="C21" s="0">
        <f>IF(ISNUMBER(MATCH(LEFT($A21,4),Referentiel!$A$5:$A$193,0)),LEFT($A21,4),IF(ISNUMBER(MATCH(LEFT($A21,3),Referentiel!$A$5:$A$193,0)),LEFT($A21,3),IF(ISNUMBER(MATCH(LEFT($A21,2),Referentiel!$A$5:$A$193,0)),LEFT($A21,2),"NON MAPPÉ")))</f>
      </c>
      <c r="D21" s="9"/>
      <c r="E21" s="9"/>
      <c r="F21" s="8">
        <f>ROUND(SUMIFS(FEC_2024!$I:$I,FEC_2024!$E:$E,$A21)-SUMIFS(FEC_2024!$J:$J,FEC_2024!$E:$E,$A21),2)</f>
      </c>
      <c r="G21" s="0">
        <f>IF($D21&lt;&gt;"",$D21,IF($C21="NON MAPPÉ","?",IF(F21&gt;=0,INDEX(Referentiel!$C$5:$C$193,MATCH($C21,Referentiel!$A$5:$A$193,0)),INDEX(Referentiel!$D$5:$D$193,MATCH($C21,Referentiel!$A$5:$A$193,0)))))</f>
      </c>
      <c r="H21" s="0">
        <f>IF($E21&lt;&gt;"",$E21,IF($C21="NON MAPPÉ","?",IF(F21&gt;=0,INDEX(Referentiel!$E$5:$E$193,MATCH($C21,Referentiel!$A$5:$A$193,0)),INDEX(Referentiel!$F$5:$F$193,MATCH($C21,Referentiel!$A$5:$A$193,0)))))</f>
      </c>
      <c r="I21" s="8">
        <f>ROUND(SUMIFS(FEC_2025!$I:$I,FEC_2025!$E:$E,$A21)-SUMIFS(FEC_2025!$J:$J,FEC_2025!$E:$E,$A21),2)</f>
      </c>
      <c r="J21" s="0">
        <f>IF($D21&lt;&gt;"",$D21,IF($C21="NON MAPPÉ","?",IF(I21&gt;=0,INDEX(Referentiel!$C$5:$C$193,MATCH($C21,Referentiel!$A$5:$A$193,0)),INDEX(Referentiel!$D$5:$D$193,MATCH($C21,Referentiel!$A$5:$A$193,0)))))</f>
      </c>
      <c r="K21" s="0">
        <f>IF($E21&lt;&gt;"",$E21,IF($C21="NON MAPPÉ","?",IF(I21&gt;=0,INDEX(Referentiel!$E$5:$E$193,MATCH($C21,Referentiel!$A$5:$A$193,0)),INDEX(Referentiel!$F$5:$F$193,MATCH($C21,Referentiel!$A$5:$A$193,0)))))</f>
      </c>
    </row>
    <row r="22">
      <c r="A22" s="4" t="inlineStr">
        <is>
          <t xml:space="preserve">445510</t>
        </is>
      </c>
      <c r="B22" s="0" t="inlineStr">
        <is>
          <t xml:space="preserve">TVA a decaisser</t>
        </is>
      </c>
      <c r="C22" s="0">
        <f>IF(ISNUMBER(MATCH(LEFT($A22,4),Referentiel!$A$5:$A$193,0)),LEFT($A22,4),IF(ISNUMBER(MATCH(LEFT($A22,3),Referentiel!$A$5:$A$193,0)),LEFT($A22,3),IF(ISNUMBER(MATCH(LEFT($A22,2),Referentiel!$A$5:$A$193,0)),LEFT($A22,2),"NON MAPPÉ")))</f>
      </c>
      <c r="D22" s="9"/>
      <c r="E22" s="9"/>
      <c r="F22" s="8">
        <f>ROUND(SUMIFS(FEC_2024!$I:$I,FEC_2024!$E:$E,$A22)-SUMIFS(FEC_2024!$J:$J,FEC_2024!$E:$E,$A22),2)</f>
      </c>
      <c r="G22" s="0">
        <f>IF($D22&lt;&gt;"",$D22,IF($C22="NON MAPPÉ","?",IF(F22&gt;=0,INDEX(Referentiel!$C$5:$C$193,MATCH($C22,Referentiel!$A$5:$A$193,0)),INDEX(Referentiel!$D$5:$D$193,MATCH($C22,Referentiel!$A$5:$A$193,0)))))</f>
      </c>
      <c r="H22" s="0">
        <f>IF($E22&lt;&gt;"",$E22,IF($C22="NON MAPPÉ","?",IF(F22&gt;=0,INDEX(Referentiel!$E$5:$E$193,MATCH($C22,Referentiel!$A$5:$A$193,0)),INDEX(Referentiel!$F$5:$F$193,MATCH($C22,Referentiel!$A$5:$A$193,0)))))</f>
      </c>
      <c r="I22" s="8">
        <f>ROUND(SUMIFS(FEC_2025!$I:$I,FEC_2025!$E:$E,$A22)-SUMIFS(FEC_2025!$J:$J,FEC_2025!$E:$E,$A22),2)</f>
      </c>
      <c r="J22" s="0">
        <f>IF($D22&lt;&gt;"",$D22,IF($C22="NON MAPPÉ","?",IF(I22&gt;=0,INDEX(Referentiel!$C$5:$C$193,MATCH($C22,Referentiel!$A$5:$A$193,0)),INDEX(Referentiel!$D$5:$D$193,MATCH($C22,Referentiel!$A$5:$A$193,0)))))</f>
      </c>
      <c r="K22" s="0">
        <f>IF($E22&lt;&gt;"",$E22,IF($C22="NON MAPPÉ","?",IF(I22&gt;=0,INDEX(Referentiel!$E$5:$E$193,MATCH($C22,Referentiel!$A$5:$A$193,0)),INDEX(Referentiel!$F$5:$F$193,MATCH($C22,Referentiel!$A$5:$A$193,0)))))</f>
      </c>
    </row>
    <row r="23">
      <c r="A23" s="4" t="inlineStr">
        <is>
          <t xml:space="preserve">445660</t>
        </is>
      </c>
      <c r="B23" s="0" t="inlineStr">
        <is>
          <t xml:space="preserve">TVA deductible sur ABS</t>
        </is>
      </c>
      <c r="C23" s="0">
        <f>IF(ISNUMBER(MATCH(LEFT($A23,4),Referentiel!$A$5:$A$193,0)),LEFT($A23,4),IF(ISNUMBER(MATCH(LEFT($A23,3),Referentiel!$A$5:$A$193,0)),LEFT($A23,3),IF(ISNUMBER(MATCH(LEFT($A23,2),Referentiel!$A$5:$A$193,0)),LEFT($A23,2),"NON MAPPÉ")))</f>
      </c>
      <c r="D23" s="9"/>
      <c r="E23" s="9"/>
      <c r="F23" s="8">
        <f>ROUND(SUMIFS(FEC_2024!$I:$I,FEC_2024!$E:$E,$A23)-SUMIFS(FEC_2024!$J:$J,FEC_2024!$E:$E,$A23),2)</f>
      </c>
      <c r="G23" s="0">
        <f>IF($D23&lt;&gt;"",$D23,IF($C23="NON MAPPÉ","?",IF(F23&gt;=0,INDEX(Referentiel!$C$5:$C$193,MATCH($C23,Referentiel!$A$5:$A$193,0)),INDEX(Referentiel!$D$5:$D$193,MATCH($C23,Referentiel!$A$5:$A$193,0)))))</f>
      </c>
      <c r="H23" s="0">
        <f>IF($E23&lt;&gt;"",$E23,IF($C23="NON MAPPÉ","?",IF(F23&gt;=0,INDEX(Referentiel!$E$5:$E$193,MATCH($C23,Referentiel!$A$5:$A$193,0)),INDEX(Referentiel!$F$5:$F$193,MATCH($C23,Referentiel!$A$5:$A$193,0)))))</f>
      </c>
      <c r="I23" s="8">
        <f>ROUND(SUMIFS(FEC_2025!$I:$I,FEC_2025!$E:$E,$A23)-SUMIFS(FEC_2025!$J:$J,FEC_2025!$E:$E,$A23),2)</f>
      </c>
      <c r="J23" s="0">
        <f>IF($D23&lt;&gt;"",$D23,IF($C23="NON MAPPÉ","?",IF(I23&gt;=0,INDEX(Referentiel!$C$5:$C$193,MATCH($C23,Referentiel!$A$5:$A$193,0)),INDEX(Referentiel!$D$5:$D$193,MATCH($C23,Referentiel!$A$5:$A$193,0)))))</f>
      </c>
      <c r="K23" s="0">
        <f>IF($E23&lt;&gt;"",$E23,IF($C23="NON MAPPÉ","?",IF(I23&gt;=0,INDEX(Referentiel!$E$5:$E$193,MATCH($C23,Referentiel!$A$5:$A$193,0)),INDEX(Referentiel!$F$5:$F$193,MATCH($C23,Referentiel!$A$5:$A$193,0)))))</f>
      </c>
    </row>
    <row r="24">
      <c r="A24" s="4" t="inlineStr">
        <is>
          <t xml:space="preserve">445710</t>
        </is>
      </c>
      <c r="B24" s="0" t="inlineStr">
        <is>
          <t xml:space="preserve">TVA collectee</t>
        </is>
      </c>
      <c r="C24" s="0">
        <f>IF(ISNUMBER(MATCH(LEFT($A24,4),Referentiel!$A$5:$A$193,0)),LEFT($A24,4),IF(ISNUMBER(MATCH(LEFT($A24,3),Referentiel!$A$5:$A$193,0)),LEFT($A24,3),IF(ISNUMBER(MATCH(LEFT($A24,2),Referentiel!$A$5:$A$193,0)),LEFT($A24,2),"NON MAPPÉ")))</f>
      </c>
      <c r="D24" s="9"/>
      <c r="E24" s="9"/>
      <c r="F24" s="8">
        <f>ROUND(SUMIFS(FEC_2024!$I:$I,FEC_2024!$E:$E,$A24)-SUMIFS(FEC_2024!$J:$J,FEC_2024!$E:$E,$A24),2)</f>
      </c>
      <c r="G24" s="0">
        <f>IF($D24&lt;&gt;"",$D24,IF($C24="NON MAPPÉ","?",IF(F24&gt;=0,INDEX(Referentiel!$C$5:$C$193,MATCH($C24,Referentiel!$A$5:$A$193,0)),INDEX(Referentiel!$D$5:$D$193,MATCH($C24,Referentiel!$A$5:$A$193,0)))))</f>
      </c>
      <c r="H24" s="0">
        <f>IF($E24&lt;&gt;"",$E24,IF($C24="NON MAPPÉ","?",IF(F24&gt;=0,INDEX(Referentiel!$E$5:$E$193,MATCH($C24,Referentiel!$A$5:$A$193,0)),INDEX(Referentiel!$F$5:$F$193,MATCH($C24,Referentiel!$A$5:$A$193,0)))))</f>
      </c>
      <c r="I24" s="8">
        <f>ROUND(SUMIFS(FEC_2025!$I:$I,FEC_2025!$E:$E,$A24)-SUMIFS(FEC_2025!$J:$J,FEC_2025!$E:$E,$A24),2)</f>
      </c>
      <c r="J24" s="0">
        <f>IF($D24&lt;&gt;"",$D24,IF($C24="NON MAPPÉ","?",IF(I24&gt;=0,INDEX(Referentiel!$C$5:$C$193,MATCH($C24,Referentiel!$A$5:$A$193,0)),INDEX(Referentiel!$D$5:$D$193,MATCH($C24,Referentiel!$A$5:$A$193,0)))))</f>
      </c>
      <c r="K24" s="0">
        <f>IF($E24&lt;&gt;"",$E24,IF($C24="NON MAPPÉ","?",IF(I24&gt;=0,INDEX(Referentiel!$E$5:$E$193,MATCH($C24,Referentiel!$A$5:$A$193,0)),INDEX(Referentiel!$F$5:$F$193,MATCH($C24,Referentiel!$A$5:$A$193,0)))))</f>
      </c>
    </row>
    <row r="25">
      <c r="A25" s="4" t="inlineStr">
        <is>
          <t xml:space="preserve">455100</t>
        </is>
      </c>
      <c r="B25" s="0" t="inlineStr">
        <is>
          <t xml:space="preserve">Compte courant d'associe</t>
        </is>
      </c>
      <c r="C25" s="0">
        <f>IF(ISNUMBER(MATCH(LEFT($A25,4),Referentiel!$A$5:$A$193,0)),LEFT($A25,4),IF(ISNUMBER(MATCH(LEFT($A25,3),Referentiel!$A$5:$A$193,0)),LEFT($A25,3),IF(ISNUMBER(MATCH(LEFT($A25,2),Referentiel!$A$5:$A$193,0)),LEFT($A25,2),"NON MAPPÉ")))</f>
      </c>
      <c r="D25" s="9"/>
      <c r="E25" s="9"/>
      <c r="F25" s="8">
        <f>ROUND(SUMIFS(FEC_2024!$I:$I,FEC_2024!$E:$E,$A25)-SUMIFS(FEC_2024!$J:$J,FEC_2024!$E:$E,$A25),2)</f>
      </c>
      <c r="G25" s="0">
        <f>IF($D25&lt;&gt;"",$D25,IF($C25="NON MAPPÉ","?",IF(F25&gt;=0,INDEX(Referentiel!$C$5:$C$193,MATCH($C25,Referentiel!$A$5:$A$193,0)),INDEX(Referentiel!$D$5:$D$193,MATCH($C25,Referentiel!$A$5:$A$193,0)))))</f>
      </c>
      <c r="H25" s="0">
        <f>IF($E25&lt;&gt;"",$E25,IF($C25="NON MAPPÉ","?",IF(F25&gt;=0,INDEX(Referentiel!$E$5:$E$193,MATCH($C25,Referentiel!$A$5:$A$193,0)),INDEX(Referentiel!$F$5:$F$193,MATCH($C25,Referentiel!$A$5:$A$193,0)))))</f>
      </c>
      <c r="I25" s="8">
        <f>ROUND(SUMIFS(FEC_2025!$I:$I,FEC_2025!$E:$E,$A25)-SUMIFS(FEC_2025!$J:$J,FEC_2025!$E:$E,$A25),2)</f>
      </c>
      <c r="J25" s="0">
        <f>IF($D25&lt;&gt;"",$D25,IF($C25="NON MAPPÉ","?",IF(I25&gt;=0,INDEX(Referentiel!$C$5:$C$193,MATCH($C25,Referentiel!$A$5:$A$193,0)),INDEX(Referentiel!$D$5:$D$193,MATCH($C25,Referentiel!$A$5:$A$193,0)))))</f>
      </c>
      <c r="K25" s="0">
        <f>IF($E25&lt;&gt;"",$E25,IF($C25="NON MAPPÉ","?",IF(I25&gt;=0,INDEX(Referentiel!$E$5:$E$193,MATCH($C25,Referentiel!$A$5:$A$193,0)),INDEX(Referentiel!$F$5:$F$193,MATCH($C25,Referentiel!$A$5:$A$193,0)))))</f>
      </c>
    </row>
    <row r="26">
      <c r="A26" s="4" t="inlineStr">
        <is>
          <t xml:space="preserve">512000</t>
        </is>
      </c>
      <c r="B26" s="0" t="inlineStr">
        <is>
          <t xml:space="preserve">Banque Fictive</t>
        </is>
      </c>
      <c r="C26" s="0">
        <f>IF(ISNUMBER(MATCH(LEFT($A26,4),Referentiel!$A$5:$A$193,0)),LEFT($A26,4),IF(ISNUMBER(MATCH(LEFT($A26,3),Referentiel!$A$5:$A$193,0)),LEFT($A26,3),IF(ISNUMBER(MATCH(LEFT($A26,2),Referentiel!$A$5:$A$193,0)),LEFT($A26,2),"NON MAPPÉ")))</f>
      </c>
      <c r="D26" s="9"/>
      <c r="E26" s="9"/>
      <c r="F26" s="8">
        <f>ROUND(SUMIFS(FEC_2024!$I:$I,FEC_2024!$E:$E,$A26)-SUMIFS(FEC_2024!$J:$J,FEC_2024!$E:$E,$A26),2)</f>
      </c>
      <c r="G26" s="0">
        <f>IF($D26&lt;&gt;"",$D26,IF($C26="NON MAPPÉ","?",IF(F26&gt;=0,INDEX(Referentiel!$C$5:$C$193,MATCH($C26,Referentiel!$A$5:$A$193,0)),INDEX(Referentiel!$D$5:$D$193,MATCH($C26,Referentiel!$A$5:$A$193,0)))))</f>
      </c>
      <c r="H26" s="0">
        <f>IF($E26&lt;&gt;"",$E26,IF($C26="NON MAPPÉ","?",IF(F26&gt;=0,INDEX(Referentiel!$E$5:$E$193,MATCH($C26,Referentiel!$A$5:$A$193,0)),INDEX(Referentiel!$F$5:$F$193,MATCH($C26,Referentiel!$A$5:$A$193,0)))))</f>
      </c>
      <c r="I26" s="8">
        <f>ROUND(SUMIFS(FEC_2025!$I:$I,FEC_2025!$E:$E,$A26)-SUMIFS(FEC_2025!$J:$J,FEC_2025!$E:$E,$A26),2)</f>
      </c>
      <c r="J26" s="0">
        <f>IF($D26&lt;&gt;"",$D26,IF($C26="NON MAPPÉ","?",IF(I26&gt;=0,INDEX(Referentiel!$C$5:$C$193,MATCH($C26,Referentiel!$A$5:$A$193,0)),INDEX(Referentiel!$D$5:$D$193,MATCH($C26,Referentiel!$A$5:$A$193,0)))))</f>
      </c>
      <c r="K26" s="0">
        <f>IF($E26&lt;&gt;"",$E26,IF($C26="NON MAPPÉ","?",IF(I26&gt;=0,INDEX(Referentiel!$E$5:$E$193,MATCH($C26,Referentiel!$A$5:$A$193,0)),INDEX(Referentiel!$F$5:$F$193,MATCH($C26,Referentiel!$A$5:$A$193,0)))))</f>
      </c>
    </row>
    <row r="27">
      <c r="A27" s="4" t="inlineStr">
        <is>
          <t xml:space="preserve">601000</t>
        </is>
      </c>
      <c r="B27" s="0" t="inlineStr">
        <is>
          <t xml:space="preserve">Achats de matieres premieres</t>
        </is>
      </c>
      <c r="C27" s="0">
        <f>IF(ISNUMBER(MATCH(LEFT($A27,4),Referentiel!$A$5:$A$193,0)),LEFT($A27,4),IF(ISNUMBER(MATCH(LEFT($A27,3),Referentiel!$A$5:$A$193,0)),LEFT($A27,3),IF(ISNUMBER(MATCH(LEFT($A27,2),Referentiel!$A$5:$A$193,0)),LEFT($A27,2),"NON MAPPÉ")))</f>
      </c>
      <c r="D27" s="9"/>
      <c r="E27" s="9"/>
      <c r="F27" s="8">
        <f>ROUND(SUMIFS(FEC_2024!$I:$I,FEC_2024!$E:$E,$A27)-SUMIFS(FEC_2024!$J:$J,FEC_2024!$E:$E,$A27),2)</f>
      </c>
      <c r="G27" s="0">
        <f>IF($D27&lt;&gt;"",$D27,IF($C27="NON MAPPÉ","?",IF(F27&gt;=0,INDEX(Referentiel!$C$5:$C$193,MATCH($C27,Referentiel!$A$5:$A$193,0)),INDEX(Referentiel!$D$5:$D$193,MATCH($C27,Referentiel!$A$5:$A$193,0)))))</f>
      </c>
      <c r="H27" s="0">
        <f>IF($E27&lt;&gt;"",$E27,IF($C27="NON MAPPÉ","?",IF(F27&gt;=0,INDEX(Referentiel!$E$5:$E$193,MATCH($C27,Referentiel!$A$5:$A$193,0)),INDEX(Referentiel!$F$5:$F$193,MATCH($C27,Referentiel!$A$5:$A$193,0)))))</f>
      </c>
      <c r="I27" s="8">
        <f>ROUND(SUMIFS(FEC_2025!$I:$I,FEC_2025!$E:$E,$A27)-SUMIFS(FEC_2025!$J:$J,FEC_2025!$E:$E,$A27),2)</f>
      </c>
      <c r="J27" s="0">
        <f>IF($D27&lt;&gt;"",$D27,IF($C27="NON MAPPÉ","?",IF(I27&gt;=0,INDEX(Referentiel!$C$5:$C$193,MATCH($C27,Referentiel!$A$5:$A$193,0)),INDEX(Referentiel!$D$5:$D$193,MATCH($C27,Referentiel!$A$5:$A$193,0)))))</f>
      </c>
      <c r="K27" s="0">
        <f>IF($E27&lt;&gt;"",$E27,IF($C27="NON MAPPÉ","?",IF(I27&gt;=0,INDEX(Referentiel!$E$5:$E$193,MATCH($C27,Referentiel!$A$5:$A$193,0)),INDEX(Referentiel!$F$5:$F$193,MATCH($C27,Referentiel!$A$5:$A$193,0)))))</f>
      </c>
    </row>
    <row r="28">
      <c r="A28" s="4" t="inlineStr">
        <is>
          <t xml:space="preserve">603100</t>
        </is>
      </c>
      <c r="B28" s="0" t="inlineStr">
        <is>
          <t xml:space="preserve">Variation des stocks de matieres premieres</t>
        </is>
      </c>
      <c r="C28" s="0">
        <f>IF(ISNUMBER(MATCH(LEFT($A28,4),Referentiel!$A$5:$A$193,0)),LEFT($A28,4),IF(ISNUMBER(MATCH(LEFT($A28,3),Referentiel!$A$5:$A$193,0)),LEFT($A28,3),IF(ISNUMBER(MATCH(LEFT($A28,2),Referentiel!$A$5:$A$193,0)),LEFT($A28,2),"NON MAPPÉ")))</f>
      </c>
      <c r="D28" s="9"/>
      <c r="E28" s="9"/>
      <c r="F28" s="8">
        <f>ROUND(SUMIFS(FEC_2024!$I:$I,FEC_2024!$E:$E,$A28)-SUMIFS(FEC_2024!$J:$J,FEC_2024!$E:$E,$A28),2)</f>
      </c>
      <c r="G28" s="0">
        <f>IF($D28&lt;&gt;"",$D28,IF($C28="NON MAPPÉ","?",IF(F28&gt;=0,INDEX(Referentiel!$C$5:$C$193,MATCH($C28,Referentiel!$A$5:$A$193,0)),INDEX(Referentiel!$D$5:$D$193,MATCH($C28,Referentiel!$A$5:$A$193,0)))))</f>
      </c>
      <c r="H28" s="0">
        <f>IF($E28&lt;&gt;"",$E28,IF($C28="NON MAPPÉ","?",IF(F28&gt;=0,INDEX(Referentiel!$E$5:$E$193,MATCH($C28,Referentiel!$A$5:$A$193,0)),INDEX(Referentiel!$F$5:$F$193,MATCH($C28,Referentiel!$A$5:$A$193,0)))))</f>
      </c>
      <c r="I28" s="8">
        <f>ROUND(SUMIFS(FEC_2025!$I:$I,FEC_2025!$E:$E,$A28)-SUMIFS(FEC_2025!$J:$J,FEC_2025!$E:$E,$A28),2)</f>
      </c>
      <c r="J28" s="0">
        <f>IF($D28&lt;&gt;"",$D28,IF($C28="NON MAPPÉ","?",IF(I28&gt;=0,INDEX(Referentiel!$C$5:$C$193,MATCH($C28,Referentiel!$A$5:$A$193,0)),INDEX(Referentiel!$D$5:$D$193,MATCH($C28,Referentiel!$A$5:$A$193,0)))))</f>
      </c>
      <c r="K28" s="0">
        <f>IF($E28&lt;&gt;"",$E28,IF($C28="NON MAPPÉ","?",IF(I28&gt;=0,INDEX(Referentiel!$E$5:$E$193,MATCH($C28,Referentiel!$A$5:$A$193,0)),INDEX(Referentiel!$F$5:$F$193,MATCH($C28,Referentiel!$A$5:$A$193,0)))))</f>
      </c>
    </row>
    <row r="29">
      <c r="A29" s="4" t="inlineStr">
        <is>
          <t xml:space="preserve">606100</t>
        </is>
      </c>
      <c r="B29" s="0" t="inlineStr">
        <is>
          <t xml:space="preserve">Fournitures non stockables energie</t>
        </is>
      </c>
      <c r="C29" s="0">
        <f>IF(ISNUMBER(MATCH(LEFT($A29,4),Referentiel!$A$5:$A$193,0)),LEFT($A29,4),IF(ISNUMBER(MATCH(LEFT($A29,3),Referentiel!$A$5:$A$193,0)),LEFT($A29,3),IF(ISNUMBER(MATCH(LEFT($A29,2),Referentiel!$A$5:$A$193,0)),LEFT($A29,2),"NON MAPPÉ")))</f>
      </c>
      <c r="D29" s="9"/>
      <c r="E29" s="9"/>
      <c r="F29" s="8">
        <f>ROUND(SUMIFS(FEC_2024!$I:$I,FEC_2024!$E:$E,$A29)-SUMIFS(FEC_2024!$J:$J,FEC_2024!$E:$E,$A29),2)</f>
      </c>
      <c r="G29" s="0">
        <f>IF($D29&lt;&gt;"",$D29,IF($C29="NON MAPPÉ","?",IF(F29&gt;=0,INDEX(Referentiel!$C$5:$C$193,MATCH($C29,Referentiel!$A$5:$A$193,0)),INDEX(Referentiel!$D$5:$D$193,MATCH($C29,Referentiel!$A$5:$A$193,0)))))</f>
      </c>
      <c r="H29" s="0">
        <f>IF($E29&lt;&gt;"",$E29,IF($C29="NON MAPPÉ","?",IF(F29&gt;=0,INDEX(Referentiel!$E$5:$E$193,MATCH($C29,Referentiel!$A$5:$A$193,0)),INDEX(Referentiel!$F$5:$F$193,MATCH($C29,Referentiel!$A$5:$A$193,0)))))</f>
      </c>
      <c r="I29" s="8">
        <f>ROUND(SUMIFS(FEC_2025!$I:$I,FEC_2025!$E:$E,$A29)-SUMIFS(FEC_2025!$J:$J,FEC_2025!$E:$E,$A29),2)</f>
      </c>
      <c r="J29" s="0">
        <f>IF($D29&lt;&gt;"",$D29,IF($C29="NON MAPPÉ","?",IF(I29&gt;=0,INDEX(Referentiel!$C$5:$C$193,MATCH($C29,Referentiel!$A$5:$A$193,0)),INDEX(Referentiel!$D$5:$D$193,MATCH($C29,Referentiel!$A$5:$A$193,0)))))</f>
      </c>
      <c r="K29" s="0">
        <f>IF($E29&lt;&gt;"",$E29,IF($C29="NON MAPPÉ","?",IF(I29&gt;=0,INDEX(Referentiel!$E$5:$E$193,MATCH($C29,Referentiel!$A$5:$A$193,0)),INDEX(Referentiel!$F$5:$F$193,MATCH($C29,Referentiel!$A$5:$A$193,0)))))</f>
      </c>
    </row>
    <row r="30">
      <c r="A30" s="4" t="inlineStr">
        <is>
          <t xml:space="preserve">613200</t>
        </is>
      </c>
      <c r="B30" s="0" t="inlineStr">
        <is>
          <t xml:space="preserve">Locations immobilieres</t>
        </is>
      </c>
      <c r="C30" s="0">
        <f>IF(ISNUMBER(MATCH(LEFT($A30,4),Referentiel!$A$5:$A$193,0)),LEFT($A30,4),IF(ISNUMBER(MATCH(LEFT($A30,3),Referentiel!$A$5:$A$193,0)),LEFT($A30,3),IF(ISNUMBER(MATCH(LEFT($A30,2),Referentiel!$A$5:$A$193,0)),LEFT($A30,2),"NON MAPPÉ")))</f>
      </c>
      <c r="D30" s="9"/>
      <c r="E30" s="9"/>
      <c r="F30" s="8">
        <f>ROUND(SUMIFS(FEC_2024!$I:$I,FEC_2024!$E:$E,$A30)-SUMIFS(FEC_2024!$J:$J,FEC_2024!$E:$E,$A30),2)</f>
      </c>
      <c r="G30" s="0">
        <f>IF($D30&lt;&gt;"",$D30,IF($C30="NON MAPPÉ","?",IF(F30&gt;=0,INDEX(Referentiel!$C$5:$C$193,MATCH($C30,Referentiel!$A$5:$A$193,0)),INDEX(Referentiel!$D$5:$D$193,MATCH($C30,Referentiel!$A$5:$A$193,0)))))</f>
      </c>
      <c r="H30" s="0">
        <f>IF($E30&lt;&gt;"",$E30,IF($C30="NON MAPPÉ","?",IF(F30&gt;=0,INDEX(Referentiel!$E$5:$E$193,MATCH($C30,Referentiel!$A$5:$A$193,0)),INDEX(Referentiel!$F$5:$F$193,MATCH($C30,Referentiel!$A$5:$A$193,0)))))</f>
      </c>
      <c r="I30" s="8">
        <f>ROUND(SUMIFS(FEC_2025!$I:$I,FEC_2025!$E:$E,$A30)-SUMIFS(FEC_2025!$J:$J,FEC_2025!$E:$E,$A30),2)</f>
      </c>
      <c r="J30" s="0">
        <f>IF($D30&lt;&gt;"",$D30,IF($C30="NON MAPPÉ","?",IF(I30&gt;=0,INDEX(Referentiel!$C$5:$C$193,MATCH($C30,Referentiel!$A$5:$A$193,0)),INDEX(Referentiel!$D$5:$D$193,MATCH($C30,Referentiel!$A$5:$A$193,0)))))</f>
      </c>
      <c r="K30" s="0">
        <f>IF($E30&lt;&gt;"",$E30,IF($C30="NON MAPPÉ","?",IF(I30&gt;=0,INDEX(Referentiel!$E$5:$E$193,MATCH($C30,Referentiel!$A$5:$A$193,0)),INDEX(Referentiel!$F$5:$F$193,MATCH($C30,Referentiel!$A$5:$A$193,0)))))</f>
      </c>
    </row>
    <row r="31">
      <c r="A31" s="4" t="inlineStr">
        <is>
          <t xml:space="preserve">616000</t>
        </is>
      </c>
      <c r="B31" s="0" t="inlineStr">
        <is>
          <t xml:space="preserve">Primes d'assurance</t>
        </is>
      </c>
      <c r="C31" s="0">
        <f>IF(ISNUMBER(MATCH(LEFT($A31,4),Referentiel!$A$5:$A$193,0)),LEFT($A31,4),IF(ISNUMBER(MATCH(LEFT($A31,3),Referentiel!$A$5:$A$193,0)),LEFT($A31,3),IF(ISNUMBER(MATCH(LEFT($A31,2),Referentiel!$A$5:$A$193,0)),LEFT($A31,2),"NON MAPPÉ")))</f>
      </c>
      <c r="D31" s="9"/>
      <c r="E31" s="9"/>
      <c r="F31" s="8">
        <f>ROUND(SUMIFS(FEC_2024!$I:$I,FEC_2024!$E:$E,$A31)-SUMIFS(FEC_2024!$J:$J,FEC_2024!$E:$E,$A31),2)</f>
      </c>
      <c r="G31" s="0">
        <f>IF($D31&lt;&gt;"",$D31,IF($C31="NON MAPPÉ","?",IF(F31&gt;=0,INDEX(Referentiel!$C$5:$C$193,MATCH($C31,Referentiel!$A$5:$A$193,0)),INDEX(Referentiel!$D$5:$D$193,MATCH($C31,Referentiel!$A$5:$A$193,0)))))</f>
      </c>
      <c r="H31" s="0">
        <f>IF($E31&lt;&gt;"",$E31,IF($C31="NON MAPPÉ","?",IF(F31&gt;=0,INDEX(Referentiel!$E$5:$E$193,MATCH($C31,Referentiel!$A$5:$A$193,0)),INDEX(Referentiel!$F$5:$F$193,MATCH($C31,Referentiel!$A$5:$A$193,0)))))</f>
      </c>
      <c r="I31" s="8">
        <f>ROUND(SUMIFS(FEC_2025!$I:$I,FEC_2025!$E:$E,$A31)-SUMIFS(FEC_2025!$J:$J,FEC_2025!$E:$E,$A31),2)</f>
      </c>
      <c r="J31" s="0">
        <f>IF($D31&lt;&gt;"",$D31,IF($C31="NON MAPPÉ","?",IF(I31&gt;=0,INDEX(Referentiel!$C$5:$C$193,MATCH($C31,Referentiel!$A$5:$A$193,0)),INDEX(Referentiel!$D$5:$D$193,MATCH($C31,Referentiel!$A$5:$A$193,0)))))</f>
      </c>
      <c r="K31" s="0">
        <f>IF($E31&lt;&gt;"",$E31,IF($C31="NON MAPPÉ","?",IF(I31&gt;=0,INDEX(Referentiel!$E$5:$E$193,MATCH($C31,Referentiel!$A$5:$A$193,0)),INDEX(Referentiel!$F$5:$F$193,MATCH($C31,Referentiel!$A$5:$A$193,0)))))</f>
      </c>
    </row>
    <row r="32">
      <c r="A32" s="4" t="inlineStr">
        <is>
          <t xml:space="preserve">622600</t>
        </is>
      </c>
      <c r="B32" s="0" t="inlineStr">
        <is>
          <t xml:space="preserve">Honoraires</t>
        </is>
      </c>
      <c r="C32" s="0">
        <f>IF(ISNUMBER(MATCH(LEFT($A32,4),Referentiel!$A$5:$A$193,0)),LEFT($A32,4),IF(ISNUMBER(MATCH(LEFT($A32,3),Referentiel!$A$5:$A$193,0)),LEFT($A32,3),IF(ISNUMBER(MATCH(LEFT($A32,2),Referentiel!$A$5:$A$193,0)),LEFT($A32,2),"NON MAPPÉ")))</f>
      </c>
      <c r="D32" s="9"/>
      <c r="E32" s="9"/>
      <c r="F32" s="8">
        <f>ROUND(SUMIFS(FEC_2024!$I:$I,FEC_2024!$E:$E,$A32)-SUMIFS(FEC_2024!$J:$J,FEC_2024!$E:$E,$A32),2)</f>
      </c>
      <c r="G32" s="0">
        <f>IF($D32&lt;&gt;"",$D32,IF($C32="NON MAPPÉ","?",IF(F32&gt;=0,INDEX(Referentiel!$C$5:$C$193,MATCH($C32,Referentiel!$A$5:$A$193,0)),INDEX(Referentiel!$D$5:$D$193,MATCH($C32,Referentiel!$A$5:$A$193,0)))))</f>
      </c>
      <c r="H32" s="0">
        <f>IF($E32&lt;&gt;"",$E32,IF($C32="NON MAPPÉ","?",IF(F32&gt;=0,INDEX(Referentiel!$E$5:$E$193,MATCH($C32,Referentiel!$A$5:$A$193,0)),INDEX(Referentiel!$F$5:$F$193,MATCH($C32,Referentiel!$A$5:$A$193,0)))))</f>
      </c>
      <c r="I32" s="8">
        <f>ROUND(SUMIFS(FEC_2025!$I:$I,FEC_2025!$E:$E,$A32)-SUMIFS(FEC_2025!$J:$J,FEC_2025!$E:$E,$A32),2)</f>
      </c>
      <c r="J32" s="0">
        <f>IF($D32&lt;&gt;"",$D32,IF($C32="NON MAPPÉ","?",IF(I32&gt;=0,INDEX(Referentiel!$C$5:$C$193,MATCH($C32,Referentiel!$A$5:$A$193,0)),INDEX(Referentiel!$D$5:$D$193,MATCH($C32,Referentiel!$A$5:$A$193,0)))))</f>
      </c>
      <c r="K32" s="0">
        <f>IF($E32&lt;&gt;"",$E32,IF($C32="NON MAPPÉ","?",IF(I32&gt;=0,INDEX(Referentiel!$E$5:$E$193,MATCH($C32,Referentiel!$A$5:$A$193,0)),INDEX(Referentiel!$F$5:$F$193,MATCH($C32,Referentiel!$A$5:$A$193,0)))))</f>
      </c>
    </row>
    <row r="33">
      <c r="A33" s="4" t="inlineStr">
        <is>
          <t xml:space="preserve">625100</t>
        </is>
      </c>
      <c r="B33" s="0" t="inlineStr">
        <is>
          <t xml:space="preserve">Voyages et deplacements</t>
        </is>
      </c>
      <c r="C33" s="0">
        <f>IF(ISNUMBER(MATCH(LEFT($A33,4),Referentiel!$A$5:$A$193,0)),LEFT($A33,4),IF(ISNUMBER(MATCH(LEFT($A33,3),Referentiel!$A$5:$A$193,0)),LEFT($A33,3),IF(ISNUMBER(MATCH(LEFT($A33,2),Referentiel!$A$5:$A$193,0)),LEFT($A33,2),"NON MAPPÉ")))</f>
      </c>
      <c r="D33" s="9"/>
      <c r="E33" s="9"/>
      <c r="F33" s="8">
        <f>ROUND(SUMIFS(FEC_2024!$I:$I,FEC_2024!$E:$E,$A33)-SUMIFS(FEC_2024!$J:$J,FEC_2024!$E:$E,$A33),2)</f>
      </c>
      <c r="G33" s="0">
        <f>IF($D33&lt;&gt;"",$D33,IF($C33="NON MAPPÉ","?",IF(F33&gt;=0,INDEX(Referentiel!$C$5:$C$193,MATCH($C33,Referentiel!$A$5:$A$193,0)),INDEX(Referentiel!$D$5:$D$193,MATCH($C33,Referentiel!$A$5:$A$193,0)))))</f>
      </c>
      <c r="H33" s="0">
        <f>IF($E33&lt;&gt;"",$E33,IF($C33="NON MAPPÉ","?",IF(F33&gt;=0,INDEX(Referentiel!$E$5:$E$193,MATCH($C33,Referentiel!$A$5:$A$193,0)),INDEX(Referentiel!$F$5:$F$193,MATCH($C33,Referentiel!$A$5:$A$193,0)))))</f>
      </c>
      <c r="I33" s="8">
        <f>ROUND(SUMIFS(FEC_2025!$I:$I,FEC_2025!$E:$E,$A33)-SUMIFS(FEC_2025!$J:$J,FEC_2025!$E:$E,$A33),2)</f>
      </c>
      <c r="J33" s="0">
        <f>IF($D33&lt;&gt;"",$D33,IF($C33="NON MAPPÉ","?",IF(I33&gt;=0,INDEX(Referentiel!$C$5:$C$193,MATCH($C33,Referentiel!$A$5:$A$193,0)),INDEX(Referentiel!$D$5:$D$193,MATCH($C33,Referentiel!$A$5:$A$193,0)))))</f>
      </c>
      <c r="K33" s="0">
        <f>IF($E33&lt;&gt;"",$E33,IF($C33="NON MAPPÉ","?",IF(I33&gt;=0,INDEX(Referentiel!$E$5:$E$193,MATCH($C33,Referentiel!$A$5:$A$193,0)),INDEX(Referentiel!$F$5:$F$193,MATCH($C33,Referentiel!$A$5:$A$193,0)))))</f>
      </c>
    </row>
    <row r="34">
      <c r="A34" s="4" t="inlineStr">
        <is>
          <t xml:space="preserve">626000</t>
        </is>
      </c>
      <c r="B34" s="0" t="inlineStr">
        <is>
          <t xml:space="preserve">Frais postaux et telecommunications</t>
        </is>
      </c>
      <c r="C34" s="0">
        <f>IF(ISNUMBER(MATCH(LEFT($A34,4),Referentiel!$A$5:$A$193,0)),LEFT($A34,4),IF(ISNUMBER(MATCH(LEFT($A34,3),Referentiel!$A$5:$A$193,0)),LEFT($A34,3),IF(ISNUMBER(MATCH(LEFT($A34,2),Referentiel!$A$5:$A$193,0)),LEFT($A34,2),"NON MAPPÉ")))</f>
      </c>
      <c r="D34" s="9"/>
      <c r="E34" s="9"/>
      <c r="F34" s="8">
        <f>ROUND(SUMIFS(FEC_2024!$I:$I,FEC_2024!$E:$E,$A34)-SUMIFS(FEC_2024!$J:$J,FEC_2024!$E:$E,$A34),2)</f>
      </c>
      <c r="G34" s="0">
        <f>IF($D34&lt;&gt;"",$D34,IF($C34="NON MAPPÉ","?",IF(F34&gt;=0,INDEX(Referentiel!$C$5:$C$193,MATCH($C34,Referentiel!$A$5:$A$193,0)),INDEX(Referentiel!$D$5:$D$193,MATCH($C34,Referentiel!$A$5:$A$193,0)))))</f>
      </c>
      <c r="H34" s="0">
        <f>IF($E34&lt;&gt;"",$E34,IF($C34="NON MAPPÉ","?",IF(F34&gt;=0,INDEX(Referentiel!$E$5:$E$193,MATCH($C34,Referentiel!$A$5:$A$193,0)),INDEX(Referentiel!$F$5:$F$193,MATCH($C34,Referentiel!$A$5:$A$193,0)))))</f>
      </c>
      <c r="I34" s="8">
        <f>ROUND(SUMIFS(FEC_2025!$I:$I,FEC_2025!$E:$E,$A34)-SUMIFS(FEC_2025!$J:$J,FEC_2025!$E:$E,$A34),2)</f>
      </c>
      <c r="J34" s="0">
        <f>IF($D34&lt;&gt;"",$D34,IF($C34="NON MAPPÉ","?",IF(I34&gt;=0,INDEX(Referentiel!$C$5:$C$193,MATCH($C34,Referentiel!$A$5:$A$193,0)),INDEX(Referentiel!$D$5:$D$193,MATCH($C34,Referentiel!$A$5:$A$193,0)))))</f>
      </c>
      <c r="K34" s="0">
        <f>IF($E34&lt;&gt;"",$E34,IF($C34="NON MAPPÉ","?",IF(I34&gt;=0,INDEX(Referentiel!$E$5:$E$193,MATCH($C34,Referentiel!$A$5:$A$193,0)),INDEX(Referentiel!$F$5:$F$193,MATCH($C34,Referentiel!$A$5:$A$193,0)))))</f>
      </c>
    </row>
    <row r="35">
      <c r="A35" s="4" t="inlineStr">
        <is>
          <t xml:space="preserve">627000</t>
        </is>
      </c>
      <c r="B35" s="0" t="inlineStr">
        <is>
          <t xml:space="preserve">Services bancaires</t>
        </is>
      </c>
      <c r="C35" s="0">
        <f>IF(ISNUMBER(MATCH(LEFT($A35,4),Referentiel!$A$5:$A$193,0)),LEFT($A35,4),IF(ISNUMBER(MATCH(LEFT($A35,3),Referentiel!$A$5:$A$193,0)),LEFT($A35,3),IF(ISNUMBER(MATCH(LEFT($A35,2),Referentiel!$A$5:$A$193,0)),LEFT($A35,2),"NON MAPPÉ")))</f>
      </c>
      <c r="D35" s="9"/>
      <c r="E35" s="9"/>
      <c r="F35" s="8">
        <f>ROUND(SUMIFS(FEC_2024!$I:$I,FEC_2024!$E:$E,$A35)-SUMIFS(FEC_2024!$J:$J,FEC_2024!$E:$E,$A35),2)</f>
      </c>
      <c r="G35" s="0">
        <f>IF($D35&lt;&gt;"",$D35,IF($C35="NON MAPPÉ","?",IF(F35&gt;=0,INDEX(Referentiel!$C$5:$C$193,MATCH($C35,Referentiel!$A$5:$A$193,0)),INDEX(Referentiel!$D$5:$D$193,MATCH($C35,Referentiel!$A$5:$A$193,0)))))</f>
      </c>
      <c r="H35" s="0">
        <f>IF($E35&lt;&gt;"",$E35,IF($C35="NON MAPPÉ","?",IF(F35&gt;=0,INDEX(Referentiel!$E$5:$E$193,MATCH($C35,Referentiel!$A$5:$A$193,0)),INDEX(Referentiel!$F$5:$F$193,MATCH($C35,Referentiel!$A$5:$A$193,0)))))</f>
      </c>
      <c r="I35" s="8">
        <f>ROUND(SUMIFS(FEC_2025!$I:$I,FEC_2025!$E:$E,$A35)-SUMIFS(FEC_2025!$J:$J,FEC_2025!$E:$E,$A35),2)</f>
      </c>
      <c r="J35" s="0">
        <f>IF($D35&lt;&gt;"",$D35,IF($C35="NON MAPPÉ","?",IF(I35&gt;=0,INDEX(Referentiel!$C$5:$C$193,MATCH($C35,Referentiel!$A$5:$A$193,0)),INDEX(Referentiel!$D$5:$D$193,MATCH($C35,Referentiel!$A$5:$A$193,0)))))</f>
      </c>
      <c r="K35" s="0">
        <f>IF($E35&lt;&gt;"",$E35,IF($C35="NON MAPPÉ","?",IF(I35&gt;=0,INDEX(Referentiel!$E$5:$E$193,MATCH($C35,Referentiel!$A$5:$A$193,0)),INDEX(Referentiel!$F$5:$F$193,MATCH($C35,Referentiel!$A$5:$A$193,0)))))</f>
      </c>
    </row>
    <row r="36">
      <c r="A36" s="4" t="inlineStr">
        <is>
          <t xml:space="preserve">635110</t>
        </is>
      </c>
      <c r="B36" s="0" t="inlineStr">
        <is>
          <t xml:space="preserve">Cotisation fonciere des entreprises</t>
        </is>
      </c>
      <c r="C36" s="0">
        <f>IF(ISNUMBER(MATCH(LEFT($A36,4),Referentiel!$A$5:$A$193,0)),LEFT($A36,4),IF(ISNUMBER(MATCH(LEFT($A36,3),Referentiel!$A$5:$A$193,0)),LEFT($A36,3),IF(ISNUMBER(MATCH(LEFT($A36,2),Referentiel!$A$5:$A$193,0)),LEFT($A36,2),"NON MAPPÉ")))</f>
      </c>
      <c r="D36" s="9"/>
      <c r="E36" s="9"/>
      <c r="F36" s="8">
        <f>ROUND(SUMIFS(FEC_2024!$I:$I,FEC_2024!$E:$E,$A36)-SUMIFS(FEC_2024!$J:$J,FEC_2024!$E:$E,$A36),2)</f>
      </c>
      <c r="G36" s="0">
        <f>IF($D36&lt;&gt;"",$D36,IF($C36="NON MAPPÉ","?",IF(F36&gt;=0,INDEX(Referentiel!$C$5:$C$193,MATCH($C36,Referentiel!$A$5:$A$193,0)),INDEX(Referentiel!$D$5:$D$193,MATCH($C36,Referentiel!$A$5:$A$193,0)))))</f>
      </c>
      <c r="H36" s="0">
        <f>IF($E36&lt;&gt;"",$E36,IF($C36="NON MAPPÉ","?",IF(F36&gt;=0,INDEX(Referentiel!$E$5:$E$193,MATCH($C36,Referentiel!$A$5:$A$193,0)),INDEX(Referentiel!$F$5:$F$193,MATCH($C36,Referentiel!$A$5:$A$193,0)))))</f>
      </c>
      <c r="I36" s="8">
        <f>ROUND(SUMIFS(FEC_2025!$I:$I,FEC_2025!$E:$E,$A36)-SUMIFS(FEC_2025!$J:$J,FEC_2025!$E:$E,$A36),2)</f>
      </c>
      <c r="J36" s="0">
        <f>IF($D36&lt;&gt;"",$D36,IF($C36="NON MAPPÉ","?",IF(I36&gt;=0,INDEX(Referentiel!$C$5:$C$193,MATCH($C36,Referentiel!$A$5:$A$193,0)),INDEX(Referentiel!$D$5:$D$193,MATCH($C36,Referentiel!$A$5:$A$193,0)))))</f>
      </c>
      <c r="K36" s="0">
        <f>IF($E36&lt;&gt;"",$E36,IF($C36="NON MAPPÉ","?",IF(I36&gt;=0,INDEX(Referentiel!$E$5:$E$193,MATCH($C36,Referentiel!$A$5:$A$193,0)),INDEX(Referentiel!$F$5:$F$193,MATCH($C36,Referentiel!$A$5:$A$193,0)))))</f>
      </c>
    </row>
    <row r="37">
      <c r="A37" s="4" t="inlineStr">
        <is>
          <t xml:space="preserve">641000</t>
        </is>
      </c>
      <c r="B37" s="0" t="inlineStr">
        <is>
          <t xml:space="preserve">Remunerations du personnel</t>
        </is>
      </c>
      <c r="C37" s="0">
        <f>IF(ISNUMBER(MATCH(LEFT($A37,4),Referentiel!$A$5:$A$193,0)),LEFT($A37,4),IF(ISNUMBER(MATCH(LEFT($A37,3),Referentiel!$A$5:$A$193,0)),LEFT($A37,3),IF(ISNUMBER(MATCH(LEFT($A37,2),Referentiel!$A$5:$A$193,0)),LEFT($A37,2),"NON MAPPÉ")))</f>
      </c>
      <c r="D37" s="9"/>
      <c r="E37" s="9"/>
      <c r="F37" s="8">
        <f>ROUND(SUMIFS(FEC_2024!$I:$I,FEC_2024!$E:$E,$A37)-SUMIFS(FEC_2024!$J:$J,FEC_2024!$E:$E,$A37),2)</f>
      </c>
      <c r="G37" s="0">
        <f>IF($D37&lt;&gt;"",$D37,IF($C37="NON MAPPÉ","?",IF(F37&gt;=0,INDEX(Referentiel!$C$5:$C$193,MATCH($C37,Referentiel!$A$5:$A$193,0)),INDEX(Referentiel!$D$5:$D$193,MATCH($C37,Referentiel!$A$5:$A$193,0)))))</f>
      </c>
      <c r="H37" s="0">
        <f>IF($E37&lt;&gt;"",$E37,IF($C37="NON MAPPÉ","?",IF(F37&gt;=0,INDEX(Referentiel!$E$5:$E$193,MATCH($C37,Referentiel!$A$5:$A$193,0)),INDEX(Referentiel!$F$5:$F$193,MATCH($C37,Referentiel!$A$5:$A$193,0)))))</f>
      </c>
      <c r="I37" s="8">
        <f>ROUND(SUMIFS(FEC_2025!$I:$I,FEC_2025!$E:$E,$A37)-SUMIFS(FEC_2025!$J:$J,FEC_2025!$E:$E,$A37),2)</f>
      </c>
      <c r="J37" s="0">
        <f>IF($D37&lt;&gt;"",$D37,IF($C37="NON MAPPÉ","?",IF(I37&gt;=0,INDEX(Referentiel!$C$5:$C$193,MATCH($C37,Referentiel!$A$5:$A$193,0)),INDEX(Referentiel!$D$5:$D$193,MATCH($C37,Referentiel!$A$5:$A$193,0)))))</f>
      </c>
      <c r="K37" s="0">
        <f>IF($E37&lt;&gt;"",$E37,IF($C37="NON MAPPÉ","?",IF(I37&gt;=0,INDEX(Referentiel!$E$5:$E$193,MATCH($C37,Referentiel!$A$5:$A$193,0)),INDEX(Referentiel!$F$5:$F$193,MATCH($C37,Referentiel!$A$5:$A$193,0)))))</f>
      </c>
    </row>
    <row r="38">
      <c r="A38" s="4" t="inlineStr">
        <is>
          <t xml:space="preserve">645100</t>
        </is>
      </c>
      <c r="B38" s="0" t="inlineStr">
        <is>
          <t xml:space="preserve">Cotisations URSSAF</t>
        </is>
      </c>
      <c r="C38" s="0">
        <f>IF(ISNUMBER(MATCH(LEFT($A38,4),Referentiel!$A$5:$A$193,0)),LEFT($A38,4),IF(ISNUMBER(MATCH(LEFT($A38,3),Referentiel!$A$5:$A$193,0)),LEFT($A38,3),IF(ISNUMBER(MATCH(LEFT($A38,2),Referentiel!$A$5:$A$193,0)),LEFT($A38,2),"NON MAPPÉ")))</f>
      </c>
      <c r="D38" s="9"/>
      <c r="E38" s="9"/>
      <c r="F38" s="8">
        <f>ROUND(SUMIFS(FEC_2024!$I:$I,FEC_2024!$E:$E,$A38)-SUMIFS(FEC_2024!$J:$J,FEC_2024!$E:$E,$A38),2)</f>
      </c>
      <c r="G38" s="0">
        <f>IF($D38&lt;&gt;"",$D38,IF($C38="NON MAPPÉ","?",IF(F38&gt;=0,INDEX(Referentiel!$C$5:$C$193,MATCH($C38,Referentiel!$A$5:$A$193,0)),INDEX(Referentiel!$D$5:$D$193,MATCH($C38,Referentiel!$A$5:$A$193,0)))))</f>
      </c>
      <c r="H38" s="0">
        <f>IF($E38&lt;&gt;"",$E38,IF($C38="NON MAPPÉ","?",IF(F38&gt;=0,INDEX(Referentiel!$E$5:$E$193,MATCH($C38,Referentiel!$A$5:$A$193,0)),INDEX(Referentiel!$F$5:$F$193,MATCH($C38,Referentiel!$A$5:$A$193,0)))))</f>
      </c>
      <c r="I38" s="8">
        <f>ROUND(SUMIFS(FEC_2025!$I:$I,FEC_2025!$E:$E,$A38)-SUMIFS(FEC_2025!$J:$J,FEC_2025!$E:$E,$A38),2)</f>
      </c>
      <c r="J38" s="0">
        <f>IF($D38&lt;&gt;"",$D38,IF($C38="NON MAPPÉ","?",IF(I38&gt;=0,INDEX(Referentiel!$C$5:$C$193,MATCH($C38,Referentiel!$A$5:$A$193,0)),INDEX(Referentiel!$D$5:$D$193,MATCH($C38,Referentiel!$A$5:$A$193,0)))))</f>
      </c>
      <c r="K38" s="0">
        <f>IF($E38&lt;&gt;"",$E38,IF($C38="NON MAPPÉ","?",IF(I38&gt;=0,INDEX(Referentiel!$E$5:$E$193,MATCH($C38,Referentiel!$A$5:$A$193,0)),INDEX(Referentiel!$F$5:$F$193,MATCH($C38,Referentiel!$A$5:$A$193,0)))))</f>
      </c>
    </row>
    <row r="39">
      <c r="A39" s="4" t="inlineStr">
        <is>
          <t xml:space="preserve">661100</t>
        </is>
      </c>
      <c r="B39" s="0" t="inlineStr">
        <is>
          <t xml:space="preserve">Interets des emprunts</t>
        </is>
      </c>
      <c r="C39" s="0">
        <f>IF(ISNUMBER(MATCH(LEFT($A39,4),Referentiel!$A$5:$A$193,0)),LEFT($A39,4),IF(ISNUMBER(MATCH(LEFT($A39,3),Referentiel!$A$5:$A$193,0)),LEFT($A39,3),IF(ISNUMBER(MATCH(LEFT($A39,2),Referentiel!$A$5:$A$193,0)),LEFT($A39,2),"NON MAPPÉ")))</f>
      </c>
      <c r="D39" s="9"/>
      <c r="E39" s="9"/>
      <c r="F39" s="8">
        <f>ROUND(SUMIFS(FEC_2024!$I:$I,FEC_2024!$E:$E,$A39)-SUMIFS(FEC_2024!$J:$J,FEC_2024!$E:$E,$A39),2)</f>
      </c>
      <c r="G39" s="0">
        <f>IF($D39&lt;&gt;"",$D39,IF($C39="NON MAPPÉ","?",IF(F39&gt;=0,INDEX(Referentiel!$C$5:$C$193,MATCH($C39,Referentiel!$A$5:$A$193,0)),INDEX(Referentiel!$D$5:$D$193,MATCH($C39,Referentiel!$A$5:$A$193,0)))))</f>
      </c>
      <c r="H39" s="0">
        <f>IF($E39&lt;&gt;"",$E39,IF($C39="NON MAPPÉ","?",IF(F39&gt;=0,INDEX(Referentiel!$E$5:$E$193,MATCH($C39,Referentiel!$A$5:$A$193,0)),INDEX(Referentiel!$F$5:$F$193,MATCH($C39,Referentiel!$A$5:$A$193,0)))))</f>
      </c>
      <c r="I39" s="8">
        <f>ROUND(SUMIFS(FEC_2025!$I:$I,FEC_2025!$E:$E,$A39)-SUMIFS(FEC_2025!$J:$J,FEC_2025!$E:$E,$A39),2)</f>
      </c>
      <c r="J39" s="0">
        <f>IF($D39&lt;&gt;"",$D39,IF($C39="NON MAPPÉ","?",IF(I39&gt;=0,INDEX(Referentiel!$C$5:$C$193,MATCH($C39,Referentiel!$A$5:$A$193,0)),INDEX(Referentiel!$D$5:$D$193,MATCH($C39,Referentiel!$A$5:$A$193,0)))))</f>
      </c>
      <c r="K39" s="0">
        <f>IF($E39&lt;&gt;"",$E39,IF($C39="NON MAPPÉ","?",IF(I39&gt;=0,INDEX(Referentiel!$E$5:$E$193,MATCH($C39,Referentiel!$A$5:$A$193,0)),INDEX(Referentiel!$F$5:$F$193,MATCH($C39,Referentiel!$A$5:$A$193,0)))))</f>
      </c>
    </row>
    <row r="40">
      <c r="A40" s="4" t="inlineStr">
        <is>
          <t xml:space="preserve">681120</t>
        </is>
      </c>
      <c r="B40" s="0" t="inlineStr">
        <is>
          <t xml:space="preserve">Dotations aux amortissements des immobilisations corporelles</t>
        </is>
      </c>
      <c r="C40" s="0">
        <f>IF(ISNUMBER(MATCH(LEFT($A40,4),Referentiel!$A$5:$A$193,0)),LEFT($A40,4),IF(ISNUMBER(MATCH(LEFT($A40,3),Referentiel!$A$5:$A$193,0)),LEFT($A40,3),IF(ISNUMBER(MATCH(LEFT($A40,2),Referentiel!$A$5:$A$193,0)),LEFT($A40,2),"NON MAPPÉ")))</f>
      </c>
      <c r="D40" s="9"/>
      <c r="E40" s="9"/>
      <c r="F40" s="8">
        <f>ROUND(SUMIFS(FEC_2024!$I:$I,FEC_2024!$E:$E,$A40)-SUMIFS(FEC_2024!$J:$J,FEC_2024!$E:$E,$A40),2)</f>
      </c>
      <c r="G40" s="0">
        <f>IF($D40&lt;&gt;"",$D40,IF($C40="NON MAPPÉ","?",IF(F40&gt;=0,INDEX(Referentiel!$C$5:$C$193,MATCH($C40,Referentiel!$A$5:$A$193,0)),INDEX(Referentiel!$D$5:$D$193,MATCH($C40,Referentiel!$A$5:$A$193,0)))))</f>
      </c>
      <c r="H40" s="0">
        <f>IF($E40&lt;&gt;"",$E40,IF($C40="NON MAPPÉ","?",IF(F40&gt;=0,INDEX(Referentiel!$E$5:$E$193,MATCH($C40,Referentiel!$A$5:$A$193,0)),INDEX(Referentiel!$F$5:$F$193,MATCH($C40,Referentiel!$A$5:$A$193,0)))))</f>
      </c>
      <c r="I40" s="8">
        <f>ROUND(SUMIFS(FEC_2025!$I:$I,FEC_2025!$E:$E,$A40)-SUMIFS(FEC_2025!$J:$J,FEC_2025!$E:$E,$A40),2)</f>
      </c>
      <c r="J40" s="0">
        <f>IF($D40&lt;&gt;"",$D40,IF($C40="NON MAPPÉ","?",IF(I40&gt;=0,INDEX(Referentiel!$C$5:$C$193,MATCH($C40,Referentiel!$A$5:$A$193,0)),INDEX(Referentiel!$D$5:$D$193,MATCH($C40,Referentiel!$A$5:$A$193,0)))))</f>
      </c>
      <c r="K40" s="0">
        <f>IF($E40&lt;&gt;"",$E40,IF($C40="NON MAPPÉ","?",IF(I40&gt;=0,INDEX(Referentiel!$E$5:$E$193,MATCH($C40,Referentiel!$A$5:$A$193,0)),INDEX(Referentiel!$F$5:$F$193,MATCH($C40,Referentiel!$A$5:$A$193,0)))))</f>
      </c>
    </row>
    <row r="41">
      <c r="A41" s="4" t="inlineStr">
        <is>
          <t xml:space="preserve">695000</t>
        </is>
      </c>
      <c r="B41" s="0" t="inlineStr">
        <is>
          <t xml:space="preserve">Impots sur les benefices</t>
        </is>
      </c>
      <c r="C41" s="0">
        <f>IF(ISNUMBER(MATCH(LEFT($A41,4),Referentiel!$A$5:$A$193,0)),LEFT($A41,4),IF(ISNUMBER(MATCH(LEFT($A41,3),Referentiel!$A$5:$A$193,0)),LEFT($A41,3),IF(ISNUMBER(MATCH(LEFT($A41,2),Referentiel!$A$5:$A$193,0)),LEFT($A41,2),"NON MAPPÉ")))</f>
      </c>
      <c r="D41" s="9"/>
      <c r="E41" s="9"/>
      <c r="F41" s="8">
        <f>ROUND(SUMIFS(FEC_2024!$I:$I,FEC_2024!$E:$E,$A41)-SUMIFS(FEC_2024!$J:$J,FEC_2024!$E:$E,$A41),2)</f>
      </c>
      <c r="G41" s="0">
        <f>IF($D41&lt;&gt;"",$D41,IF($C41="NON MAPPÉ","?",IF(F41&gt;=0,INDEX(Referentiel!$C$5:$C$193,MATCH($C41,Referentiel!$A$5:$A$193,0)),INDEX(Referentiel!$D$5:$D$193,MATCH($C41,Referentiel!$A$5:$A$193,0)))))</f>
      </c>
      <c r="H41" s="0">
        <f>IF($E41&lt;&gt;"",$E41,IF($C41="NON MAPPÉ","?",IF(F41&gt;=0,INDEX(Referentiel!$E$5:$E$193,MATCH($C41,Referentiel!$A$5:$A$193,0)),INDEX(Referentiel!$F$5:$F$193,MATCH($C41,Referentiel!$A$5:$A$193,0)))))</f>
      </c>
      <c r="I41" s="8">
        <f>ROUND(SUMIFS(FEC_2025!$I:$I,FEC_2025!$E:$E,$A41)-SUMIFS(FEC_2025!$J:$J,FEC_2025!$E:$E,$A41),2)</f>
      </c>
      <c r="J41" s="0">
        <f>IF($D41&lt;&gt;"",$D41,IF($C41="NON MAPPÉ","?",IF(I41&gt;=0,INDEX(Referentiel!$C$5:$C$193,MATCH($C41,Referentiel!$A$5:$A$193,0)),INDEX(Referentiel!$D$5:$D$193,MATCH($C41,Referentiel!$A$5:$A$193,0)))))</f>
      </c>
      <c r="K41" s="0">
        <f>IF($E41&lt;&gt;"",$E41,IF($C41="NON MAPPÉ","?",IF(I41&gt;=0,INDEX(Referentiel!$E$5:$E$193,MATCH($C41,Referentiel!$A$5:$A$193,0)),INDEX(Referentiel!$F$5:$F$193,MATCH($C41,Referentiel!$A$5:$A$193,0)))))</f>
      </c>
    </row>
    <row r="42">
      <c r="A42" s="4" t="inlineStr">
        <is>
          <t xml:space="preserve">701000</t>
        </is>
      </c>
      <c r="B42" s="0" t="inlineStr">
        <is>
          <t xml:space="preserve">Ventes de produits finis</t>
        </is>
      </c>
      <c r="C42" s="0">
        <f>IF(ISNUMBER(MATCH(LEFT($A42,4),Referentiel!$A$5:$A$193,0)),LEFT($A42,4),IF(ISNUMBER(MATCH(LEFT($A42,3),Referentiel!$A$5:$A$193,0)),LEFT($A42,3),IF(ISNUMBER(MATCH(LEFT($A42,2),Referentiel!$A$5:$A$193,0)),LEFT($A42,2),"NON MAPPÉ")))</f>
      </c>
      <c r="D42" s="9"/>
      <c r="E42" s="9"/>
      <c r="F42" s="8">
        <f>ROUND(SUMIFS(FEC_2024!$I:$I,FEC_2024!$E:$E,$A42)-SUMIFS(FEC_2024!$J:$J,FEC_2024!$E:$E,$A42),2)</f>
      </c>
      <c r="G42" s="0">
        <f>IF($D42&lt;&gt;"",$D42,IF($C42="NON MAPPÉ","?",IF(F42&gt;=0,INDEX(Referentiel!$C$5:$C$193,MATCH($C42,Referentiel!$A$5:$A$193,0)),INDEX(Referentiel!$D$5:$D$193,MATCH($C42,Referentiel!$A$5:$A$193,0)))))</f>
      </c>
      <c r="H42" s="0">
        <f>IF($E42&lt;&gt;"",$E42,IF($C42="NON MAPPÉ","?",IF(F42&gt;=0,INDEX(Referentiel!$E$5:$E$193,MATCH($C42,Referentiel!$A$5:$A$193,0)),INDEX(Referentiel!$F$5:$F$193,MATCH($C42,Referentiel!$A$5:$A$193,0)))))</f>
      </c>
      <c r="I42" s="8">
        <f>ROUND(SUMIFS(FEC_2025!$I:$I,FEC_2025!$E:$E,$A42)-SUMIFS(FEC_2025!$J:$J,FEC_2025!$E:$E,$A42),2)</f>
      </c>
      <c r="J42" s="0">
        <f>IF($D42&lt;&gt;"",$D42,IF($C42="NON MAPPÉ","?",IF(I42&gt;=0,INDEX(Referentiel!$C$5:$C$193,MATCH($C42,Referentiel!$A$5:$A$193,0)),INDEX(Referentiel!$D$5:$D$193,MATCH($C42,Referentiel!$A$5:$A$193,0)))))</f>
      </c>
      <c r="K42" s="0">
        <f>IF($E42&lt;&gt;"",$E42,IF($C42="NON MAPPÉ","?",IF(I42&gt;=0,INDEX(Referentiel!$E$5:$E$193,MATCH($C42,Referentiel!$A$5:$A$193,0)),INDEX(Referentiel!$F$5:$F$193,MATCH($C42,Referentiel!$A$5:$A$193,0)))))</f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xSplit="4" ySplit="4" topLeftCell="E5" activePane="bottomRight" state="frozen"/>
    </sheetView>
  </sheetViews>
  <sheetFormatPr defaultRowHeight="12.75"/>
  <cols>
    <col min="1" max="1" width="22" customWidth="1"/>
    <col min="2" max="2" width="12" customWidth="1"/>
    <col min="3" max="3" width="14" customWidth="1"/>
    <col min="4" max="4" width="30" customWidth="1"/>
    <col min="5" max="5" width="13" customWidth="1"/>
    <col min="6" max="6" width="13" customWidth="1"/>
  </cols>
  <sheetData>
    <row r="1">
      <c r="A1" s="1" t="inlineStr">
        <is>
          <t xml:space="preserve">Soldes par tiers des comptes collectifs</t>
        </is>
      </c>
    </row>
    <row r="2">
      <c r="A2" s="2" t="inlineStr">
        <is>
          <t xml:space="preserve">Sert à séparer, comme la liasse, les soldes débiteurs et créditeurs des tiers (ex. clients créditeurs classés en autres dettes).</t>
        </is>
      </c>
    </row>
    <row r="4">
      <c r="A4" s="3" t="inlineStr">
        <is>
          <t xml:space="preserve">Clé</t>
        </is>
      </c>
      <c r="B4" s="3" t="inlineStr">
        <is>
          <t xml:space="preserve">Compte</t>
        </is>
      </c>
      <c r="C4" s="3" t="inlineStr">
        <is>
          <t xml:space="preserve">Auxiliaire</t>
        </is>
      </c>
      <c r="D4" s="3" t="inlineStr">
        <is>
          <t xml:space="preserve">Tiers</t>
        </is>
      </c>
      <c r="E4" s="3" t="inlineStr">
        <is>
          <t xml:space="preserve">Solde 2024</t>
        </is>
      </c>
      <c r="F4" s="3" t="inlineStr">
        <is>
          <t xml:space="preserve">Solde 2025</t>
        </is>
      </c>
    </row>
    <row r="5">
      <c r="A5" s="7" t="inlineStr">
        <is>
          <t xml:space="preserve">401000|F001</t>
        </is>
      </c>
      <c r="B5" s="4" t="inlineStr">
        <is>
          <t xml:space="preserve">401000</t>
        </is>
      </c>
      <c r="C5" s="4" t="inlineStr">
        <is>
          <t xml:space="preserve">F001</t>
        </is>
      </c>
      <c r="D5" s="0" t="inlineStr">
        <is>
          <t xml:space="preserve">Scierie du Nord</t>
        </is>
      </c>
      <c r="E5" s="8">
        <f>SUMIFS(FEC_2024!$M:$M,FEC_2024!$R:$R,$A5)</f>
      </c>
      <c r="F5" s="8">
        <f>SUMIFS(FEC_2025!$M:$M,FEC_2025!$R:$R,$A5)</f>
      </c>
    </row>
    <row r="6">
      <c r="A6" s="7" t="inlineStr">
        <is>
          <t xml:space="preserve">401000|F002</t>
        </is>
      </c>
      <c r="B6" s="4" t="inlineStr">
        <is>
          <t xml:space="preserve">401000</t>
        </is>
      </c>
      <c r="C6" s="4" t="inlineStr">
        <is>
          <t xml:space="preserve">F002</t>
        </is>
      </c>
      <c r="D6" s="0" t="inlineStr">
        <is>
          <t xml:space="preserve">Quincaillerie Pro Est</t>
        </is>
      </c>
      <c r="E6" s="8">
        <f>SUMIFS(FEC_2024!$M:$M,FEC_2024!$R:$R,$A6)</f>
      </c>
      <c r="F6" s="8">
        <f>SUMIFS(FEC_2025!$M:$M,FEC_2025!$R:$R,$A6)</f>
      </c>
    </row>
    <row r="7">
      <c r="A7" s="7" t="inlineStr">
        <is>
          <t xml:space="preserve">401000|F003</t>
        </is>
      </c>
      <c r="B7" s="4" t="inlineStr">
        <is>
          <t xml:space="preserve">401000</t>
        </is>
      </c>
      <c r="C7" s="4" t="inlineStr">
        <is>
          <t xml:space="preserve">F003</t>
        </is>
      </c>
      <c r="D7" s="0" t="inlineStr">
        <is>
          <t xml:space="preserve">Vernis et Finitions</t>
        </is>
      </c>
      <c r="E7" s="8">
        <f>SUMIFS(FEC_2024!$M:$M,FEC_2024!$R:$R,$A7)</f>
      </c>
      <c r="F7" s="8">
        <f>SUMIFS(FEC_2025!$M:$M,FEC_2025!$R:$R,$A7)</f>
      </c>
    </row>
    <row r="8">
      <c r="A8" s="7" t="inlineStr">
        <is>
          <t xml:space="preserve">401000|F004</t>
        </is>
      </c>
      <c r="B8" s="4" t="inlineStr">
        <is>
          <t xml:space="preserve">401000</t>
        </is>
      </c>
      <c r="C8" s="4" t="inlineStr">
        <is>
          <t xml:space="preserve">F004</t>
        </is>
      </c>
      <c r="D8" s="0" t="inlineStr">
        <is>
          <t xml:space="preserve">SCI Les Halles</t>
        </is>
      </c>
      <c r="E8" s="8">
        <f>SUMIFS(FEC_2024!$M:$M,FEC_2024!$R:$R,$A8)</f>
      </c>
      <c r="F8" s="8">
        <f>SUMIFS(FEC_2025!$M:$M,FEC_2025!$R:$R,$A8)</f>
      </c>
    </row>
    <row r="9">
      <c r="A9" s="7" t="inlineStr">
        <is>
          <t xml:space="preserve">401000|F005</t>
        </is>
      </c>
      <c r="B9" s="4" t="inlineStr">
        <is>
          <t xml:space="preserve">401000</t>
        </is>
      </c>
      <c r="C9" s="4" t="inlineStr">
        <is>
          <t xml:space="preserve">F005</t>
        </is>
      </c>
      <c r="D9" s="0" t="inlineStr">
        <is>
          <t xml:space="preserve">Energie Plus</t>
        </is>
      </c>
      <c r="E9" s="8">
        <f>SUMIFS(FEC_2024!$M:$M,FEC_2024!$R:$R,$A9)</f>
      </c>
      <c r="F9" s="8">
        <f>SUMIFS(FEC_2025!$M:$M,FEC_2025!$R:$R,$A9)</f>
      </c>
    </row>
    <row r="10">
      <c r="A10" s="7" t="inlineStr">
        <is>
          <t xml:space="preserve">401000|F006</t>
        </is>
      </c>
      <c r="B10" s="4" t="inlineStr">
        <is>
          <t xml:space="preserve">401000</t>
        </is>
      </c>
      <c r="C10" s="4" t="inlineStr">
        <is>
          <t xml:space="preserve">F006</t>
        </is>
      </c>
      <c r="D10" s="0" t="inlineStr">
        <is>
          <t xml:space="preserve">Assurances Mutuelles Exemple</t>
        </is>
      </c>
      <c r="E10" s="8">
        <f>SUMIFS(FEC_2024!$M:$M,FEC_2024!$R:$R,$A10)</f>
      </c>
      <c r="F10" s="8">
        <f>SUMIFS(FEC_2025!$M:$M,FEC_2025!$R:$R,$A10)</f>
      </c>
    </row>
    <row r="11">
      <c r="A11" s="7" t="inlineStr">
        <is>
          <t xml:space="preserve">401000|F007</t>
        </is>
      </c>
      <c r="B11" s="4" t="inlineStr">
        <is>
          <t xml:space="preserve">401000</t>
        </is>
      </c>
      <c r="C11" s="4" t="inlineStr">
        <is>
          <t xml:space="preserve">F007</t>
        </is>
      </c>
      <c r="D11" s="0" t="inlineStr">
        <is>
          <t xml:space="preserve">Cabinet Comptable Exemple</t>
        </is>
      </c>
      <c r="E11" s="8">
        <f>SUMIFS(FEC_2024!$M:$M,FEC_2024!$R:$R,$A11)</f>
      </c>
      <c r="F11" s="8">
        <f>SUMIFS(FEC_2025!$M:$M,FEC_2025!$R:$R,$A11)</f>
      </c>
    </row>
    <row r="12">
      <c r="A12" s="7" t="inlineStr">
        <is>
          <t xml:space="preserve">401000|F008</t>
        </is>
      </c>
      <c r="B12" s="4" t="inlineStr">
        <is>
          <t xml:space="preserve">401000</t>
        </is>
      </c>
      <c r="C12" s="4" t="inlineStr">
        <is>
          <t xml:space="preserve">F008</t>
        </is>
      </c>
      <c r="D12" s="0" t="inlineStr">
        <is>
          <t xml:space="preserve">Telecom Pro</t>
        </is>
      </c>
      <c r="E12" s="8">
        <f>SUMIFS(FEC_2024!$M:$M,FEC_2024!$R:$R,$A12)</f>
      </c>
      <c r="F12" s="8">
        <f>SUMIFS(FEC_2025!$M:$M,FEC_2025!$R:$R,$A12)</f>
      </c>
    </row>
    <row r="13">
      <c r="A13" s="7" t="inlineStr">
        <is>
          <t xml:space="preserve">411000|C001</t>
        </is>
      </c>
      <c r="B13" s="4" t="inlineStr">
        <is>
          <t xml:space="preserve">411000</t>
        </is>
      </c>
      <c r="C13" s="4" t="inlineStr">
        <is>
          <t xml:space="preserve">C001</t>
        </is>
      </c>
      <c r="D13" s="0" t="inlineStr">
        <is>
          <t xml:space="preserve">Hotel Les Tilleuls</t>
        </is>
      </c>
      <c r="E13" s="8">
        <f>SUMIFS(FEC_2024!$M:$M,FEC_2024!$R:$R,$A13)</f>
      </c>
      <c r="F13" s="8">
        <f>SUMIFS(FEC_2025!$M:$M,FEC_2025!$R:$R,$A13)</f>
      </c>
    </row>
    <row r="14">
      <c r="A14" s="7" t="inlineStr">
        <is>
          <t xml:space="preserve">411000|C002</t>
        </is>
      </c>
      <c r="B14" s="4" t="inlineStr">
        <is>
          <t xml:space="preserve">411000</t>
        </is>
      </c>
      <c r="C14" s="4" t="inlineStr">
        <is>
          <t xml:space="preserve">C002</t>
        </is>
      </c>
      <c r="D14" s="0" t="inlineStr">
        <is>
          <t xml:space="preserve">Agence Mobilis</t>
        </is>
      </c>
      <c r="E14" s="8">
        <f>SUMIFS(FEC_2024!$M:$M,FEC_2024!$R:$R,$A14)</f>
      </c>
      <c r="F14" s="8">
        <f>SUMIFS(FEC_2025!$M:$M,FEC_2025!$R:$R,$A14)</f>
      </c>
    </row>
    <row r="15">
      <c r="A15" s="7" t="inlineStr">
        <is>
          <t xml:space="preserve">411000|C003</t>
        </is>
      </c>
      <c r="B15" s="4" t="inlineStr">
        <is>
          <t xml:space="preserve">411000</t>
        </is>
      </c>
      <c r="C15" s="4" t="inlineStr">
        <is>
          <t xml:space="preserve">C003</t>
        </is>
      </c>
      <c r="D15" s="0" t="inlineStr">
        <is>
          <t xml:space="preserve">Residence Bel Air</t>
        </is>
      </c>
      <c r="E15" s="8">
        <f>SUMIFS(FEC_2024!$M:$M,FEC_2024!$R:$R,$A15)</f>
      </c>
      <c r="F15" s="8">
        <f>SUMIFS(FEC_2025!$M:$M,FEC_2025!$R:$R,$A15)</f>
      </c>
    </row>
    <row r="16">
      <c r="A16" s="7" t="inlineStr">
        <is>
          <t xml:space="preserve">411000|C004</t>
        </is>
      </c>
      <c r="B16" s="4" t="inlineStr">
        <is>
          <t xml:space="preserve">411000</t>
        </is>
      </c>
      <c r="C16" s="4" t="inlineStr">
        <is>
          <t xml:space="preserve">C004</t>
        </is>
      </c>
      <c r="D16" s="0" t="inlineStr">
        <is>
          <t xml:space="preserve">Cabinet Varenne Associes</t>
        </is>
      </c>
      <c r="E16" s="8">
        <f>SUMIFS(FEC_2024!$M:$M,FEC_2024!$R:$R,$A16)</f>
      </c>
      <c r="F16" s="8">
        <f>SUMIFS(FEC_2025!$M:$M,FEC_2025!$R:$R,$A16)</f>
      </c>
    </row>
    <row r="17">
      <c r="A17" s="7" t="inlineStr">
        <is>
          <t xml:space="preserve">411000|C005</t>
        </is>
      </c>
      <c r="B17" s="4" t="inlineStr">
        <is>
          <t xml:space="preserve">411000</t>
        </is>
      </c>
      <c r="C17" s="4" t="inlineStr">
        <is>
          <t xml:space="preserve">C005</t>
        </is>
      </c>
      <c r="D17" s="0" t="inlineStr">
        <is>
          <t xml:space="preserve">Restaurant Le Comptoir</t>
        </is>
      </c>
      <c r="E17" s="8">
        <f>SUMIFS(FEC_2024!$M:$M,FEC_2024!$R:$R,$A17)</f>
      </c>
      <c r="F17" s="8">
        <f>SUMIFS(FEC_2025!$M:$M,FEC_2025!$R:$R,$A17)</f>
      </c>
    </row>
    <row r="18">
      <c r="A18" s="7" t="inlineStr">
        <is>
          <t xml:space="preserve">411000|C006</t>
        </is>
      </c>
      <c r="B18" s="4" t="inlineStr">
        <is>
          <t xml:space="preserve">411000</t>
        </is>
      </c>
      <c r="C18" s="4" t="inlineStr">
        <is>
          <t xml:space="preserve">C006</t>
        </is>
      </c>
      <c r="D18" s="0" t="inlineStr">
        <is>
          <t xml:space="preserve">Clinique du Parc</t>
        </is>
      </c>
      <c r="E18" s="8">
        <f>SUMIFS(FEC_2024!$M:$M,FEC_2024!$R:$R,$A18)</f>
      </c>
      <c r="F18" s="8">
        <f>SUMIFS(FEC_2025!$M:$M,FEC_2025!$R:$R,$A18)</f>
      </c>
    </row>
    <row r="19">
      <c r="A19" s="7" t="inlineStr">
        <is>
          <t xml:space="preserve">411000|C007</t>
        </is>
      </c>
      <c r="B19" s="4" t="inlineStr">
        <is>
          <t xml:space="preserve">411000</t>
        </is>
      </c>
      <c r="C19" s="4" t="inlineStr">
        <is>
          <t xml:space="preserve">C007</t>
        </is>
      </c>
      <c r="D19" s="0" t="inlineStr">
        <is>
          <t xml:space="preserve">Boutique Hetre et Chene</t>
        </is>
      </c>
      <c r="E19" s="8">
        <f>SUMIFS(FEC_2024!$M:$M,FEC_2024!$R:$R,$A19)</f>
      </c>
      <c r="F19" s="8">
        <f>SUMIFS(FEC_2025!$M:$M,FEC_2025!$R:$R,$A19)</f>
      </c>
    </row>
    <row r="20">
      <c r="A20" s="7" t="inlineStr">
        <is>
          <t xml:space="preserve">411000|C008</t>
        </is>
      </c>
      <c r="B20" s="4" t="inlineStr">
        <is>
          <t xml:space="preserve">411000</t>
        </is>
      </c>
      <c r="C20" s="4" t="inlineStr">
        <is>
          <t xml:space="preserve">C008</t>
        </is>
      </c>
      <c r="D20" s="0" t="inlineStr">
        <is>
          <t xml:space="preserve">Coworking Atelier 9</t>
        </is>
      </c>
      <c r="E20" s="8">
        <f>SUMIFS(FEC_2024!$M:$M,FEC_2024!$R:$R,$A20)</f>
      </c>
      <c r="F20" s="8">
        <f>SUMIFS(FEC_2025!$M:$M,FEC_2025!$R:$R,$A20)</f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2.75"/>
  <cols>
    <col min="1" max="1" width="9" customWidth="1"/>
    <col min="2" max="2" width="50" customWidth="1"/>
    <col min="3" max="3" width="12" customWidth="1"/>
    <col min="4" max="4" width="12" customWidth="1"/>
    <col min="5" max="5" width="22" customWidth="1"/>
    <col min="6" max="6" width="22" customWidth="1"/>
    <col min="8" max="8" width="11" customWidth="1"/>
    <col min="9" max="9" width="11" customWidth="1"/>
  </cols>
  <sheetData>
    <row r="1">
      <c r="A1" s="1" t="inlineStr">
        <is>
          <t xml:space="preserve">Référentiel de mapping Vestis</t>
        </is>
      </c>
    </row>
    <row r="2">
      <c r="A2" s="2" t="inlineStr">
        <is>
          <t xml:space="preserve">Racine la plus longue retenue (4, 3 puis 2 caractères). Colonnes C à F modifiables : toute modification se répercute dans le classeur.</t>
        </is>
      </c>
      <c r="H2" s="2" t="inlineStr">
        <is>
          <t xml:space="preserve">Régime simplifié : correspondance des postes 2050-2053 vers les cases 2033-A et 2033-B.</t>
        </is>
      </c>
    </row>
    <row r="4">
      <c r="A4" s="3" t="inlineStr">
        <is>
          <t xml:space="preserve">Racine</t>
        </is>
      </c>
      <c r="B4" s="3" t="inlineStr">
        <is>
          <t xml:space="preserve">Libellé</t>
        </is>
      </c>
      <c r="C4" s="3" t="inlineStr">
        <is>
          <t xml:space="preserve">Poste liasse si débiteur</t>
        </is>
      </c>
      <c r="D4" s="3" t="inlineStr">
        <is>
          <t xml:space="preserve">Poste liasse si créditeur</t>
        </is>
      </c>
      <c r="E4" s="3" t="inlineStr">
        <is>
          <t xml:space="preserve">Agrégat Vestis si débiteur</t>
        </is>
      </c>
      <c r="F4" s="3" t="inlineStr">
        <is>
          <t xml:space="preserve">Agrégat Vestis si créditeur</t>
        </is>
      </c>
      <c r="H4" s="3" t="inlineStr">
        <is>
          <t xml:space="preserve">Poste 2050</t>
        </is>
      </c>
      <c r="I4" s="3" t="inlineStr">
        <is>
          <t xml:space="preserve">Case 2033</t>
        </is>
      </c>
    </row>
    <row r="5">
      <c r="A5" s="4" t="inlineStr">
        <is>
          <t xml:space="preserve">101</t>
        </is>
      </c>
      <c r="B5" s="0" t="inlineStr">
        <is>
          <t xml:space="preserve">Capital</t>
        </is>
      </c>
      <c r="C5" s="5" t="inlineStr">
        <is>
          <t xml:space="preserve">DA</t>
        </is>
      </c>
      <c r="D5" s="5" t="inlineStr">
        <is>
          <t xml:space="preserve">DA</t>
        </is>
      </c>
      <c r="E5" s="5" t="inlineStr">
        <is>
          <t xml:space="preserve">CAPITAUX_PROPRES</t>
        </is>
      </c>
      <c r="F5" s="5" t="inlineStr">
        <is>
          <t xml:space="preserve">CAPITAUX_PROPRES</t>
        </is>
      </c>
      <c r="H5" s="0" t="inlineStr">
        <is>
          <t xml:space="preserve">AH</t>
        </is>
      </c>
      <c r="I5" s="6" t="inlineStr">
        <is>
          <t xml:space="preserve">010</t>
        </is>
      </c>
    </row>
    <row r="6">
      <c r="A6" s="4" t="inlineStr">
        <is>
          <t xml:space="preserve">104</t>
        </is>
      </c>
      <c r="B6" s="0" t="inlineStr">
        <is>
          <t xml:space="preserve">Primes d'émission</t>
        </is>
      </c>
      <c r="C6" s="5" t="inlineStr">
        <is>
          <t xml:space="preserve">DB</t>
        </is>
      </c>
      <c r="D6" s="5" t="inlineStr">
        <is>
          <t xml:space="preserve">DB</t>
        </is>
      </c>
      <c r="E6" s="5" t="inlineStr">
        <is>
          <t xml:space="preserve">CAPITAUX_PROPRES</t>
        </is>
      </c>
      <c r="F6" s="5" t="inlineStr">
        <is>
          <t xml:space="preserve">CAPITAUX_PROPRES</t>
        </is>
      </c>
      <c r="H6" s="0" t="inlineStr">
        <is>
          <t xml:space="preserve">AB</t>
        </is>
      </c>
      <c r="I6" s="6" t="inlineStr">
        <is>
          <t xml:space="preserve">014</t>
        </is>
      </c>
    </row>
    <row r="7">
      <c r="A7" s="4" t="inlineStr">
        <is>
          <t xml:space="preserve">105</t>
        </is>
      </c>
      <c r="B7" s="0" t="inlineStr">
        <is>
          <t xml:space="preserve">Écarts de réévaluation</t>
        </is>
      </c>
      <c r="C7" s="5" t="inlineStr">
        <is>
          <t xml:space="preserve">DC</t>
        </is>
      </c>
      <c r="D7" s="5" t="inlineStr">
        <is>
          <t xml:space="preserve">DC</t>
        </is>
      </c>
      <c r="E7" s="5" t="inlineStr">
        <is>
          <t xml:space="preserve">CAPITAUX_PROPRES</t>
        </is>
      </c>
      <c r="F7" s="5" t="inlineStr">
        <is>
          <t xml:space="preserve">CAPITAUX_PROPRES</t>
        </is>
      </c>
      <c r="H7" s="0" t="inlineStr">
        <is>
          <t xml:space="preserve">CX</t>
        </is>
      </c>
      <c r="I7" s="6" t="inlineStr">
        <is>
          <t xml:space="preserve">014</t>
        </is>
      </c>
    </row>
    <row r="8">
      <c r="A8" s="4" t="inlineStr">
        <is>
          <t xml:space="preserve">1061</t>
        </is>
      </c>
      <c r="B8" s="0" t="inlineStr">
        <is>
          <t xml:space="preserve">Réserve légale</t>
        </is>
      </c>
      <c r="C8" s="5" t="inlineStr">
        <is>
          <t xml:space="preserve">DD</t>
        </is>
      </c>
      <c r="D8" s="5" t="inlineStr">
        <is>
          <t xml:space="preserve">DD</t>
        </is>
      </c>
      <c r="E8" s="5" t="inlineStr">
        <is>
          <t xml:space="preserve">CAPITAUX_PROPRES</t>
        </is>
      </c>
      <c r="F8" s="5" t="inlineStr">
        <is>
          <t xml:space="preserve">CAPITAUX_PROPRES</t>
        </is>
      </c>
      <c r="H8" s="0" t="inlineStr">
        <is>
          <t xml:space="preserve">AF</t>
        </is>
      </c>
      <c r="I8" s="6" t="inlineStr">
        <is>
          <t xml:space="preserve">014</t>
        </is>
      </c>
    </row>
    <row r="9">
      <c r="A9" s="4" t="inlineStr">
        <is>
          <t xml:space="preserve">1062</t>
        </is>
      </c>
      <c r="B9" s="0" t="inlineStr">
        <is>
          <t xml:space="preserve">Réserves indisponibles</t>
        </is>
      </c>
      <c r="C9" s="5" t="inlineStr">
        <is>
          <t xml:space="preserve">DG</t>
        </is>
      </c>
      <c r="D9" s="5" t="inlineStr">
        <is>
          <t xml:space="preserve">DG</t>
        </is>
      </c>
      <c r="E9" s="5" t="inlineStr">
        <is>
          <t xml:space="preserve">CAPITAUX_PROPRES</t>
        </is>
      </c>
      <c r="F9" s="5" t="inlineStr">
        <is>
          <t xml:space="preserve">CAPITAUX_PROPRES</t>
        </is>
      </c>
      <c r="H9" s="0" t="inlineStr">
        <is>
          <t xml:space="preserve">AJ</t>
        </is>
      </c>
      <c r="I9" s="6" t="inlineStr">
        <is>
          <t xml:space="preserve">014</t>
        </is>
      </c>
    </row>
    <row r="10">
      <c r="A10" s="4" t="inlineStr">
        <is>
          <t xml:space="preserve">1063</t>
        </is>
      </c>
      <c r="B10" s="0" t="inlineStr">
        <is>
          <t xml:space="preserve">Réserves statutaires</t>
        </is>
      </c>
      <c r="C10" s="5" t="inlineStr">
        <is>
          <t xml:space="preserve">DE</t>
        </is>
      </c>
      <c r="D10" s="5" t="inlineStr">
        <is>
          <t xml:space="preserve">DE</t>
        </is>
      </c>
      <c r="E10" s="5" t="inlineStr">
        <is>
          <t xml:space="preserve">CAPITAUX_PROPRES</t>
        </is>
      </c>
      <c r="F10" s="5" t="inlineStr">
        <is>
          <t xml:space="preserve">CAPITAUX_PROPRES</t>
        </is>
      </c>
      <c r="H10" s="0" t="inlineStr">
        <is>
          <t xml:space="preserve">AL</t>
        </is>
      </c>
      <c r="I10" s="6" t="inlineStr">
        <is>
          <t xml:space="preserve">014</t>
        </is>
      </c>
    </row>
    <row r="11">
      <c r="A11" s="4" t="inlineStr">
        <is>
          <t xml:space="preserve">1064</t>
        </is>
      </c>
      <c r="B11" s="0" t="inlineStr">
        <is>
          <t xml:space="preserve">Réserves réglementées</t>
        </is>
      </c>
      <c r="C11" s="5" t="inlineStr">
        <is>
          <t xml:space="preserve">DF</t>
        </is>
      </c>
      <c r="D11" s="5" t="inlineStr">
        <is>
          <t xml:space="preserve">DF</t>
        </is>
      </c>
      <c r="E11" s="5" t="inlineStr">
        <is>
          <t xml:space="preserve">CAPITAUX_PROPRES</t>
        </is>
      </c>
      <c r="F11" s="5" t="inlineStr">
        <is>
          <t xml:space="preserve">CAPITAUX_PROPRES</t>
        </is>
      </c>
      <c r="H11" s="0" t="inlineStr">
        <is>
          <t xml:space="preserve">AI</t>
        </is>
      </c>
      <c r="I11" s="6" t="inlineStr">
        <is>
          <t xml:space="preserve">012</t>
        </is>
      </c>
    </row>
    <row r="12">
      <c r="A12" s="4" t="inlineStr">
        <is>
          <t xml:space="preserve">1068</t>
        </is>
      </c>
      <c r="B12" s="0" t="inlineStr">
        <is>
          <t xml:space="preserve">Autres réserves</t>
        </is>
      </c>
      <c r="C12" s="5" t="inlineStr">
        <is>
          <t xml:space="preserve">DG</t>
        </is>
      </c>
      <c r="D12" s="5" t="inlineStr">
        <is>
          <t xml:space="preserve">DG</t>
        </is>
      </c>
      <c r="E12" s="5" t="inlineStr">
        <is>
          <t xml:space="preserve">CAPITAUX_PROPRES</t>
        </is>
      </c>
      <c r="F12" s="5" t="inlineStr">
        <is>
          <t xml:space="preserve">CAPITAUX_PROPRES</t>
        </is>
      </c>
      <c r="H12" s="0" t="inlineStr">
        <is>
          <t xml:space="preserve">AC</t>
        </is>
      </c>
      <c r="I12" s="6" t="inlineStr">
        <is>
          <t xml:space="preserve">016</t>
        </is>
      </c>
    </row>
    <row r="13">
      <c r="A13" s="4" t="inlineStr">
        <is>
          <t xml:space="preserve">11</t>
        </is>
      </c>
      <c r="B13" s="0" t="inlineStr">
        <is>
          <t xml:space="preserve">Report à nouveau</t>
        </is>
      </c>
      <c r="C13" s="5" t="inlineStr">
        <is>
          <t xml:space="preserve">DH</t>
        </is>
      </c>
      <c r="D13" s="5" t="inlineStr">
        <is>
          <t xml:space="preserve">DH</t>
        </is>
      </c>
      <c r="E13" s="5" t="inlineStr">
        <is>
          <t xml:space="preserve">CAPITAUX_PROPRES</t>
        </is>
      </c>
      <c r="F13" s="5" t="inlineStr">
        <is>
          <t xml:space="preserve">CAPITAUX_PROPRES</t>
        </is>
      </c>
      <c r="H13" s="0" t="inlineStr">
        <is>
          <t xml:space="preserve">CQ</t>
        </is>
      </c>
      <c r="I13" s="6" t="inlineStr">
        <is>
          <t xml:space="preserve">016</t>
        </is>
      </c>
    </row>
    <row r="14">
      <c r="A14" s="4" t="inlineStr">
        <is>
          <t xml:space="preserve">12</t>
        </is>
      </c>
      <c r="B14" s="0" t="inlineStr">
        <is>
          <t xml:space="preserve">Résultat de l'exercice (si présent)</t>
        </is>
      </c>
      <c r="C14" s="5" t="inlineStr">
        <is>
          <t xml:space="preserve">DI</t>
        </is>
      </c>
      <c r="D14" s="5" t="inlineStr">
        <is>
          <t xml:space="preserve">DI</t>
        </is>
      </c>
      <c r="E14" s="5" t="inlineStr">
        <is>
          <t xml:space="preserve">CAPITAUX_PROPRES</t>
        </is>
      </c>
      <c r="F14" s="5" t="inlineStr">
        <is>
          <t xml:space="preserve">CAPITAUX_PROPRES</t>
        </is>
      </c>
      <c r="H14" s="0" t="inlineStr">
        <is>
          <t xml:space="preserve">AG</t>
        </is>
      </c>
      <c r="I14" s="6" t="inlineStr">
        <is>
          <t xml:space="preserve">016</t>
        </is>
      </c>
    </row>
    <row r="15">
      <c r="A15" s="4" t="inlineStr">
        <is>
          <t xml:space="preserve">13</t>
        </is>
      </c>
      <c r="B15" s="0" t="inlineStr">
        <is>
          <t xml:space="preserve">Subventions d'investissement</t>
        </is>
      </c>
      <c r="C15" s="5" t="inlineStr">
        <is>
          <t xml:space="preserve">DJ</t>
        </is>
      </c>
      <c r="D15" s="5" t="inlineStr">
        <is>
          <t xml:space="preserve">DJ</t>
        </is>
      </c>
      <c r="E15" s="5" t="inlineStr">
        <is>
          <t xml:space="preserve">CAPITAUX_PROPRES</t>
        </is>
      </c>
      <c r="F15" s="5" t="inlineStr">
        <is>
          <t xml:space="preserve">CAPITAUX_PROPRES</t>
        </is>
      </c>
      <c r="H15" s="0" t="inlineStr">
        <is>
          <t xml:space="preserve">AK</t>
        </is>
      </c>
      <c r="I15" s="6" t="inlineStr">
        <is>
          <t xml:space="preserve">016</t>
        </is>
      </c>
    </row>
    <row r="16">
      <c r="A16" s="4" t="inlineStr">
        <is>
          <t xml:space="preserve">14</t>
        </is>
      </c>
      <c r="B16" s="0" t="inlineStr">
        <is>
          <t xml:space="preserve">Provisions réglementées</t>
        </is>
      </c>
      <c r="C16" s="5" t="inlineStr">
        <is>
          <t xml:space="preserve">DK</t>
        </is>
      </c>
      <c r="D16" s="5" t="inlineStr">
        <is>
          <t xml:space="preserve">DK</t>
        </is>
      </c>
      <c r="E16" s="5" t="inlineStr">
        <is>
          <t xml:space="preserve">CAPITAUX_PROPRES</t>
        </is>
      </c>
      <c r="F16" s="5" t="inlineStr">
        <is>
          <t xml:space="preserve">CAPITAUX_PROPRES</t>
        </is>
      </c>
      <c r="H16" s="0" t="inlineStr">
        <is>
          <t xml:space="preserve">AN</t>
        </is>
      </c>
      <c r="I16" s="6" t="inlineStr">
        <is>
          <t xml:space="preserve">028</t>
        </is>
      </c>
    </row>
    <row r="17">
      <c r="A17" s="4" t="inlineStr">
        <is>
          <t xml:space="preserve">15</t>
        </is>
      </c>
      <c r="B17" s="0" t="inlineStr">
        <is>
          <t xml:space="preserve">Provisions pour charges</t>
        </is>
      </c>
      <c r="C17" s="5" t="inlineStr">
        <is>
          <t xml:space="preserve">DQ</t>
        </is>
      </c>
      <c r="D17" s="5" t="inlineStr">
        <is>
          <t xml:space="preserve">DQ</t>
        </is>
      </c>
      <c r="E17" s="5" t="inlineStr">
        <is>
          <t xml:space="preserve">PROVISIONS</t>
        </is>
      </c>
      <c r="F17" s="5" t="inlineStr">
        <is>
          <t xml:space="preserve">PROVISIONS</t>
        </is>
      </c>
      <c r="H17" s="0" t="inlineStr">
        <is>
          <t xml:space="preserve">AP</t>
        </is>
      </c>
      <c r="I17" s="6" t="inlineStr">
        <is>
          <t xml:space="preserve">028</t>
        </is>
      </c>
    </row>
    <row r="18">
      <c r="A18" s="4" t="inlineStr">
        <is>
          <t xml:space="preserve">151</t>
        </is>
      </c>
      <c r="B18" s="0" t="inlineStr">
        <is>
          <t xml:space="preserve">Provisions pour risques</t>
        </is>
      </c>
      <c r="C18" s="5" t="inlineStr">
        <is>
          <t xml:space="preserve">DP</t>
        </is>
      </c>
      <c r="D18" s="5" t="inlineStr">
        <is>
          <t xml:space="preserve">DP</t>
        </is>
      </c>
      <c r="E18" s="5" t="inlineStr">
        <is>
          <t xml:space="preserve">PROVISIONS</t>
        </is>
      </c>
      <c r="F18" s="5" t="inlineStr">
        <is>
          <t xml:space="preserve">PROVISIONS</t>
        </is>
      </c>
      <c r="H18" s="0" t="inlineStr">
        <is>
          <t xml:space="preserve">AR</t>
        </is>
      </c>
      <c r="I18" s="6" t="inlineStr">
        <is>
          <t xml:space="preserve">028</t>
        </is>
      </c>
    </row>
    <row r="19">
      <c r="A19" s="4" t="inlineStr">
        <is>
          <t xml:space="preserve">161</t>
        </is>
      </c>
      <c r="B19" s="0" t="inlineStr">
        <is>
          <t xml:space="preserve">Emprunts obligataires convertibles</t>
        </is>
      </c>
      <c r="C19" s="5" t="inlineStr">
        <is>
          <t xml:space="preserve">DS</t>
        </is>
      </c>
      <c r="D19" s="5" t="inlineStr">
        <is>
          <t xml:space="preserve">DS</t>
        </is>
      </c>
      <c r="E19" s="5" t="inlineStr">
        <is>
          <t xml:space="preserve">EMPRUNTS</t>
        </is>
      </c>
      <c r="F19" s="5" t="inlineStr">
        <is>
          <t xml:space="preserve">EMPRUNTS</t>
        </is>
      </c>
      <c r="H19" s="0" t="inlineStr">
        <is>
          <t xml:space="preserve">AT</t>
        </is>
      </c>
      <c r="I19" s="6" t="inlineStr">
        <is>
          <t xml:space="preserve">028</t>
        </is>
      </c>
    </row>
    <row r="20">
      <c r="A20" s="4" t="inlineStr">
        <is>
          <t xml:space="preserve">163</t>
        </is>
      </c>
      <c r="B20" s="0" t="inlineStr">
        <is>
          <t xml:space="preserve">Autres emprunts obligataires</t>
        </is>
      </c>
      <c r="C20" s="5" t="inlineStr">
        <is>
          <t xml:space="preserve">DT</t>
        </is>
      </c>
      <c r="D20" s="5" t="inlineStr">
        <is>
          <t xml:space="preserve">DT</t>
        </is>
      </c>
      <c r="E20" s="5" t="inlineStr">
        <is>
          <t xml:space="preserve">EMPRUNTS</t>
        </is>
      </c>
      <c r="F20" s="5" t="inlineStr">
        <is>
          <t xml:space="preserve">EMPRUNTS</t>
        </is>
      </c>
      <c r="H20" s="0" t="inlineStr">
        <is>
          <t xml:space="preserve">AV</t>
        </is>
      </c>
      <c r="I20" s="6" t="inlineStr">
        <is>
          <t xml:space="preserve">028</t>
        </is>
      </c>
    </row>
    <row r="21">
      <c r="A21" s="4" t="inlineStr">
        <is>
          <t xml:space="preserve">164</t>
        </is>
      </c>
      <c r="B21" s="0" t="inlineStr">
        <is>
          <t xml:space="preserve">Emprunts auprès des établissements de crédit</t>
        </is>
      </c>
      <c r="C21" s="5" t="inlineStr">
        <is>
          <t xml:space="preserve">DU</t>
        </is>
      </c>
      <c r="D21" s="5" t="inlineStr">
        <is>
          <t xml:space="preserve">DU</t>
        </is>
      </c>
      <c r="E21" s="5" t="inlineStr">
        <is>
          <t xml:space="preserve">EMPRUNTS</t>
        </is>
      </c>
      <c r="F21" s="5" t="inlineStr">
        <is>
          <t xml:space="preserve">EMPRUNTS</t>
        </is>
      </c>
      <c r="H21" s="0" t="inlineStr">
        <is>
          <t xml:space="preserve">AX</t>
        </is>
      </c>
      <c r="I21" s="6" t="inlineStr">
        <is>
          <t xml:space="preserve">028</t>
        </is>
      </c>
    </row>
    <row r="22">
      <c r="A22" s="4" t="inlineStr">
        <is>
          <t xml:space="preserve">165</t>
        </is>
      </c>
      <c r="B22" s="0" t="inlineStr">
        <is>
          <t xml:space="preserve">Dépôts et cautionnements reçus</t>
        </is>
      </c>
      <c r="C22" s="5" t="inlineStr">
        <is>
          <t xml:space="preserve">DV</t>
        </is>
      </c>
      <c r="D22" s="5" t="inlineStr">
        <is>
          <t xml:space="preserve">DV</t>
        </is>
      </c>
      <c r="E22" s="5" t="inlineStr">
        <is>
          <t xml:space="preserve">AUTRES_DETTES</t>
        </is>
      </c>
      <c r="F22" s="5" t="inlineStr">
        <is>
          <t xml:space="preserve">AUTRES_DETTES</t>
        </is>
      </c>
      <c r="H22" s="0" t="inlineStr">
        <is>
          <t xml:space="preserve">AO</t>
        </is>
      </c>
      <c r="I22" s="6" t="inlineStr">
        <is>
          <t xml:space="preserve">030</t>
        </is>
      </c>
    </row>
    <row r="23">
      <c r="A23" s="4" t="inlineStr">
        <is>
          <t xml:space="preserve">166</t>
        </is>
      </c>
      <c r="B23" s="0" t="inlineStr">
        <is>
          <t xml:space="preserve">Participation des salariés</t>
        </is>
      </c>
      <c r="C23" s="5" t="inlineStr">
        <is>
          <t xml:space="preserve">DV</t>
        </is>
      </c>
      <c r="D23" s="5" t="inlineStr">
        <is>
          <t xml:space="preserve">DV</t>
        </is>
      </c>
      <c r="E23" s="5" t="inlineStr">
        <is>
          <t xml:space="preserve">AUTRES_DETTES</t>
        </is>
      </c>
      <c r="F23" s="5" t="inlineStr">
        <is>
          <t xml:space="preserve">AUTRES_DETTES</t>
        </is>
      </c>
      <c r="H23" s="0" t="inlineStr">
        <is>
          <t xml:space="preserve">AQ</t>
        </is>
      </c>
      <c r="I23" s="6" t="inlineStr">
        <is>
          <t xml:space="preserve">030</t>
        </is>
      </c>
    </row>
    <row r="24">
      <c r="A24" s="4" t="inlineStr">
        <is>
          <t xml:space="preserve">167</t>
        </is>
      </c>
      <c r="B24" s="0" t="inlineStr">
        <is>
          <t xml:space="preserve">Emprunts assortis de conditions particulières</t>
        </is>
      </c>
      <c r="C24" s="5" t="inlineStr">
        <is>
          <t xml:space="preserve">DV</t>
        </is>
      </c>
      <c r="D24" s="5" t="inlineStr">
        <is>
          <t xml:space="preserve">DV</t>
        </is>
      </c>
      <c r="E24" s="5" t="inlineStr">
        <is>
          <t xml:space="preserve">EMPRUNTS</t>
        </is>
      </c>
      <c r="F24" s="5" t="inlineStr">
        <is>
          <t xml:space="preserve">EMPRUNTS</t>
        </is>
      </c>
      <c r="H24" s="0" t="inlineStr">
        <is>
          <t xml:space="preserve">AS</t>
        </is>
      </c>
      <c r="I24" s="6" t="inlineStr">
        <is>
          <t xml:space="preserve">030</t>
        </is>
      </c>
    </row>
    <row r="25">
      <c r="A25" s="4" t="inlineStr">
        <is>
          <t xml:space="preserve">168</t>
        </is>
      </c>
      <c r="B25" s="0" t="inlineStr">
        <is>
          <t xml:space="preserve">Autres emprunts et dettes assimilées</t>
        </is>
      </c>
      <c r="C25" s="5" t="inlineStr">
        <is>
          <t xml:space="preserve">DV</t>
        </is>
      </c>
      <c r="D25" s="5" t="inlineStr">
        <is>
          <t xml:space="preserve">DV</t>
        </is>
      </c>
      <c r="E25" s="5" t="inlineStr">
        <is>
          <t xml:space="preserve">EMPRUNTS</t>
        </is>
      </c>
      <c r="F25" s="5" t="inlineStr">
        <is>
          <t xml:space="preserve">EMPRUNTS</t>
        </is>
      </c>
      <c r="H25" s="0" t="inlineStr">
        <is>
          <t xml:space="preserve">AU</t>
        </is>
      </c>
      <c r="I25" s="6" t="inlineStr">
        <is>
          <t xml:space="preserve">030</t>
        </is>
      </c>
    </row>
    <row r="26">
      <c r="A26" s="4" t="inlineStr">
        <is>
          <t xml:space="preserve">1688</t>
        </is>
      </c>
      <c r="B26" s="0" t="inlineStr">
        <is>
          <t xml:space="preserve">Intérêts courus sur emprunts</t>
        </is>
      </c>
      <c r="C26" s="5" t="inlineStr">
        <is>
          <t xml:space="preserve">DU</t>
        </is>
      </c>
      <c r="D26" s="5" t="inlineStr">
        <is>
          <t xml:space="preserve">DU</t>
        </is>
      </c>
      <c r="E26" s="5" t="inlineStr">
        <is>
          <t xml:space="preserve">EMPRUNTS</t>
        </is>
      </c>
      <c r="F26" s="5" t="inlineStr">
        <is>
          <t xml:space="preserve">EMPRUNTS</t>
        </is>
      </c>
      <c r="H26" s="0" t="inlineStr">
        <is>
          <t xml:space="preserve">AW</t>
        </is>
      </c>
      <c r="I26" s="6" t="inlineStr">
        <is>
          <t xml:space="preserve">030</t>
        </is>
      </c>
    </row>
    <row r="27">
      <c r="A27" s="4" t="inlineStr">
        <is>
          <t xml:space="preserve">17</t>
        </is>
      </c>
      <c r="B27" s="0" t="inlineStr">
        <is>
          <t xml:space="preserve">Dettes rattachées à des participations</t>
        </is>
      </c>
      <c r="C27" s="5" t="inlineStr">
        <is>
          <t xml:space="preserve">DV</t>
        </is>
      </c>
      <c r="D27" s="5" t="inlineStr">
        <is>
          <t xml:space="preserve">DV</t>
        </is>
      </c>
      <c r="E27" s="5" t="inlineStr">
        <is>
          <t xml:space="preserve">EMPRUNTS</t>
        </is>
      </c>
      <c r="F27" s="5" t="inlineStr">
        <is>
          <t xml:space="preserve">EMPRUNTS</t>
        </is>
      </c>
      <c r="H27" s="0" t="inlineStr">
        <is>
          <t xml:space="preserve">CU</t>
        </is>
      </c>
      <c r="I27" s="6" t="inlineStr">
        <is>
          <t xml:space="preserve">040</t>
        </is>
      </c>
    </row>
    <row r="28">
      <c r="A28" s="4" t="inlineStr">
        <is>
          <t xml:space="preserve">201</t>
        </is>
      </c>
      <c r="B28" s="0" t="inlineStr">
        <is>
          <t xml:space="preserve">Frais d'établissement</t>
        </is>
      </c>
      <c r="C28" s="5" t="inlineStr">
        <is>
          <t xml:space="preserve">AB</t>
        </is>
      </c>
      <c r="D28" s="5" t="inlineStr">
        <is>
          <t xml:space="preserve">AB</t>
        </is>
      </c>
      <c r="E28" s="5" t="inlineStr">
        <is>
          <t xml:space="preserve">IMMO_INCORP</t>
        </is>
      </c>
      <c r="F28" s="5" t="inlineStr">
        <is>
          <t xml:space="preserve">IMMO_INCORP</t>
        </is>
      </c>
      <c r="H28" s="0" t="inlineStr">
        <is>
          <t xml:space="preserve">BB</t>
        </is>
      </c>
      <c r="I28" s="6" t="inlineStr">
        <is>
          <t xml:space="preserve">040</t>
        </is>
      </c>
    </row>
    <row r="29">
      <c r="A29" s="4" t="inlineStr">
        <is>
          <t xml:space="preserve">203</t>
        </is>
      </c>
      <c r="B29" s="0" t="inlineStr">
        <is>
          <t xml:space="preserve">Frais de développement</t>
        </is>
      </c>
      <c r="C29" s="5" t="inlineStr">
        <is>
          <t xml:space="preserve">CX</t>
        </is>
      </c>
      <c r="D29" s="5" t="inlineStr">
        <is>
          <t xml:space="preserve">CX</t>
        </is>
      </c>
      <c r="E29" s="5" t="inlineStr">
        <is>
          <t xml:space="preserve">IMMO_INCORP</t>
        </is>
      </c>
      <c r="F29" s="5" t="inlineStr">
        <is>
          <t xml:space="preserve">IMMO_INCORP</t>
        </is>
      </c>
      <c r="H29" s="0" t="inlineStr">
        <is>
          <t xml:space="preserve">BD</t>
        </is>
      </c>
      <c r="I29" s="6" t="inlineStr">
        <is>
          <t xml:space="preserve">040</t>
        </is>
      </c>
    </row>
    <row r="30">
      <c r="A30" s="4" t="inlineStr">
        <is>
          <t xml:space="preserve">205</t>
        </is>
      </c>
      <c r="B30" s="0" t="inlineStr">
        <is>
          <t xml:space="preserve">Concessions, brevets, logiciels</t>
        </is>
      </c>
      <c r="C30" s="5" t="inlineStr">
        <is>
          <t xml:space="preserve">AF</t>
        </is>
      </c>
      <c r="D30" s="5" t="inlineStr">
        <is>
          <t xml:space="preserve">AF</t>
        </is>
      </c>
      <c r="E30" s="5" t="inlineStr">
        <is>
          <t xml:space="preserve">IMMO_INCORP</t>
        </is>
      </c>
      <c r="F30" s="5" t="inlineStr">
        <is>
          <t xml:space="preserve">IMMO_INCORP</t>
        </is>
      </c>
      <c r="H30" s="0" t="inlineStr">
        <is>
          <t xml:space="preserve">BF</t>
        </is>
      </c>
      <c r="I30" s="6" t="inlineStr">
        <is>
          <t xml:space="preserve">040</t>
        </is>
      </c>
    </row>
    <row r="31">
      <c r="A31" s="4" t="inlineStr">
        <is>
          <t xml:space="preserve">206</t>
        </is>
      </c>
      <c r="B31" s="0" t="inlineStr">
        <is>
          <t xml:space="preserve">Droit au bail</t>
        </is>
      </c>
      <c r="C31" s="5" t="inlineStr">
        <is>
          <t xml:space="preserve">AH</t>
        </is>
      </c>
      <c r="D31" s="5" t="inlineStr">
        <is>
          <t xml:space="preserve">AH</t>
        </is>
      </c>
      <c r="E31" s="5" t="inlineStr">
        <is>
          <t xml:space="preserve">IMMO_INCORP</t>
        </is>
      </c>
      <c r="F31" s="5" t="inlineStr">
        <is>
          <t xml:space="preserve">IMMO_INCORP</t>
        </is>
      </c>
      <c r="H31" s="0" t="inlineStr">
        <is>
          <t xml:space="preserve">BH</t>
        </is>
      </c>
      <c r="I31" s="6" t="inlineStr">
        <is>
          <t xml:space="preserve">040</t>
        </is>
      </c>
    </row>
    <row r="32">
      <c r="A32" s="4" t="inlineStr">
        <is>
          <t xml:space="preserve">207</t>
        </is>
      </c>
      <c r="B32" s="0" t="inlineStr">
        <is>
          <t xml:space="preserve">Fonds commercial</t>
        </is>
      </c>
      <c r="C32" s="5" t="inlineStr">
        <is>
          <t xml:space="preserve">AH</t>
        </is>
      </c>
      <c r="D32" s="5" t="inlineStr">
        <is>
          <t xml:space="preserve">AH</t>
        </is>
      </c>
      <c r="E32" s="5" t="inlineStr">
        <is>
          <t xml:space="preserve">IMMO_INCORP</t>
        </is>
      </c>
      <c r="F32" s="5" t="inlineStr">
        <is>
          <t xml:space="preserve">IMMO_INCORP</t>
        </is>
      </c>
      <c r="H32" s="0" t="inlineStr">
        <is>
          <t xml:space="preserve">CV</t>
        </is>
      </c>
      <c r="I32" s="6" t="inlineStr">
        <is>
          <t xml:space="preserve">042</t>
        </is>
      </c>
    </row>
    <row r="33">
      <c r="A33" s="4" t="inlineStr">
        <is>
          <t xml:space="preserve">208</t>
        </is>
      </c>
      <c r="B33" s="0" t="inlineStr">
        <is>
          <t xml:space="preserve">Autres immobilisations incorporelles</t>
        </is>
      </c>
      <c r="C33" s="5" t="inlineStr">
        <is>
          <t xml:space="preserve">AJ</t>
        </is>
      </c>
      <c r="D33" s="5" t="inlineStr">
        <is>
          <t xml:space="preserve">AJ</t>
        </is>
      </c>
      <c r="E33" s="5" t="inlineStr">
        <is>
          <t xml:space="preserve">IMMO_INCORP</t>
        </is>
      </c>
      <c r="F33" s="5" t="inlineStr">
        <is>
          <t xml:space="preserve">IMMO_INCORP</t>
        </is>
      </c>
      <c r="H33" s="0" t="inlineStr">
        <is>
          <t xml:space="preserve">BI</t>
        </is>
      </c>
      <c r="I33" s="6" t="inlineStr">
        <is>
          <t xml:space="preserve">042</t>
        </is>
      </c>
    </row>
    <row r="34">
      <c r="A34" s="4" t="inlineStr">
        <is>
          <t xml:space="preserve">211</t>
        </is>
      </c>
      <c r="B34" s="0" t="inlineStr">
        <is>
          <t xml:space="preserve">Terrains</t>
        </is>
      </c>
      <c r="C34" s="5" t="inlineStr">
        <is>
          <t xml:space="preserve">AN</t>
        </is>
      </c>
      <c r="D34" s="5" t="inlineStr">
        <is>
          <t xml:space="preserve">AN</t>
        </is>
      </c>
      <c r="E34" s="5" t="inlineStr">
        <is>
          <t xml:space="preserve">IMMO_CORP</t>
        </is>
      </c>
      <c r="F34" s="5" t="inlineStr">
        <is>
          <t xml:space="preserve">IMMO_CORP</t>
        </is>
      </c>
      <c r="H34" s="0" t="inlineStr">
        <is>
          <t xml:space="preserve">BL</t>
        </is>
      </c>
      <c r="I34" s="6" t="inlineStr">
        <is>
          <t xml:space="preserve">050</t>
        </is>
      </c>
    </row>
    <row r="35">
      <c r="A35" s="4" t="inlineStr">
        <is>
          <t xml:space="preserve">212</t>
        </is>
      </c>
      <c r="B35" s="0" t="inlineStr">
        <is>
          <t xml:space="preserve">Agencements de terrains</t>
        </is>
      </c>
      <c r="C35" s="5" t="inlineStr">
        <is>
          <t xml:space="preserve">AN</t>
        </is>
      </c>
      <c r="D35" s="5" t="inlineStr">
        <is>
          <t xml:space="preserve">AN</t>
        </is>
      </c>
      <c r="E35" s="5" t="inlineStr">
        <is>
          <t xml:space="preserve">IMMO_CORP</t>
        </is>
      </c>
      <c r="F35" s="5" t="inlineStr">
        <is>
          <t xml:space="preserve">IMMO_CORP</t>
        </is>
      </c>
      <c r="H35" s="0" t="inlineStr">
        <is>
          <t xml:space="preserve">BN</t>
        </is>
      </c>
      <c r="I35" s="6" t="inlineStr">
        <is>
          <t xml:space="preserve">050</t>
        </is>
      </c>
    </row>
    <row r="36">
      <c r="A36" s="4" t="inlineStr">
        <is>
          <t xml:space="preserve">213</t>
        </is>
      </c>
      <c r="B36" s="0" t="inlineStr">
        <is>
          <t xml:space="preserve">Constructions</t>
        </is>
      </c>
      <c r="C36" s="5" t="inlineStr">
        <is>
          <t xml:space="preserve">AP</t>
        </is>
      </c>
      <c r="D36" s="5" t="inlineStr">
        <is>
          <t xml:space="preserve">AP</t>
        </is>
      </c>
      <c r="E36" s="5" t="inlineStr">
        <is>
          <t xml:space="preserve">IMMO_CORP</t>
        </is>
      </c>
      <c r="F36" s="5" t="inlineStr">
        <is>
          <t xml:space="preserve">IMMO_CORP</t>
        </is>
      </c>
      <c r="H36" s="0" t="inlineStr">
        <is>
          <t xml:space="preserve">BP</t>
        </is>
      </c>
      <c r="I36" s="6" t="inlineStr">
        <is>
          <t xml:space="preserve">050</t>
        </is>
      </c>
    </row>
    <row r="37">
      <c r="A37" s="4" t="inlineStr">
        <is>
          <t xml:space="preserve">214</t>
        </is>
      </c>
      <c r="B37" s="0" t="inlineStr">
        <is>
          <t xml:space="preserve">Constructions sur sol d'autrui</t>
        </is>
      </c>
      <c r="C37" s="5" t="inlineStr">
        <is>
          <t xml:space="preserve">AP</t>
        </is>
      </c>
      <c r="D37" s="5" t="inlineStr">
        <is>
          <t xml:space="preserve">AP</t>
        </is>
      </c>
      <c r="E37" s="5" t="inlineStr">
        <is>
          <t xml:space="preserve">IMMO_CORP</t>
        </is>
      </c>
      <c r="F37" s="5" t="inlineStr">
        <is>
          <t xml:space="preserve">IMMO_CORP</t>
        </is>
      </c>
      <c r="H37" s="0" t="inlineStr">
        <is>
          <t xml:space="preserve">BR</t>
        </is>
      </c>
      <c r="I37" s="6" t="inlineStr">
        <is>
          <t xml:space="preserve">050</t>
        </is>
      </c>
    </row>
    <row r="38">
      <c r="A38" s="4" t="inlineStr">
        <is>
          <t xml:space="preserve">215</t>
        </is>
      </c>
      <c r="B38" s="0" t="inlineStr">
        <is>
          <t xml:space="preserve">Installations techniques, matériel</t>
        </is>
      </c>
      <c r="C38" s="5" t="inlineStr">
        <is>
          <t xml:space="preserve">AR</t>
        </is>
      </c>
      <c r="D38" s="5" t="inlineStr">
        <is>
          <t xml:space="preserve">AR</t>
        </is>
      </c>
      <c r="E38" s="5" t="inlineStr">
        <is>
          <t xml:space="preserve">IMMO_CORP</t>
        </is>
      </c>
      <c r="F38" s="5" t="inlineStr">
        <is>
          <t xml:space="preserve">IMMO_CORP</t>
        </is>
      </c>
      <c r="H38" s="0" t="inlineStr">
        <is>
          <t xml:space="preserve">BM</t>
        </is>
      </c>
      <c r="I38" s="6" t="inlineStr">
        <is>
          <t xml:space="preserve">052</t>
        </is>
      </c>
    </row>
    <row r="39">
      <c r="A39" s="4" t="inlineStr">
        <is>
          <t xml:space="preserve">218</t>
        </is>
      </c>
      <c r="B39" s="0" t="inlineStr">
        <is>
          <t xml:space="preserve">Autres immobilisations corporelles</t>
        </is>
      </c>
      <c r="C39" s="5" t="inlineStr">
        <is>
          <t xml:space="preserve">AT</t>
        </is>
      </c>
      <c r="D39" s="5" t="inlineStr">
        <is>
          <t xml:space="preserve">AT</t>
        </is>
      </c>
      <c r="E39" s="5" t="inlineStr">
        <is>
          <t xml:space="preserve">IMMO_CORP</t>
        </is>
      </c>
      <c r="F39" s="5" t="inlineStr">
        <is>
          <t xml:space="preserve">IMMO_CORP</t>
        </is>
      </c>
      <c r="H39" s="0" t="inlineStr">
        <is>
          <t xml:space="preserve">BO</t>
        </is>
      </c>
      <c r="I39" s="6" t="inlineStr">
        <is>
          <t xml:space="preserve">052</t>
        </is>
      </c>
    </row>
    <row r="40">
      <c r="A40" s="4" t="inlineStr">
        <is>
          <t xml:space="preserve">231</t>
        </is>
      </c>
      <c r="B40" s="0" t="inlineStr">
        <is>
          <t xml:space="preserve">Immobilisations en cours</t>
        </is>
      </c>
      <c r="C40" s="5" t="inlineStr">
        <is>
          <t xml:space="preserve">AV</t>
        </is>
      </c>
      <c r="D40" s="5" t="inlineStr">
        <is>
          <t xml:space="preserve">AV</t>
        </is>
      </c>
      <c r="E40" s="5" t="inlineStr">
        <is>
          <t xml:space="preserve">IMMO_CORP</t>
        </is>
      </c>
      <c r="F40" s="5" t="inlineStr">
        <is>
          <t xml:space="preserve">IMMO_CORP</t>
        </is>
      </c>
      <c r="H40" s="0" t="inlineStr">
        <is>
          <t xml:space="preserve">BQ</t>
        </is>
      </c>
      <c r="I40" s="6" t="inlineStr">
        <is>
          <t xml:space="preserve">052</t>
        </is>
      </c>
    </row>
    <row r="41">
      <c r="A41" s="4" t="inlineStr">
        <is>
          <t xml:space="preserve">232</t>
        </is>
      </c>
      <c r="B41" s="0" t="inlineStr">
        <is>
          <t xml:space="preserve">Immobilisations incorporelles en cours</t>
        </is>
      </c>
      <c r="C41" s="5" t="inlineStr">
        <is>
          <t xml:space="preserve">AJ</t>
        </is>
      </c>
      <c r="D41" s="5" t="inlineStr">
        <is>
          <t xml:space="preserve">AJ</t>
        </is>
      </c>
      <c r="E41" s="5" t="inlineStr">
        <is>
          <t xml:space="preserve">IMMO_INCORP</t>
        </is>
      </c>
      <c r="F41" s="5" t="inlineStr">
        <is>
          <t xml:space="preserve">IMMO_INCORP</t>
        </is>
      </c>
      <c r="H41" s="0" t="inlineStr">
        <is>
          <t xml:space="preserve">BS</t>
        </is>
      </c>
      <c r="I41" s="6" t="inlineStr">
        <is>
          <t xml:space="preserve">052</t>
        </is>
      </c>
    </row>
    <row r="42">
      <c r="A42" s="4" t="inlineStr">
        <is>
          <t xml:space="preserve">237</t>
        </is>
      </c>
      <c r="B42" s="0" t="inlineStr">
        <is>
          <t xml:space="preserve">Avances sur immobilisations incorporelles</t>
        </is>
      </c>
      <c r="C42" s="5" t="inlineStr">
        <is>
          <t xml:space="preserve">AL</t>
        </is>
      </c>
      <c r="D42" s="5" t="inlineStr">
        <is>
          <t xml:space="preserve">AL</t>
        </is>
      </c>
      <c r="E42" s="5" t="inlineStr">
        <is>
          <t xml:space="preserve">IMMO_INCORP</t>
        </is>
      </c>
      <c r="F42" s="5" t="inlineStr">
        <is>
          <t xml:space="preserve">IMMO_INCORP</t>
        </is>
      </c>
      <c r="H42" s="0" t="inlineStr">
        <is>
          <t xml:space="preserve">BT</t>
        </is>
      </c>
      <c r="I42" s="6" t="inlineStr">
        <is>
          <t xml:space="preserve">060</t>
        </is>
      </c>
    </row>
    <row r="43">
      <c r="A43" s="4" t="inlineStr">
        <is>
          <t xml:space="preserve">238</t>
        </is>
      </c>
      <c r="B43" s="0" t="inlineStr">
        <is>
          <t xml:space="preserve">Avances et acomptes sur immobilisations</t>
        </is>
      </c>
      <c r="C43" s="5" t="inlineStr">
        <is>
          <t xml:space="preserve">AX</t>
        </is>
      </c>
      <c r="D43" s="5" t="inlineStr">
        <is>
          <t xml:space="preserve">AX</t>
        </is>
      </c>
      <c r="E43" s="5" t="inlineStr">
        <is>
          <t xml:space="preserve">IMMO_CORP</t>
        </is>
      </c>
      <c r="F43" s="5" t="inlineStr">
        <is>
          <t xml:space="preserve">IMMO_CORP</t>
        </is>
      </c>
      <c r="H43" s="0" t="inlineStr">
        <is>
          <t xml:space="preserve">BU</t>
        </is>
      </c>
      <c r="I43" s="6" t="inlineStr">
        <is>
          <t xml:space="preserve">062</t>
        </is>
      </c>
    </row>
    <row r="44">
      <c r="A44" s="4" t="inlineStr">
        <is>
          <t xml:space="preserve">261</t>
        </is>
      </c>
      <c r="B44" s="0" t="inlineStr">
        <is>
          <t xml:space="preserve">Titres de participation</t>
        </is>
      </c>
      <c r="C44" s="5" t="inlineStr">
        <is>
          <t xml:space="preserve">CU</t>
        </is>
      </c>
      <c r="D44" s="5" t="inlineStr">
        <is>
          <t xml:space="preserve">CU</t>
        </is>
      </c>
      <c r="E44" s="5" t="inlineStr">
        <is>
          <t xml:space="preserve">IMMO_FIN</t>
        </is>
      </c>
      <c r="F44" s="5" t="inlineStr">
        <is>
          <t xml:space="preserve">IMMO_FIN</t>
        </is>
      </c>
      <c r="H44" s="0" t="inlineStr">
        <is>
          <t xml:space="preserve">BV</t>
        </is>
      </c>
      <c r="I44" s="6" t="inlineStr">
        <is>
          <t xml:space="preserve">064</t>
        </is>
      </c>
    </row>
    <row r="45">
      <c r="A45" s="4" t="inlineStr">
        <is>
          <t xml:space="preserve">266</t>
        </is>
      </c>
      <c r="B45" s="0" t="inlineStr">
        <is>
          <t xml:space="preserve">Autres formes de participation</t>
        </is>
      </c>
      <c r="C45" s="5" t="inlineStr">
        <is>
          <t xml:space="preserve">CU</t>
        </is>
      </c>
      <c r="D45" s="5" t="inlineStr">
        <is>
          <t xml:space="preserve">CU</t>
        </is>
      </c>
      <c r="E45" s="5" t="inlineStr">
        <is>
          <t xml:space="preserve">IMMO_FIN</t>
        </is>
      </c>
      <c r="F45" s="5" t="inlineStr">
        <is>
          <t xml:space="preserve">IMMO_FIN</t>
        </is>
      </c>
      <c r="H45" s="0" t="inlineStr">
        <is>
          <t xml:space="preserve">BX</t>
        </is>
      </c>
      <c r="I45" s="6" t="inlineStr">
        <is>
          <t xml:space="preserve">068</t>
        </is>
      </c>
    </row>
    <row r="46">
      <c r="A46" s="4" t="inlineStr">
        <is>
          <t xml:space="preserve">267</t>
        </is>
      </c>
      <c r="B46" s="0" t="inlineStr">
        <is>
          <t xml:space="preserve">Créances rattachées à des participations</t>
        </is>
      </c>
      <c r="C46" s="5" t="inlineStr">
        <is>
          <t xml:space="preserve">BB</t>
        </is>
      </c>
      <c r="D46" s="5" t="inlineStr">
        <is>
          <t xml:space="preserve">BB</t>
        </is>
      </c>
      <c r="E46" s="5" t="inlineStr">
        <is>
          <t xml:space="preserve">IMMO_FIN</t>
        </is>
      </c>
      <c r="F46" s="5" t="inlineStr">
        <is>
          <t xml:space="preserve">IMMO_FIN</t>
        </is>
      </c>
      <c r="H46" s="0" t="inlineStr">
        <is>
          <t xml:space="preserve">BY</t>
        </is>
      </c>
      <c r="I46" s="6" t="inlineStr">
        <is>
          <t xml:space="preserve">070</t>
        </is>
      </c>
    </row>
    <row r="47">
      <c r="A47" s="4" t="inlineStr">
        <is>
          <t xml:space="preserve">268</t>
        </is>
      </c>
      <c r="B47" s="0" t="inlineStr">
        <is>
          <t xml:space="preserve">Créances rattachées à des participations</t>
        </is>
      </c>
      <c r="C47" s="5" t="inlineStr">
        <is>
          <t xml:space="preserve">BB</t>
        </is>
      </c>
      <c r="D47" s="5" t="inlineStr">
        <is>
          <t xml:space="preserve">BB</t>
        </is>
      </c>
      <c r="E47" s="5" t="inlineStr">
        <is>
          <t xml:space="preserve">IMMO_FIN</t>
        </is>
      </c>
      <c r="F47" s="5" t="inlineStr">
        <is>
          <t xml:space="preserve">IMMO_FIN</t>
        </is>
      </c>
      <c r="H47" s="0" t="inlineStr">
        <is>
          <t xml:space="preserve">BZ</t>
        </is>
      </c>
      <c r="I47" s="6" t="inlineStr">
        <is>
          <t xml:space="preserve">072</t>
        </is>
      </c>
    </row>
    <row r="48">
      <c r="A48" s="4" t="inlineStr">
        <is>
          <t xml:space="preserve">27</t>
        </is>
      </c>
      <c r="B48" s="0" t="inlineStr">
        <is>
          <t xml:space="preserve">Autres immobilisations financières</t>
        </is>
      </c>
      <c r="C48" s="5" t="inlineStr">
        <is>
          <t xml:space="preserve">BH</t>
        </is>
      </c>
      <c r="D48" s="5" t="inlineStr">
        <is>
          <t xml:space="preserve">BH</t>
        </is>
      </c>
      <c r="E48" s="5" t="inlineStr">
        <is>
          <t xml:space="preserve">IMMO_FIN</t>
        </is>
      </c>
      <c r="F48" s="5" t="inlineStr">
        <is>
          <t xml:space="preserve">IMMO_FIN</t>
        </is>
      </c>
      <c r="H48" s="0" t="inlineStr">
        <is>
          <t xml:space="preserve">CA</t>
        </is>
      </c>
      <c r="I48" s="6" t="inlineStr">
        <is>
          <t xml:space="preserve">074</t>
        </is>
      </c>
    </row>
    <row r="49">
      <c r="A49" s="4" t="inlineStr">
        <is>
          <t xml:space="preserve">271</t>
        </is>
      </c>
      <c r="B49" s="0" t="inlineStr">
        <is>
          <t xml:space="preserve">Titres immobilisés</t>
        </is>
      </c>
      <c r="C49" s="5" t="inlineStr">
        <is>
          <t xml:space="preserve">BD</t>
        </is>
      </c>
      <c r="D49" s="5" t="inlineStr">
        <is>
          <t xml:space="preserve">BD</t>
        </is>
      </c>
      <c r="E49" s="5" t="inlineStr">
        <is>
          <t xml:space="preserve">IMMO_FIN</t>
        </is>
      </c>
      <c r="F49" s="5" t="inlineStr">
        <is>
          <t xml:space="preserve">IMMO_FIN</t>
        </is>
      </c>
      <c r="H49" s="0" t="inlineStr">
        <is>
          <t xml:space="preserve">CW</t>
        </is>
      </c>
      <c r="I49" s="6" t="inlineStr">
        <is>
          <t xml:space="preserve">072</t>
        </is>
      </c>
    </row>
    <row r="50">
      <c r="A50" s="4" t="inlineStr">
        <is>
          <t xml:space="preserve">272</t>
        </is>
      </c>
      <c r="B50" s="0" t="inlineStr">
        <is>
          <t xml:space="preserve">Titres immobilisés</t>
        </is>
      </c>
      <c r="C50" s="5" t="inlineStr">
        <is>
          <t xml:space="preserve">BD</t>
        </is>
      </c>
      <c r="D50" s="5" t="inlineStr">
        <is>
          <t xml:space="preserve">BD</t>
        </is>
      </c>
      <c r="E50" s="5" t="inlineStr">
        <is>
          <t xml:space="preserve">IMMO_FIN</t>
        </is>
      </c>
      <c r="F50" s="5" t="inlineStr">
        <is>
          <t xml:space="preserve">IMMO_FIN</t>
        </is>
      </c>
      <c r="H50" s="0" t="inlineStr">
        <is>
          <t xml:space="preserve">CN</t>
        </is>
      </c>
      <c r="I50" s="6" t="inlineStr">
        <is>
          <t xml:space="preserve">072</t>
        </is>
      </c>
    </row>
    <row r="51">
      <c r="A51" s="4" t="inlineStr">
        <is>
          <t xml:space="preserve">274</t>
        </is>
      </c>
      <c r="B51" s="0" t="inlineStr">
        <is>
          <t xml:space="preserve">Prêts</t>
        </is>
      </c>
      <c r="C51" s="5" t="inlineStr">
        <is>
          <t xml:space="preserve">BF</t>
        </is>
      </c>
      <c r="D51" s="5" t="inlineStr">
        <is>
          <t xml:space="preserve">BF</t>
        </is>
      </c>
      <c r="E51" s="5" t="inlineStr">
        <is>
          <t xml:space="preserve">IMMO_FIN</t>
        </is>
      </c>
      <c r="F51" s="5" t="inlineStr">
        <is>
          <t xml:space="preserve">IMMO_FIN</t>
        </is>
      </c>
      <c r="H51" s="0" t="inlineStr">
        <is>
          <t xml:space="preserve">CD</t>
        </is>
      </c>
      <c r="I51" s="6" t="inlineStr">
        <is>
          <t xml:space="preserve">080</t>
        </is>
      </c>
    </row>
    <row r="52">
      <c r="A52" s="4" t="inlineStr">
        <is>
          <t xml:space="preserve">2801</t>
        </is>
      </c>
      <c r="B52" s="0" t="inlineStr">
        <is>
          <t xml:space="preserve">Amort. frais d'établissement</t>
        </is>
      </c>
      <c r="C52" s="5" t="inlineStr">
        <is>
          <t xml:space="preserve">AC</t>
        </is>
      </c>
      <c r="D52" s="5" t="inlineStr">
        <is>
          <t xml:space="preserve">AC</t>
        </is>
      </c>
      <c r="E52" s="5" t="inlineStr">
        <is>
          <t xml:space="preserve">AMORT_DEPREC</t>
        </is>
      </c>
      <c r="F52" s="5" t="inlineStr">
        <is>
          <t xml:space="preserve">AMORT_DEPREC</t>
        </is>
      </c>
      <c r="H52" s="0" t="inlineStr">
        <is>
          <t xml:space="preserve">CE</t>
        </is>
      </c>
      <c r="I52" s="6" t="inlineStr">
        <is>
          <t xml:space="preserve">082</t>
        </is>
      </c>
    </row>
    <row r="53">
      <c r="A53" s="4" t="inlineStr">
        <is>
          <t xml:space="preserve">2803</t>
        </is>
      </c>
      <c r="B53" s="0" t="inlineStr">
        <is>
          <t xml:space="preserve">Amort. frais de développement</t>
        </is>
      </c>
      <c r="C53" s="5" t="inlineStr">
        <is>
          <t xml:space="preserve">CQ</t>
        </is>
      </c>
      <c r="D53" s="5" t="inlineStr">
        <is>
          <t xml:space="preserve">CQ</t>
        </is>
      </c>
      <c r="E53" s="5" t="inlineStr">
        <is>
          <t xml:space="preserve">AMORT_DEPREC</t>
        </is>
      </c>
      <c r="F53" s="5" t="inlineStr">
        <is>
          <t xml:space="preserve">AMORT_DEPREC</t>
        </is>
      </c>
      <c r="H53" s="0" t="inlineStr">
        <is>
          <t xml:space="preserve">CF</t>
        </is>
      </c>
      <c r="I53" s="6" t="inlineStr">
        <is>
          <t xml:space="preserve">084</t>
        </is>
      </c>
    </row>
    <row r="54">
      <c r="A54" s="4" t="inlineStr">
        <is>
          <t xml:space="preserve">2805</t>
        </is>
      </c>
      <c r="B54" s="0" t="inlineStr">
        <is>
          <t xml:space="preserve">Amort. concessions, logiciels</t>
        </is>
      </c>
      <c r="C54" s="5" t="inlineStr">
        <is>
          <t xml:space="preserve">AG</t>
        </is>
      </c>
      <c r="D54" s="5" t="inlineStr">
        <is>
          <t xml:space="preserve">AG</t>
        </is>
      </c>
      <c r="E54" s="5" t="inlineStr">
        <is>
          <t xml:space="preserve">AMORT_DEPREC</t>
        </is>
      </c>
      <c r="F54" s="5" t="inlineStr">
        <is>
          <t xml:space="preserve">AMORT_DEPREC</t>
        </is>
      </c>
      <c r="H54" s="0" t="inlineStr">
        <is>
          <t xml:space="preserve">CH</t>
        </is>
      </c>
      <c r="I54" s="6" t="inlineStr">
        <is>
          <t xml:space="preserve">092</t>
        </is>
      </c>
    </row>
    <row r="55">
      <c r="A55" s="4" t="inlineStr">
        <is>
          <t xml:space="preserve">2807</t>
        </is>
      </c>
      <c r="B55" s="0" t="inlineStr">
        <is>
          <t xml:space="preserve">Amort. fonds commercial</t>
        </is>
      </c>
      <c r="C55" s="5" t="inlineStr">
        <is>
          <t xml:space="preserve">AI</t>
        </is>
      </c>
      <c r="D55" s="5" t="inlineStr">
        <is>
          <t xml:space="preserve">AI</t>
        </is>
      </c>
      <c r="E55" s="5" t="inlineStr">
        <is>
          <t xml:space="preserve">AMORT_DEPREC</t>
        </is>
      </c>
      <c r="F55" s="5" t="inlineStr">
        <is>
          <t xml:space="preserve">AMORT_DEPREC</t>
        </is>
      </c>
      <c r="H55" s="0" t="inlineStr">
        <is>
          <t xml:space="preserve">DA</t>
        </is>
      </c>
      <c r="I55" s="6" t="inlineStr">
        <is>
          <t xml:space="preserve">120</t>
        </is>
      </c>
    </row>
    <row r="56">
      <c r="A56" s="4" t="inlineStr">
        <is>
          <t xml:space="preserve">2808</t>
        </is>
      </c>
      <c r="B56" s="0" t="inlineStr">
        <is>
          <t xml:space="preserve">Amort. autres immo. incorporelles</t>
        </is>
      </c>
      <c r="C56" s="5" t="inlineStr">
        <is>
          <t xml:space="preserve">AK</t>
        </is>
      </c>
      <c r="D56" s="5" t="inlineStr">
        <is>
          <t xml:space="preserve">AK</t>
        </is>
      </c>
      <c r="E56" s="5" t="inlineStr">
        <is>
          <t xml:space="preserve">AMORT_DEPREC</t>
        </is>
      </c>
      <c r="F56" s="5" t="inlineStr">
        <is>
          <t xml:space="preserve">AMORT_DEPREC</t>
        </is>
      </c>
      <c r="H56" s="0" t="inlineStr">
        <is>
          <t xml:space="preserve">DC</t>
        </is>
      </c>
      <c r="I56" s="6" t="inlineStr">
        <is>
          <t xml:space="preserve">124</t>
        </is>
      </c>
    </row>
    <row r="57">
      <c r="A57" s="4" t="inlineStr">
        <is>
          <t xml:space="preserve">2811</t>
        </is>
      </c>
      <c r="B57" s="0" t="inlineStr">
        <is>
          <t xml:space="preserve">Amort. terrains</t>
        </is>
      </c>
      <c r="C57" s="5" t="inlineStr">
        <is>
          <t xml:space="preserve">AO</t>
        </is>
      </c>
      <c r="D57" s="5" t="inlineStr">
        <is>
          <t xml:space="preserve">AO</t>
        </is>
      </c>
      <c r="E57" s="5" t="inlineStr">
        <is>
          <t xml:space="preserve">AMORT_DEPREC</t>
        </is>
      </c>
      <c r="F57" s="5" t="inlineStr">
        <is>
          <t xml:space="preserve">AMORT_DEPREC</t>
        </is>
      </c>
      <c r="H57" s="0" t="inlineStr">
        <is>
          <t xml:space="preserve">DD</t>
        </is>
      </c>
      <c r="I57" s="6" t="inlineStr">
        <is>
          <t xml:space="preserve">126</t>
        </is>
      </c>
    </row>
    <row r="58">
      <c r="A58" s="4" t="inlineStr">
        <is>
          <t xml:space="preserve">2812</t>
        </is>
      </c>
      <c r="B58" s="0" t="inlineStr">
        <is>
          <t xml:space="preserve">Amort. agencements de terrains</t>
        </is>
      </c>
      <c r="C58" s="5" t="inlineStr">
        <is>
          <t xml:space="preserve">AO</t>
        </is>
      </c>
      <c r="D58" s="5" t="inlineStr">
        <is>
          <t xml:space="preserve">AO</t>
        </is>
      </c>
      <c r="E58" s="5" t="inlineStr">
        <is>
          <t xml:space="preserve">AMORT_DEPREC</t>
        </is>
      </c>
      <c r="F58" s="5" t="inlineStr">
        <is>
          <t xml:space="preserve">AMORT_DEPREC</t>
        </is>
      </c>
      <c r="H58" s="0" t="inlineStr">
        <is>
          <t xml:space="preserve">DF</t>
        </is>
      </c>
      <c r="I58" s="6" t="inlineStr">
        <is>
          <t xml:space="preserve">130</t>
        </is>
      </c>
    </row>
    <row r="59">
      <c r="A59" s="4" t="inlineStr">
        <is>
          <t xml:space="preserve">2813</t>
        </is>
      </c>
      <c r="B59" s="0" t="inlineStr">
        <is>
          <t xml:space="preserve">Amort. constructions</t>
        </is>
      </c>
      <c r="C59" s="5" t="inlineStr">
        <is>
          <t xml:space="preserve">AQ</t>
        </is>
      </c>
      <c r="D59" s="5" t="inlineStr">
        <is>
          <t xml:space="preserve">AQ</t>
        </is>
      </c>
      <c r="E59" s="5" t="inlineStr">
        <is>
          <t xml:space="preserve">AMORT_DEPREC</t>
        </is>
      </c>
      <c r="F59" s="5" t="inlineStr">
        <is>
          <t xml:space="preserve">AMORT_DEPREC</t>
        </is>
      </c>
      <c r="H59" s="0" t="inlineStr">
        <is>
          <t xml:space="preserve">DB</t>
        </is>
      </c>
      <c r="I59" s="6" t="inlineStr">
        <is>
          <t xml:space="preserve">132</t>
        </is>
      </c>
    </row>
    <row r="60">
      <c r="A60" s="4" t="inlineStr">
        <is>
          <t xml:space="preserve">2814</t>
        </is>
      </c>
      <c r="B60" s="0" t="inlineStr">
        <is>
          <t xml:space="preserve">Amort. constructions sol d'autrui</t>
        </is>
      </c>
      <c r="C60" s="5" t="inlineStr">
        <is>
          <t xml:space="preserve">AQ</t>
        </is>
      </c>
      <c r="D60" s="5" t="inlineStr">
        <is>
          <t xml:space="preserve">AQ</t>
        </is>
      </c>
      <c r="E60" s="5" t="inlineStr">
        <is>
          <t xml:space="preserve">AMORT_DEPREC</t>
        </is>
      </c>
      <c r="F60" s="5" t="inlineStr">
        <is>
          <t xml:space="preserve">AMORT_DEPREC</t>
        </is>
      </c>
      <c r="H60" s="0" t="inlineStr">
        <is>
          <t xml:space="preserve">DE</t>
        </is>
      </c>
      <c r="I60" s="6" t="inlineStr">
        <is>
          <t xml:space="preserve">132</t>
        </is>
      </c>
    </row>
    <row r="61">
      <c r="A61" s="4" t="inlineStr">
        <is>
          <t xml:space="preserve">2815</t>
        </is>
      </c>
      <c r="B61" s="0" t="inlineStr">
        <is>
          <t xml:space="preserve">Amort. installations techniques</t>
        </is>
      </c>
      <c r="C61" s="5" t="inlineStr">
        <is>
          <t xml:space="preserve">AS</t>
        </is>
      </c>
      <c r="D61" s="5" t="inlineStr">
        <is>
          <t xml:space="preserve">AS</t>
        </is>
      </c>
      <c r="E61" s="5" t="inlineStr">
        <is>
          <t xml:space="preserve">AMORT_DEPREC</t>
        </is>
      </c>
      <c r="F61" s="5" t="inlineStr">
        <is>
          <t xml:space="preserve">AMORT_DEPREC</t>
        </is>
      </c>
      <c r="H61" s="0" t="inlineStr">
        <is>
          <t xml:space="preserve">DG</t>
        </is>
      </c>
      <c r="I61" s="6" t="inlineStr">
        <is>
          <t xml:space="preserve">132</t>
        </is>
      </c>
    </row>
    <row r="62">
      <c r="A62" s="4" t="inlineStr">
        <is>
          <t xml:space="preserve">2818</t>
        </is>
      </c>
      <c r="B62" s="0" t="inlineStr">
        <is>
          <t xml:space="preserve">Amort. autres immo. corporelles</t>
        </is>
      </c>
      <c r="C62" s="5" t="inlineStr">
        <is>
          <t xml:space="preserve">AU</t>
        </is>
      </c>
      <c r="D62" s="5" t="inlineStr">
        <is>
          <t xml:space="preserve">AU</t>
        </is>
      </c>
      <c r="E62" s="5" t="inlineStr">
        <is>
          <t xml:space="preserve">AMORT_DEPREC</t>
        </is>
      </c>
      <c r="F62" s="5" t="inlineStr">
        <is>
          <t xml:space="preserve">AMORT_DEPREC</t>
        </is>
      </c>
      <c r="H62" s="0" t="inlineStr">
        <is>
          <t xml:space="preserve">DH</t>
        </is>
      </c>
      <c r="I62" s="6" t="inlineStr">
        <is>
          <t xml:space="preserve">134</t>
        </is>
      </c>
    </row>
    <row r="63">
      <c r="A63" s="4" t="inlineStr">
        <is>
          <t xml:space="preserve">290</t>
        </is>
      </c>
      <c r="B63" s="0" t="inlineStr">
        <is>
          <t xml:space="preserve">Dépréc. immo. incorporelles</t>
        </is>
      </c>
      <c r="C63" s="5" t="inlineStr">
        <is>
          <t xml:space="preserve">AI</t>
        </is>
      </c>
      <c r="D63" s="5" t="inlineStr">
        <is>
          <t xml:space="preserve">AI</t>
        </is>
      </c>
      <c r="E63" s="5" t="inlineStr">
        <is>
          <t xml:space="preserve">AMORT_DEPREC</t>
        </is>
      </c>
      <c r="F63" s="5" t="inlineStr">
        <is>
          <t xml:space="preserve">AMORT_DEPREC</t>
        </is>
      </c>
      <c r="H63" s="0" t="inlineStr">
        <is>
          <t xml:space="preserve">DI</t>
        </is>
      </c>
      <c r="I63" s="6" t="inlineStr">
        <is>
          <t xml:space="preserve">136</t>
        </is>
      </c>
    </row>
    <row r="64">
      <c r="A64" s="4" t="inlineStr">
        <is>
          <t xml:space="preserve">291</t>
        </is>
      </c>
      <c r="B64" s="0" t="inlineStr">
        <is>
          <t xml:space="preserve">Dépréc. immo. corporelles</t>
        </is>
      </c>
      <c r="C64" s="5" t="inlineStr">
        <is>
          <t xml:space="preserve">AO</t>
        </is>
      </c>
      <c r="D64" s="5" t="inlineStr">
        <is>
          <t xml:space="preserve">AO</t>
        </is>
      </c>
      <c r="E64" s="5" t="inlineStr">
        <is>
          <t xml:space="preserve">AMORT_DEPREC</t>
        </is>
      </c>
      <c r="F64" s="5" t="inlineStr">
        <is>
          <t xml:space="preserve">AMORT_DEPREC</t>
        </is>
      </c>
      <c r="H64" s="0" t="inlineStr">
        <is>
          <t xml:space="preserve">DJ</t>
        </is>
      </c>
      <c r="I64" s="6" t="inlineStr">
        <is>
          <t xml:space="preserve">137</t>
        </is>
      </c>
    </row>
    <row r="65">
      <c r="A65" s="4" t="inlineStr">
        <is>
          <t xml:space="preserve">293</t>
        </is>
      </c>
      <c r="B65" s="0" t="inlineStr">
        <is>
          <t xml:space="preserve">Dépréc. immo. en cours</t>
        </is>
      </c>
      <c r="C65" s="5" t="inlineStr">
        <is>
          <t xml:space="preserve">AW</t>
        </is>
      </c>
      <c r="D65" s="5" t="inlineStr">
        <is>
          <t xml:space="preserve">AW</t>
        </is>
      </c>
      <c r="E65" s="5" t="inlineStr">
        <is>
          <t xml:space="preserve">AMORT_DEPREC</t>
        </is>
      </c>
      <c r="F65" s="5" t="inlineStr">
        <is>
          <t xml:space="preserve">AMORT_DEPREC</t>
        </is>
      </c>
      <c r="H65" s="0" t="inlineStr">
        <is>
          <t xml:space="preserve">DK</t>
        </is>
      </c>
      <c r="I65" s="6" t="inlineStr">
        <is>
          <t xml:space="preserve">140</t>
        </is>
      </c>
    </row>
    <row r="66">
      <c r="A66" s="4" t="inlineStr">
        <is>
          <t xml:space="preserve">2932</t>
        </is>
      </c>
      <c r="B66" s="0" t="inlineStr">
        <is>
          <t xml:space="preserve">Dépréc. immo. incorporelles en cours</t>
        </is>
      </c>
      <c r="C66" s="5" t="inlineStr">
        <is>
          <t xml:space="preserve">AK</t>
        </is>
      </c>
      <c r="D66" s="5" t="inlineStr">
        <is>
          <t xml:space="preserve">AK</t>
        </is>
      </c>
      <c r="E66" s="5" t="inlineStr">
        <is>
          <t xml:space="preserve">AMORT_DEPREC</t>
        </is>
      </c>
      <c r="F66" s="5" t="inlineStr">
        <is>
          <t xml:space="preserve">AMORT_DEPREC</t>
        </is>
      </c>
      <c r="H66" s="0" t="inlineStr">
        <is>
          <t xml:space="preserve">DP</t>
        </is>
      </c>
      <c r="I66" s="6" t="inlineStr">
        <is>
          <t xml:space="preserve">154</t>
        </is>
      </c>
    </row>
    <row r="67">
      <c r="A67" s="4" t="inlineStr">
        <is>
          <t xml:space="preserve">296</t>
        </is>
      </c>
      <c r="B67" s="0" t="inlineStr">
        <is>
          <t xml:space="preserve">Dépréc. participations</t>
        </is>
      </c>
      <c r="C67" s="5" t="inlineStr">
        <is>
          <t xml:space="preserve">CV</t>
        </is>
      </c>
      <c r="D67" s="5" t="inlineStr">
        <is>
          <t xml:space="preserve">CV</t>
        </is>
      </c>
      <c r="E67" s="5" t="inlineStr">
        <is>
          <t xml:space="preserve">AMORT_DEPREC</t>
        </is>
      </c>
      <c r="F67" s="5" t="inlineStr">
        <is>
          <t xml:space="preserve">AMORT_DEPREC</t>
        </is>
      </c>
      <c r="H67" s="0" t="inlineStr">
        <is>
          <t xml:space="preserve">DQ</t>
        </is>
      </c>
      <c r="I67" s="6" t="inlineStr">
        <is>
          <t xml:space="preserve">154</t>
        </is>
      </c>
    </row>
    <row r="68">
      <c r="A68" s="4" t="inlineStr">
        <is>
          <t xml:space="preserve">297</t>
        </is>
      </c>
      <c r="B68" s="0" t="inlineStr">
        <is>
          <t xml:space="preserve">Dépréc. autres immo. financières</t>
        </is>
      </c>
      <c r="C68" s="5" t="inlineStr">
        <is>
          <t xml:space="preserve">BI</t>
        </is>
      </c>
      <c r="D68" s="5" t="inlineStr">
        <is>
          <t xml:space="preserve">BI</t>
        </is>
      </c>
      <c r="E68" s="5" t="inlineStr">
        <is>
          <t xml:space="preserve">AMORT_DEPREC</t>
        </is>
      </c>
      <c r="F68" s="5" t="inlineStr">
        <is>
          <t xml:space="preserve">AMORT_DEPREC</t>
        </is>
      </c>
      <c r="H68" s="0" t="inlineStr">
        <is>
          <t xml:space="preserve">DS</t>
        </is>
      </c>
      <c r="I68" s="6" t="inlineStr">
        <is>
          <t xml:space="preserve">156</t>
        </is>
      </c>
    </row>
    <row r="69">
      <c r="A69" s="4" t="inlineStr">
        <is>
          <t xml:space="preserve">31</t>
        </is>
      </c>
      <c r="B69" s="0" t="inlineStr">
        <is>
          <t xml:space="preserve">Matières premières</t>
        </is>
      </c>
      <c r="C69" s="5" t="inlineStr">
        <is>
          <t xml:space="preserve">BL</t>
        </is>
      </c>
      <c r="D69" s="5" t="inlineStr">
        <is>
          <t xml:space="preserve">BL</t>
        </is>
      </c>
      <c r="E69" s="5" t="inlineStr">
        <is>
          <t xml:space="preserve">STOCKS</t>
        </is>
      </c>
      <c r="F69" s="5" t="inlineStr">
        <is>
          <t xml:space="preserve">STOCKS</t>
        </is>
      </c>
      <c r="H69" s="0" t="inlineStr">
        <is>
          <t xml:space="preserve">DT</t>
        </is>
      </c>
      <c r="I69" s="6" t="inlineStr">
        <is>
          <t xml:space="preserve">156</t>
        </is>
      </c>
    </row>
    <row r="70">
      <c r="A70" s="4" t="inlineStr">
        <is>
          <t xml:space="preserve">32</t>
        </is>
      </c>
      <c r="B70" s="0" t="inlineStr">
        <is>
          <t xml:space="preserve">Autres approvisionnements</t>
        </is>
      </c>
      <c r="C70" s="5" t="inlineStr">
        <is>
          <t xml:space="preserve">BL</t>
        </is>
      </c>
      <c r="D70" s="5" t="inlineStr">
        <is>
          <t xml:space="preserve">BL</t>
        </is>
      </c>
      <c r="E70" s="5" t="inlineStr">
        <is>
          <t xml:space="preserve">STOCKS</t>
        </is>
      </c>
      <c r="F70" s="5" t="inlineStr">
        <is>
          <t xml:space="preserve">STOCKS</t>
        </is>
      </c>
      <c r="H70" s="0" t="inlineStr">
        <is>
          <t xml:space="preserve">DU</t>
        </is>
      </c>
      <c r="I70" s="6" t="inlineStr">
        <is>
          <t xml:space="preserve">156</t>
        </is>
      </c>
    </row>
    <row r="71">
      <c r="A71" s="4" t="inlineStr">
        <is>
          <t xml:space="preserve">33</t>
        </is>
      </c>
      <c r="B71" s="0" t="inlineStr">
        <is>
          <t xml:space="preserve">En-cours de production de biens</t>
        </is>
      </c>
      <c r="C71" s="5" t="inlineStr">
        <is>
          <t xml:space="preserve">BN</t>
        </is>
      </c>
      <c r="D71" s="5" t="inlineStr">
        <is>
          <t xml:space="preserve">BN</t>
        </is>
      </c>
      <c r="E71" s="5" t="inlineStr">
        <is>
          <t xml:space="preserve">STOCKS</t>
        </is>
      </c>
      <c r="F71" s="5" t="inlineStr">
        <is>
          <t xml:space="preserve">STOCKS</t>
        </is>
      </c>
      <c r="H71" s="0" t="inlineStr">
        <is>
          <t xml:space="preserve">DV</t>
        </is>
      </c>
      <c r="I71" s="6" t="inlineStr">
        <is>
          <t xml:space="preserve">156</t>
        </is>
      </c>
    </row>
    <row r="72">
      <c r="A72" s="4" t="inlineStr">
        <is>
          <t xml:space="preserve">34</t>
        </is>
      </c>
      <c r="B72" s="0" t="inlineStr">
        <is>
          <t xml:space="preserve">En-cours de production de services</t>
        </is>
      </c>
      <c r="C72" s="5" t="inlineStr">
        <is>
          <t xml:space="preserve">BP</t>
        </is>
      </c>
      <c r="D72" s="5" t="inlineStr">
        <is>
          <t xml:space="preserve">BP</t>
        </is>
      </c>
      <c r="E72" s="5" t="inlineStr">
        <is>
          <t xml:space="preserve">STOCKS</t>
        </is>
      </c>
      <c r="F72" s="5" t="inlineStr">
        <is>
          <t xml:space="preserve">STOCKS</t>
        </is>
      </c>
      <c r="H72" s="0" t="inlineStr">
        <is>
          <t xml:space="preserve">DW</t>
        </is>
      </c>
      <c r="I72" s="6" t="inlineStr">
        <is>
          <t xml:space="preserve">164</t>
        </is>
      </c>
    </row>
    <row r="73">
      <c r="A73" s="4" t="inlineStr">
        <is>
          <t xml:space="preserve">35</t>
        </is>
      </c>
      <c r="B73" s="0" t="inlineStr">
        <is>
          <t xml:space="preserve">Produits intermédiaires et finis</t>
        </is>
      </c>
      <c r="C73" s="5" t="inlineStr">
        <is>
          <t xml:space="preserve">BR</t>
        </is>
      </c>
      <c r="D73" s="5" t="inlineStr">
        <is>
          <t xml:space="preserve">BR</t>
        </is>
      </c>
      <c r="E73" s="5" t="inlineStr">
        <is>
          <t xml:space="preserve">STOCKS</t>
        </is>
      </c>
      <c r="F73" s="5" t="inlineStr">
        <is>
          <t xml:space="preserve">STOCKS</t>
        </is>
      </c>
      <c r="H73" s="0" t="inlineStr">
        <is>
          <t xml:space="preserve">DX</t>
        </is>
      </c>
      <c r="I73" s="6" t="inlineStr">
        <is>
          <t xml:space="preserve">166</t>
        </is>
      </c>
    </row>
    <row r="74">
      <c r="A74" s="4" t="inlineStr">
        <is>
          <t xml:space="preserve">37</t>
        </is>
      </c>
      <c r="B74" s="0" t="inlineStr">
        <is>
          <t xml:space="preserve">Marchandises</t>
        </is>
      </c>
      <c r="C74" s="5" t="inlineStr">
        <is>
          <t xml:space="preserve">BT</t>
        </is>
      </c>
      <c r="D74" s="5" t="inlineStr">
        <is>
          <t xml:space="preserve">BT</t>
        </is>
      </c>
      <c r="E74" s="5" t="inlineStr">
        <is>
          <t xml:space="preserve">STOCKS</t>
        </is>
      </c>
      <c r="F74" s="5" t="inlineStr">
        <is>
          <t xml:space="preserve">STOCKS</t>
        </is>
      </c>
      <c r="H74" s="0" t="inlineStr">
        <is>
          <t xml:space="preserve">DY</t>
        </is>
      </c>
      <c r="I74" s="6" t="inlineStr">
        <is>
          <t xml:space="preserve">172</t>
        </is>
      </c>
    </row>
    <row r="75">
      <c r="A75" s="4" t="inlineStr">
        <is>
          <t xml:space="preserve">391</t>
        </is>
      </c>
      <c r="B75" s="0" t="inlineStr">
        <is>
          <t xml:space="preserve">Dépréc. matières</t>
        </is>
      </c>
      <c r="C75" s="5" t="inlineStr">
        <is>
          <t xml:space="preserve">BM</t>
        </is>
      </c>
      <c r="D75" s="5" t="inlineStr">
        <is>
          <t xml:space="preserve">BM</t>
        </is>
      </c>
      <c r="E75" s="5" t="inlineStr">
        <is>
          <t xml:space="preserve">STOCKS</t>
        </is>
      </c>
      <c r="F75" s="5" t="inlineStr">
        <is>
          <t xml:space="preserve">STOCKS</t>
        </is>
      </c>
      <c r="H75" s="0" t="inlineStr">
        <is>
          <t xml:space="preserve">DZ</t>
        </is>
      </c>
      <c r="I75" s="6" t="inlineStr">
        <is>
          <t xml:space="preserve">175</t>
        </is>
      </c>
    </row>
    <row r="76">
      <c r="A76" s="4" t="inlineStr">
        <is>
          <t xml:space="preserve">392</t>
        </is>
      </c>
      <c r="B76" s="0" t="inlineStr">
        <is>
          <t xml:space="preserve">Dépréc. approvisionnements</t>
        </is>
      </c>
      <c r="C76" s="5" t="inlineStr">
        <is>
          <t xml:space="preserve">BM</t>
        </is>
      </c>
      <c r="D76" s="5" t="inlineStr">
        <is>
          <t xml:space="preserve">BM</t>
        </is>
      </c>
      <c r="E76" s="5" t="inlineStr">
        <is>
          <t xml:space="preserve">STOCKS</t>
        </is>
      </c>
      <c r="F76" s="5" t="inlineStr">
        <is>
          <t xml:space="preserve">STOCKS</t>
        </is>
      </c>
      <c r="H76" s="0" t="inlineStr">
        <is>
          <t xml:space="preserve">EA</t>
        </is>
      </c>
      <c r="I76" s="6" t="inlineStr">
        <is>
          <t xml:space="preserve">175</t>
        </is>
      </c>
    </row>
    <row r="77">
      <c r="A77" s="4" t="inlineStr">
        <is>
          <t xml:space="preserve">393</t>
        </is>
      </c>
      <c r="B77" s="0" t="inlineStr">
        <is>
          <t xml:space="preserve">Dépréc. en-cours biens</t>
        </is>
      </c>
      <c r="C77" s="5" t="inlineStr">
        <is>
          <t xml:space="preserve">BO</t>
        </is>
      </c>
      <c r="D77" s="5" t="inlineStr">
        <is>
          <t xml:space="preserve">BO</t>
        </is>
      </c>
      <c r="E77" s="5" t="inlineStr">
        <is>
          <t xml:space="preserve">STOCKS</t>
        </is>
      </c>
      <c r="F77" s="5" t="inlineStr">
        <is>
          <t xml:space="preserve">STOCKS</t>
        </is>
      </c>
      <c r="H77" s="0" t="inlineStr">
        <is>
          <t xml:space="preserve">EB</t>
        </is>
      </c>
      <c r="I77" s="6" t="inlineStr">
        <is>
          <t xml:space="preserve">174</t>
        </is>
      </c>
    </row>
    <row r="78">
      <c r="A78" s="4" t="inlineStr">
        <is>
          <t xml:space="preserve">394</t>
        </is>
      </c>
      <c r="B78" s="0" t="inlineStr">
        <is>
          <t xml:space="preserve">Dépréc. en-cours services</t>
        </is>
      </c>
      <c r="C78" s="5" t="inlineStr">
        <is>
          <t xml:space="preserve">BQ</t>
        </is>
      </c>
      <c r="D78" s="5" t="inlineStr">
        <is>
          <t xml:space="preserve">BQ</t>
        </is>
      </c>
      <c r="E78" s="5" t="inlineStr">
        <is>
          <t xml:space="preserve">STOCKS</t>
        </is>
      </c>
      <c r="F78" s="5" t="inlineStr">
        <is>
          <t xml:space="preserve">STOCKS</t>
        </is>
      </c>
      <c r="H78" s="0" t="inlineStr">
        <is>
          <t xml:space="preserve">ED</t>
        </is>
      </c>
      <c r="I78" s="6" t="inlineStr">
        <is>
          <t xml:space="preserve">175</t>
        </is>
      </c>
    </row>
    <row r="79">
      <c r="A79" s="4" t="inlineStr">
        <is>
          <t xml:space="preserve">395</t>
        </is>
      </c>
      <c r="B79" s="0" t="inlineStr">
        <is>
          <t xml:space="preserve">Dépréc. produits</t>
        </is>
      </c>
      <c r="C79" s="5" t="inlineStr">
        <is>
          <t xml:space="preserve">BS</t>
        </is>
      </c>
      <c r="D79" s="5" t="inlineStr">
        <is>
          <t xml:space="preserve">BS</t>
        </is>
      </c>
      <c r="E79" s="5" t="inlineStr">
        <is>
          <t xml:space="preserve">STOCKS</t>
        </is>
      </c>
      <c r="F79" s="5" t="inlineStr">
        <is>
          <t xml:space="preserve">STOCKS</t>
        </is>
      </c>
      <c r="H79" s="0" t="inlineStr">
        <is>
          <t xml:space="preserve">FC</t>
        </is>
      </c>
      <c r="I79" s="6" t="inlineStr">
        <is>
          <t xml:space="preserve">210</t>
        </is>
      </c>
    </row>
    <row r="80">
      <c r="A80" s="4" t="inlineStr">
        <is>
          <t xml:space="preserve">397</t>
        </is>
      </c>
      <c r="B80" s="0" t="inlineStr">
        <is>
          <t xml:space="preserve">Dépréc. marchandises</t>
        </is>
      </c>
      <c r="C80" s="5" t="inlineStr">
        <is>
          <t xml:space="preserve">BU</t>
        </is>
      </c>
      <c r="D80" s="5" t="inlineStr">
        <is>
          <t xml:space="preserve">BU</t>
        </is>
      </c>
      <c r="E80" s="5" t="inlineStr">
        <is>
          <t xml:space="preserve">STOCKS</t>
        </is>
      </c>
      <c r="F80" s="5" t="inlineStr">
        <is>
          <t xml:space="preserve">STOCKS</t>
        </is>
      </c>
      <c r="H80" s="0" t="inlineStr">
        <is>
          <t xml:space="preserve">FF</t>
        </is>
      </c>
      <c r="I80" s="6" t="inlineStr">
        <is>
          <t xml:space="preserve">214</t>
        </is>
      </c>
    </row>
    <row r="81">
      <c r="A81" s="4" t="inlineStr">
        <is>
          <t xml:space="preserve">401</t>
        </is>
      </c>
      <c r="B81" s="0" t="inlineStr">
        <is>
          <t xml:space="preserve">Fournisseurs</t>
        </is>
      </c>
      <c r="C81" s="5" t="inlineStr">
        <is>
          <t xml:space="preserve">BZ</t>
        </is>
      </c>
      <c r="D81" s="5" t="inlineStr">
        <is>
          <t xml:space="preserve">DX</t>
        </is>
      </c>
      <c r="E81" s="5" t="inlineStr">
        <is>
          <t xml:space="preserve">FOURNISSEURS</t>
        </is>
      </c>
      <c r="F81" s="5" t="inlineStr">
        <is>
          <t xml:space="preserve">FOURNISSEURS</t>
        </is>
      </c>
      <c r="H81" s="0" t="inlineStr">
        <is>
          <t xml:space="preserve">FI</t>
        </is>
      </c>
      <c r="I81" s="6" t="inlineStr">
        <is>
          <t xml:space="preserve">218</t>
        </is>
      </c>
    </row>
    <row r="82">
      <c r="A82" s="4" t="inlineStr">
        <is>
          <t xml:space="preserve">403</t>
        </is>
      </c>
      <c r="B82" s="0" t="inlineStr">
        <is>
          <t xml:space="preserve">Fournisseurs - effets à payer</t>
        </is>
      </c>
      <c r="C82" s="5" t="inlineStr">
        <is>
          <t xml:space="preserve">BZ</t>
        </is>
      </c>
      <c r="D82" s="5" t="inlineStr">
        <is>
          <t xml:space="preserve">DX</t>
        </is>
      </c>
      <c r="E82" s="5" t="inlineStr">
        <is>
          <t xml:space="preserve">FOURNISSEURS</t>
        </is>
      </c>
      <c r="F82" s="5" t="inlineStr">
        <is>
          <t xml:space="preserve">FOURNISSEURS</t>
        </is>
      </c>
      <c r="H82" s="0" t="inlineStr">
        <is>
          <t xml:space="preserve">FM</t>
        </is>
      </c>
      <c r="I82" s="6" t="inlineStr">
        <is>
          <t xml:space="preserve">222</t>
        </is>
      </c>
    </row>
    <row r="83">
      <c r="A83" s="4" t="inlineStr">
        <is>
          <t xml:space="preserve">404</t>
        </is>
      </c>
      <c r="B83" s="0" t="inlineStr">
        <is>
          <t xml:space="preserve">Fournisseurs d'immobilisations</t>
        </is>
      </c>
      <c r="C83" s="5" t="inlineStr">
        <is>
          <t xml:space="preserve">BZ</t>
        </is>
      </c>
      <c r="D83" s="5" t="inlineStr">
        <is>
          <t xml:space="preserve">DZ</t>
        </is>
      </c>
      <c r="E83" s="5" t="inlineStr">
        <is>
          <t xml:space="preserve">AUTRES_DETTES</t>
        </is>
      </c>
      <c r="F83" s="5" t="inlineStr">
        <is>
          <t xml:space="preserve">AUTRES_DETTES</t>
        </is>
      </c>
      <c r="H83" s="0" t="inlineStr">
        <is>
          <t xml:space="preserve">FN</t>
        </is>
      </c>
      <c r="I83" s="6" t="inlineStr">
        <is>
          <t xml:space="preserve">224</t>
        </is>
      </c>
    </row>
    <row r="84">
      <c r="A84" s="4" t="inlineStr">
        <is>
          <t xml:space="preserve">405</t>
        </is>
      </c>
      <c r="B84" s="0" t="inlineStr">
        <is>
          <t xml:space="preserve">Fournisseurs d'immobilisations - effets</t>
        </is>
      </c>
      <c r="C84" s="5" t="inlineStr">
        <is>
          <t xml:space="preserve">BZ</t>
        </is>
      </c>
      <c r="D84" s="5" t="inlineStr">
        <is>
          <t xml:space="preserve">DZ</t>
        </is>
      </c>
      <c r="E84" s="5" t="inlineStr">
        <is>
          <t xml:space="preserve">AUTRES_DETTES</t>
        </is>
      </c>
      <c r="F84" s="5" t="inlineStr">
        <is>
          <t xml:space="preserve">AUTRES_DETTES</t>
        </is>
      </c>
      <c r="H84" s="0" t="inlineStr">
        <is>
          <t xml:space="preserve">FO</t>
        </is>
      </c>
      <c r="I84" s="6" t="inlineStr">
        <is>
          <t xml:space="preserve">226</t>
        </is>
      </c>
    </row>
    <row r="85">
      <c r="A85" s="4" t="inlineStr">
        <is>
          <t xml:space="preserve">408</t>
        </is>
      </c>
      <c r="B85" s="0" t="inlineStr">
        <is>
          <t xml:space="preserve">Fournisseurs - factures non parvenues</t>
        </is>
      </c>
      <c r="C85" s="5" t="inlineStr">
        <is>
          <t xml:space="preserve">BZ</t>
        </is>
      </c>
      <c r="D85" s="5" t="inlineStr">
        <is>
          <t xml:space="preserve">DX</t>
        </is>
      </c>
      <c r="E85" s="5" t="inlineStr">
        <is>
          <t xml:space="preserve">FOURNISSEURS</t>
        </is>
      </c>
      <c r="F85" s="5" t="inlineStr">
        <is>
          <t xml:space="preserve">FOURNISSEURS</t>
        </is>
      </c>
      <c r="H85" s="0" t="inlineStr">
        <is>
          <t xml:space="preserve">FP</t>
        </is>
      </c>
      <c r="I85" s="6" t="inlineStr">
        <is>
          <t xml:space="preserve">230</t>
        </is>
      </c>
    </row>
    <row r="86">
      <c r="A86" s="4" t="inlineStr">
        <is>
          <t xml:space="preserve">409</t>
        </is>
      </c>
      <c r="B86" s="0" t="inlineStr">
        <is>
          <t xml:space="preserve">Fournisseurs débiteurs, avances versées</t>
        </is>
      </c>
      <c r="C86" s="5" t="inlineStr">
        <is>
          <t xml:space="preserve">BV</t>
        </is>
      </c>
      <c r="D86" s="5" t="inlineStr">
        <is>
          <t xml:space="preserve">DX</t>
        </is>
      </c>
      <c r="E86" s="5" t="inlineStr">
        <is>
          <t xml:space="preserve">FOURNISSEURS</t>
        </is>
      </c>
      <c r="F86" s="5" t="inlineStr">
        <is>
          <t xml:space="preserve">FOURNISSEURS</t>
        </is>
      </c>
      <c r="H86" s="0" t="inlineStr">
        <is>
          <t xml:space="preserve">FQ</t>
        </is>
      </c>
      <c r="I86" s="6" t="inlineStr">
        <is>
          <t xml:space="preserve">230</t>
        </is>
      </c>
    </row>
    <row r="87">
      <c r="A87" s="4" t="inlineStr">
        <is>
          <t xml:space="preserve">4096</t>
        </is>
      </c>
      <c r="B87" s="0" t="inlineStr">
        <is>
          <t xml:space="preserve">Fournisseurs - créances pour emballages</t>
        </is>
      </c>
      <c r="C87" s="5" t="inlineStr">
        <is>
          <t xml:space="preserve">BZ</t>
        </is>
      </c>
      <c r="D87" s="5" t="inlineStr">
        <is>
          <t xml:space="preserve">DX</t>
        </is>
      </c>
      <c r="E87" s="5" t="inlineStr">
        <is>
          <t xml:space="preserve">FOURNISSEURS</t>
        </is>
      </c>
      <c r="F87" s="5" t="inlineStr">
        <is>
          <t xml:space="preserve">FOURNISSEURS</t>
        </is>
      </c>
      <c r="H87" s="0" t="inlineStr">
        <is>
          <t xml:space="preserve">GH</t>
        </is>
      </c>
      <c r="I87" s="6" t="inlineStr">
        <is>
          <t xml:space="preserve">230</t>
        </is>
      </c>
    </row>
    <row r="88">
      <c r="A88" s="4" t="inlineStr">
        <is>
          <t xml:space="preserve">4097</t>
        </is>
      </c>
      <c r="B88" s="0" t="inlineStr">
        <is>
          <t xml:space="preserve">Fournisseurs - autres avoirs</t>
        </is>
      </c>
      <c r="C88" s="5" t="inlineStr">
        <is>
          <t xml:space="preserve">BZ</t>
        </is>
      </c>
      <c r="D88" s="5" t="inlineStr">
        <is>
          <t xml:space="preserve">DX</t>
        </is>
      </c>
      <c r="E88" s="5" t="inlineStr">
        <is>
          <t xml:space="preserve">FOURNISSEURS</t>
        </is>
      </c>
      <c r="F88" s="5" t="inlineStr">
        <is>
          <t xml:space="preserve">FOURNISSEURS</t>
        </is>
      </c>
      <c r="H88" s="0" t="inlineStr">
        <is>
          <t xml:space="preserve">FS</t>
        </is>
      </c>
      <c r="I88" s="6" t="inlineStr">
        <is>
          <t xml:space="preserve">234</t>
        </is>
      </c>
    </row>
    <row r="89">
      <c r="A89" s="4" t="inlineStr">
        <is>
          <t xml:space="preserve">4098</t>
        </is>
      </c>
      <c r="B89" s="0" t="inlineStr">
        <is>
          <t xml:space="preserve">Rabais, remises, avoirs à obtenir</t>
        </is>
      </c>
      <c r="C89" s="5" t="inlineStr">
        <is>
          <t xml:space="preserve">BZ</t>
        </is>
      </c>
      <c r="D89" s="5" t="inlineStr">
        <is>
          <t xml:space="preserve">DX</t>
        </is>
      </c>
      <c r="E89" s="5" t="inlineStr">
        <is>
          <t xml:space="preserve">FOURNISSEURS</t>
        </is>
      </c>
      <c r="F89" s="5" t="inlineStr">
        <is>
          <t xml:space="preserve">FOURNISSEURS</t>
        </is>
      </c>
      <c r="H89" s="0" t="inlineStr">
        <is>
          <t xml:space="preserve">FT</t>
        </is>
      </c>
      <c r="I89" s="6" t="inlineStr">
        <is>
          <t xml:space="preserve">236</t>
        </is>
      </c>
    </row>
    <row r="90">
      <c r="A90" s="4" t="inlineStr">
        <is>
          <t xml:space="preserve">411</t>
        </is>
      </c>
      <c r="B90" s="0" t="inlineStr">
        <is>
          <t xml:space="preserve">Clients</t>
        </is>
      </c>
      <c r="C90" s="5" t="inlineStr">
        <is>
          <t xml:space="preserve">BX</t>
        </is>
      </c>
      <c r="D90" s="5" t="inlineStr">
        <is>
          <t xml:space="preserve">EA</t>
        </is>
      </c>
      <c r="E90" s="5" t="inlineStr">
        <is>
          <t xml:space="preserve">CLIENTS</t>
        </is>
      </c>
      <c r="F90" s="5" t="inlineStr">
        <is>
          <t xml:space="preserve">CLIENTS</t>
        </is>
      </c>
      <c r="H90" s="0" t="inlineStr">
        <is>
          <t xml:space="preserve">FU</t>
        </is>
      </c>
      <c r="I90" s="6" t="inlineStr">
        <is>
          <t xml:space="preserve">238</t>
        </is>
      </c>
    </row>
    <row r="91">
      <c r="A91" s="4" t="inlineStr">
        <is>
          <t xml:space="preserve">412</t>
        </is>
      </c>
      <c r="B91" s="0" t="inlineStr">
        <is>
          <t xml:space="preserve">Clients (comptes spécifiques)</t>
        </is>
      </c>
      <c r="C91" s="5" t="inlineStr">
        <is>
          <t xml:space="preserve">BX</t>
        </is>
      </c>
      <c r="D91" s="5" t="inlineStr">
        <is>
          <t xml:space="preserve">EA</t>
        </is>
      </c>
      <c r="E91" s="5" t="inlineStr">
        <is>
          <t xml:space="preserve">CLIENTS</t>
        </is>
      </c>
      <c r="F91" s="5" t="inlineStr">
        <is>
          <t xml:space="preserve">CLIENTS</t>
        </is>
      </c>
      <c r="H91" s="0" t="inlineStr">
        <is>
          <t xml:space="preserve">FV</t>
        </is>
      </c>
      <c r="I91" s="6" t="inlineStr">
        <is>
          <t xml:space="preserve">240</t>
        </is>
      </c>
    </row>
    <row r="92">
      <c r="A92" s="4" t="inlineStr">
        <is>
          <t xml:space="preserve">413</t>
        </is>
      </c>
      <c r="B92" s="0" t="inlineStr">
        <is>
          <t xml:space="preserve">Clients - effets à recevoir</t>
        </is>
      </c>
      <c r="C92" s="5" t="inlineStr">
        <is>
          <t xml:space="preserve">BX</t>
        </is>
      </c>
      <c r="D92" s="5" t="inlineStr">
        <is>
          <t xml:space="preserve">EA</t>
        </is>
      </c>
      <c r="E92" s="5" t="inlineStr">
        <is>
          <t xml:space="preserve">CLIENTS</t>
        </is>
      </c>
      <c r="F92" s="5" t="inlineStr">
        <is>
          <t xml:space="preserve">CLIENTS</t>
        </is>
      </c>
      <c r="H92" s="0" t="inlineStr">
        <is>
          <t xml:space="preserve">FW</t>
        </is>
      </c>
      <c r="I92" s="6" t="inlineStr">
        <is>
          <t xml:space="preserve">242</t>
        </is>
      </c>
    </row>
    <row r="93">
      <c r="A93" s="4" t="inlineStr">
        <is>
          <t xml:space="preserve">416</t>
        </is>
      </c>
      <c r="B93" s="0" t="inlineStr">
        <is>
          <t xml:space="preserve">Clients douteux</t>
        </is>
      </c>
      <c r="C93" s="5" t="inlineStr">
        <is>
          <t xml:space="preserve">BX</t>
        </is>
      </c>
      <c r="D93" s="5" t="inlineStr">
        <is>
          <t xml:space="preserve">EA</t>
        </is>
      </c>
      <c r="E93" s="5" t="inlineStr">
        <is>
          <t xml:space="preserve">CLIENTS</t>
        </is>
      </c>
      <c r="F93" s="5" t="inlineStr">
        <is>
          <t xml:space="preserve">CLIENTS</t>
        </is>
      </c>
      <c r="H93" s="0" t="inlineStr">
        <is>
          <t xml:space="preserve">FX</t>
        </is>
      </c>
      <c r="I93" s="6" t="inlineStr">
        <is>
          <t xml:space="preserve">244</t>
        </is>
      </c>
    </row>
    <row r="94">
      <c r="A94" s="4" t="inlineStr">
        <is>
          <t xml:space="preserve">417</t>
        </is>
      </c>
      <c r="B94" s="0" t="inlineStr">
        <is>
          <t xml:space="preserve">Créances sur travaux non facturables</t>
        </is>
      </c>
      <c r="C94" s="5" t="inlineStr">
        <is>
          <t xml:space="preserve">BX</t>
        </is>
      </c>
      <c r="D94" s="5" t="inlineStr">
        <is>
          <t xml:space="preserve">EA</t>
        </is>
      </c>
      <c r="E94" s="5" t="inlineStr">
        <is>
          <t xml:space="preserve">CLIENTS</t>
        </is>
      </c>
      <c r="F94" s="5" t="inlineStr">
        <is>
          <t xml:space="preserve">CLIENTS</t>
        </is>
      </c>
      <c r="H94" s="0" t="inlineStr">
        <is>
          <t xml:space="preserve">FY</t>
        </is>
      </c>
      <c r="I94" s="6" t="inlineStr">
        <is>
          <t xml:space="preserve">250</t>
        </is>
      </c>
    </row>
    <row r="95">
      <c r="A95" s="4" t="inlineStr">
        <is>
          <t xml:space="preserve">418</t>
        </is>
      </c>
      <c r="B95" s="0" t="inlineStr">
        <is>
          <t xml:space="preserve">Clients - factures à établir</t>
        </is>
      </c>
      <c r="C95" s="5" t="inlineStr">
        <is>
          <t xml:space="preserve">BX</t>
        </is>
      </c>
      <c r="D95" s="5" t="inlineStr">
        <is>
          <t xml:space="preserve">EA</t>
        </is>
      </c>
      <c r="E95" s="5" t="inlineStr">
        <is>
          <t xml:space="preserve">CLIENTS</t>
        </is>
      </c>
      <c r="F95" s="5" t="inlineStr">
        <is>
          <t xml:space="preserve">CLIENTS</t>
        </is>
      </c>
      <c r="H95" s="0" t="inlineStr">
        <is>
          <t xml:space="preserve">FZ</t>
        </is>
      </c>
      <c r="I95" s="6" t="inlineStr">
        <is>
          <t xml:space="preserve">252</t>
        </is>
      </c>
    </row>
    <row r="96">
      <c r="A96" s="4" t="inlineStr">
        <is>
          <t xml:space="preserve">419</t>
        </is>
      </c>
      <c r="B96" s="0" t="inlineStr">
        <is>
          <t xml:space="preserve">Clients créditeurs (avoirs et RRR à accorder)</t>
        </is>
      </c>
      <c r="C96" s="5" t="inlineStr">
        <is>
          <t xml:space="preserve">BX</t>
        </is>
      </c>
      <c r="D96" s="5" t="inlineStr">
        <is>
          <t xml:space="preserve">EA</t>
        </is>
      </c>
      <c r="E96" s="5" t="inlineStr">
        <is>
          <t xml:space="preserve">CLIENTS</t>
        </is>
      </c>
      <c r="F96" s="5" t="inlineStr">
        <is>
          <t xml:space="preserve">CLIENTS</t>
        </is>
      </c>
      <c r="H96" s="0" t="inlineStr">
        <is>
          <t xml:space="preserve">GA</t>
        </is>
      </c>
      <c r="I96" s="6" t="inlineStr">
        <is>
          <t xml:space="preserve">254</t>
        </is>
      </c>
    </row>
    <row r="97">
      <c r="A97" s="4" t="inlineStr">
        <is>
          <t xml:space="preserve">4191</t>
        </is>
      </c>
      <c r="B97" s="0" t="inlineStr">
        <is>
          <t xml:space="preserve">Clients - avances et acomptes reçus sur commandes</t>
        </is>
      </c>
      <c r="C97" s="5" t="inlineStr">
        <is>
          <t xml:space="preserve">BX</t>
        </is>
      </c>
      <c r="D97" s="5" t="inlineStr">
        <is>
          <t xml:space="preserve">DW</t>
        </is>
      </c>
      <c r="E97" s="5" t="inlineStr">
        <is>
          <t xml:space="preserve">CLIENTS</t>
        </is>
      </c>
      <c r="F97" s="5" t="inlineStr">
        <is>
          <t xml:space="preserve">CLIENTS</t>
        </is>
      </c>
      <c r="H97" s="0" t="inlineStr">
        <is>
          <t xml:space="preserve">GB</t>
        </is>
      </c>
      <c r="I97" s="6" t="inlineStr">
        <is>
          <t xml:space="preserve">256</t>
        </is>
      </c>
    </row>
    <row r="98">
      <c r="A98" s="4" t="inlineStr">
        <is>
          <t xml:space="preserve">42</t>
        </is>
      </c>
      <c r="B98" s="0" t="inlineStr">
        <is>
          <t xml:space="preserve">Personnel</t>
        </is>
      </c>
      <c r="C98" s="5" t="inlineStr">
        <is>
          <t xml:space="preserve">BZ</t>
        </is>
      </c>
      <c r="D98" s="5" t="inlineStr">
        <is>
          <t xml:space="preserve">DY</t>
        </is>
      </c>
      <c r="E98" s="5" t="inlineStr">
        <is>
          <t xml:space="preserve">DETTES_SOCIALES</t>
        </is>
      </c>
      <c r="F98" s="5" t="inlineStr">
        <is>
          <t xml:space="preserve">DETTES_SOCIALES</t>
        </is>
      </c>
      <c r="H98" s="0" t="inlineStr">
        <is>
          <t xml:space="preserve">GC</t>
        </is>
      </c>
      <c r="I98" s="6" t="inlineStr">
        <is>
          <t xml:space="preserve">256</t>
        </is>
      </c>
    </row>
    <row r="99">
      <c r="A99" s="4" t="inlineStr">
        <is>
          <t xml:space="preserve">4287</t>
        </is>
      </c>
      <c r="B99" s="0" t="inlineStr">
        <is>
          <t xml:space="preserve">Personnel - produits à recevoir</t>
        </is>
      </c>
      <c r="C99" s="5" t="inlineStr">
        <is>
          <t xml:space="preserve">BZ</t>
        </is>
      </c>
      <c r="D99" s="5" t="inlineStr">
        <is>
          <t xml:space="preserve">DY</t>
        </is>
      </c>
      <c r="E99" s="5" t="inlineStr">
        <is>
          <t xml:space="preserve">DETTES_SOCIALES</t>
        </is>
      </c>
      <c r="F99" s="5" t="inlineStr">
        <is>
          <t xml:space="preserve">DETTES_SOCIALES</t>
        </is>
      </c>
      <c r="H99" s="0" t="inlineStr">
        <is>
          <t xml:space="preserve">GD</t>
        </is>
      </c>
      <c r="I99" s="6" t="inlineStr">
        <is>
          <t xml:space="preserve">256</t>
        </is>
      </c>
    </row>
    <row r="100">
      <c r="A100" s="4" t="inlineStr">
        <is>
          <t xml:space="preserve">43</t>
        </is>
      </c>
      <c r="B100" s="0" t="inlineStr">
        <is>
          <t xml:space="preserve">Organismes sociaux</t>
        </is>
      </c>
      <c r="C100" s="5" t="inlineStr">
        <is>
          <t xml:space="preserve">BZ</t>
        </is>
      </c>
      <c r="D100" s="5" t="inlineStr">
        <is>
          <t xml:space="preserve">DY</t>
        </is>
      </c>
      <c r="E100" s="5" t="inlineStr">
        <is>
          <t xml:space="preserve">DETTES_SOCIALES</t>
        </is>
      </c>
      <c r="F100" s="5" t="inlineStr">
        <is>
          <t xml:space="preserve">DETTES_SOCIALES</t>
        </is>
      </c>
      <c r="H100" s="0" t="inlineStr">
        <is>
          <t xml:space="preserve">GE</t>
        </is>
      </c>
      <c r="I100" s="6" t="inlineStr">
        <is>
          <t xml:space="preserve">262</t>
        </is>
      </c>
    </row>
    <row r="101">
      <c r="A101" s="4" t="inlineStr">
        <is>
          <t xml:space="preserve">44</t>
        </is>
      </c>
      <c r="B101" s="0" t="inlineStr">
        <is>
          <t xml:space="preserve">État et collectivités</t>
        </is>
      </c>
      <c r="C101" s="5" t="inlineStr">
        <is>
          <t xml:space="preserve">BZ</t>
        </is>
      </c>
      <c r="D101" s="5" t="inlineStr">
        <is>
          <t xml:space="preserve">DY</t>
        </is>
      </c>
      <c r="E101" s="5" t="inlineStr">
        <is>
          <t xml:space="preserve">DETTES_FISCALES</t>
        </is>
      </c>
      <c r="F101" s="5" t="inlineStr">
        <is>
          <t xml:space="preserve">DETTES_FISCALES</t>
        </is>
      </c>
      <c r="H101" s="0" t="inlineStr">
        <is>
          <t xml:space="preserve">GI</t>
        </is>
      </c>
      <c r="I101" s="6" t="inlineStr">
        <is>
          <t xml:space="preserve">262</t>
        </is>
      </c>
    </row>
    <row r="102">
      <c r="A102" s="4" t="inlineStr">
        <is>
          <t xml:space="preserve">441</t>
        </is>
      </c>
      <c r="B102" s="0" t="inlineStr">
        <is>
          <t xml:space="preserve">État - subventions à recevoir</t>
        </is>
      </c>
      <c r="C102" s="5" t="inlineStr">
        <is>
          <t xml:space="preserve">BZ</t>
        </is>
      </c>
      <c r="D102" s="5" t="inlineStr">
        <is>
          <t xml:space="preserve">DY</t>
        </is>
      </c>
      <c r="E102" s="5" t="inlineStr">
        <is>
          <t xml:space="preserve">AUTRES_CREANCES</t>
        </is>
      </c>
      <c r="F102" s="5" t="inlineStr">
        <is>
          <t xml:space="preserve">AUTRES_CREANCES</t>
        </is>
      </c>
      <c r="H102" s="0" t="inlineStr">
        <is>
          <t xml:space="preserve">GJ</t>
        </is>
      </c>
      <c r="I102" s="6" t="inlineStr">
        <is>
          <t xml:space="preserve">280</t>
        </is>
      </c>
    </row>
    <row r="103">
      <c r="A103" s="4" t="inlineStr">
        <is>
          <t xml:space="preserve">45</t>
        </is>
      </c>
      <c r="B103" s="0" t="inlineStr">
        <is>
          <t xml:space="preserve">Groupe et associés</t>
        </is>
      </c>
      <c r="C103" s="5" t="inlineStr">
        <is>
          <t xml:space="preserve">BZ</t>
        </is>
      </c>
      <c r="D103" s="5" t="inlineStr">
        <is>
          <t xml:space="preserve">DV</t>
        </is>
      </c>
      <c r="E103" s="5" t="inlineStr">
        <is>
          <t xml:space="preserve">COMPTES_COURANTS</t>
        </is>
      </c>
      <c r="F103" s="5" t="inlineStr">
        <is>
          <t xml:space="preserve">COMPTES_COURANTS</t>
        </is>
      </c>
      <c r="H103" s="0" t="inlineStr">
        <is>
          <t xml:space="preserve">GK</t>
        </is>
      </c>
      <c r="I103" s="6" t="inlineStr">
        <is>
          <t xml:space="preserve">280</t>
        </is>
      </c>
    </row>
    <row r="104">
      <c r="A104" s="4" t="inlineStr">
        <is>
          <t xml:space="preserve">457</t>
        </is>
      </c>
      <c r="B104" s="0" t="inlineStr">
        <is>
          <t xml:space="preserve">Associés - dividendes à payer</t>
        </is>
      </c>
      <c r="C104" s="5" t="inlineStr">
        <is>
          <t xml:space="preserve">BZ</t>
        </is>
      </c>
      <c r="D104" s="5" t="inlineStr">
        <is>
          <t xml:space="preserve">EA</t>
        </is>
      </c>
      <c r="E104" s="5" t="inlineStr">
        <is>
          <t xml:space="preserve">AUTRES_DETTES</t>
        </is>
      </c>
      <c r="F104" s="5" t="inlineStr">
        <is>
          <t xml:space="preserve">AUTRES_DETTES</t>
        </is>
      </c>
      <c r="H104" s="0" t="inlineStr">
        <is>
          <t xml:space="preserve">GL</t>
        </is>
      </c>
      <c r="I104" s="6" t="inlineStr">
        <is>
          <t xml:space="preserve">280</t>
        </is>
      </c>
    </row>
    <row r="105">
      <c r="A105" s="4" t="inlineStr">
        <is>
          <t xml:space="preserve">46</t>
        </is>
      </c>
      <c r="B105" s="0" t="inlineStr">
        <is>
          <t xml:space="preserve">Débiteurs et créditeurs divers</t>
        </is>
      </c>
      <c r="C105" s="5" t="inlineStr">
        <is>
          <t xml:space="preserve">BZ</t>
        </is>
      </c>
      <c r="D105" s="5" t="inlineStr">
        <is>
          <t xml:space="preserve">EA</t>
        </is>
      </c>
      <c r="E105" s="5" t="inlineStr">
        <is>
          <t xml:space="preserve">AUTRES_CREANCES</t>
        </is>
      </c>
      <c r="F105" s="5" t="inlineStr">
        <is>
          <t xml:space="preserve">AUTRES_DETTES</t>
        </is>
      </c>
      <c r="H105" s="0" t="inlineStr">
        <is>
          <t xml:space="preserve">GM</t>
        </is>
      </c>
      <c r="I105" s="6" t="inlineStr">
        <is>
          <t xml:space="preserve">280</t>
        </is>
      </c>
    </row>
    <row r="106">
      <c r="A106" s="4" t="inlineStr">
        <is>
          <t xml:space="preserve">47</t>
        </is>
      </c>
      <c r="B106" s="0" t="inlineStr">
        <is>
          <t xml:space="preserve">Comptes d'attente</t>
        </is>
      </c>
      <c r="C106" s="5" t="inlineStr">
        <is>
          <t xml:space="preserve">BZ</t>
        </is>
      </c>
      <c r="D106" s="5" t="inlineStr">
        <is>
          <t xml:space="preserve">EA</t>
        </is>
      </c>
      <c r="E106" s="5" t="inlineStr">
        <is>
          <t xml:space="preserve">AUTRES_CREANCES</t>
        </is>
      </c>
      <c r="F106" s="5" t="inlineStr">
        <is>
          <t xml:space="preserve">AUTRES_DETTES</t>
        </is>
      </c>
      <c r="H106" s="0" t="inlineStr">
        <is>
          <t xml:space="preserve">GN</t>
        </is>
      </c>
      <c r="I106" s="6" t="inlineStr">
        <is>
          <t xml:space="preserve">280</t>
        </is>
      </c>
    </row>
    <row r="107">
      <c r="A107" s="4" t="inlineStr">
        <is>
          <t xml:space="preserve">476</t>
        </is>
      </c>
      <c r="B107" s="0" t="inlineStr">
        <is>
          <t xml:space="preserve">Écarts de conversion actif</t>
        </is>
      </c>
      <c r="C107" s="5" t="inlineStr">
        <is>
          <t xml:space="preserve">CN</t>
        </is>
      </c>
      <c r="D107" s="5" t="inlineStr">
        <is>
          <t xml:space="preserve">CN</t>
        </is>
      </c>
      <c r="E107" s="5" t="inlineStr">
        <is>
          <t xml:space="preserve">AUTRES_CREANCES</t>
        </is>
      </c>
      <c r="F107" s="5" t="inlineStr">
        <is>
          <t xml:space="preserve">AUTRES_CREANCES</t>
        </is>
      </c>
      <c r="H107" s="0" t="inlineStr">
        <is>
          <t xml:space="preserve">GO</t>
        </is>
      </c>
      <c r="I107" s="6" t="inlineStr">
        <is>
          <t xml:space="preserve">280</t>
        </is>
      </c>
    </row>
    <row r="108">
      <c r="A108" s="4" t="inlineStr">
        <is>
          <t xml:space="preserve">477</t>
        </is>
      </c>
      <c r="B108" s="0" t="inlineStr">
        <is>
          <t xml:space="preserve">Écarts de conversion passif</t>
        </is>
      </c>
      <c r="C108" s="5" t="inlineStr">
        <is>
          <t xml:space="preserve">ED</t>
        </is>
      </c>
      <c r="D108" s="5" t="inlineStr">
        <is>
          <t xml:space="preserve">ED</t>
        </is>
      </c>
      <c r="E108" s="5" t="inlineStr">
        <is>
          <t xml:space="preserve">AUTRES_DETTES</t>
        </is>
      </c>
      <c r="F108" s="5" t="inlineStr">
        <is>
          <t xml:space="preserve">AUTRES_DETTES</t>
        </is>
      </c>
      <c r="H108" s="0" t="inlineStr">
        <is>
          <t xml:space="preserve">GQ</t>
        </is>
      </c>
      <c r="I108" s="6" t="inlineStr">
        <is>
          <t xml:space="preserve">294</t>
        </is>
      </c>
    </row>
    <row r="109">
      <c r="A109" s="4" t="inlineStr">
        <is>
          <t xml:space="preserve">481</t>
        </is>
      </c>
      <c r="B109" s="0" t="inlineStr">
        <is>
          <t xml:space="preserve">Charges à répartir</t>
        </is>
      </c>
      <c r="C109" s="5" t="inlineStr">
        <is>
          <t xml:space="preserve">CW</t>
        </is>
      </c>
      <c r="D109" s="5" t="inlineStr">
        <is>
          <t xml:space="preserve">CW</t>
        </is>
      </c>
      <c r="E109" s="5" t="inlineStr">
        <is>
          <t xml:space="preserve">AUTRES_CREANCES</t>
        </is>
      </c>
      <c r="F109" s="5" t="inlineStr">
        <is>
          <t xml:space="preserve">AUTRES_CREANCES</t>
        </is>
      </c>
      <c r="H109" s="0" t="inlineStr">
        <is>
          <t xml:space="preserve">GR</t>
        </is>
      </c>
      <c r="I109" s="6" t="inlineStr">
        <is>
          <t xml:space="preserve">294</t>
        </is>
      </c>
    </row>
    <row r="110">
      <c r="A110" s="4" t="inlineStr">
        <is>
          <t xml:space="preserve">486</t>
        </is>
      </c>
      <c r="B110" s="0" t="inlineStr">
        <is>
          <t xml:space="preserve">Charges constatées d'avance</t>
        </is>
      </c>
      <c r="C110" s="5" t="inlineStr">
        <is>
          <t xml:space="preserve">CH</t>
        </is>
      </c>
      <c r="D110" s="5" t="inlineStr">
        <is>
          <t xml:space="preserve">CH</t>
        </is>
      </c>
      <c r="E110" s="5" t="inlineStr">
        <is>
          <t xml:space="preserve">CCA_PCA</t>
        </is>
      </c>
      <c r="F110" s="5" t="inlineStr">
        <is>
          <t xml:space="preserve">CCA_PCA</t>
        </is>
      </c>
      <c r="H110" s="0" t="inlineStr">
        <is>
          <t xml:space="preserve">GS</t>
        </is>
      </c>
      <c r="I110" s="6" t="inlineStr">
        <is>
          <t xml:space="preserve">294</t>
        </is>
      </c>
    </row>
    <row r="111">
      <c r="A111" s="4" t="inlineStr">
        <is>
          <t xml:space="preserve">487</t>
        </is>
      </c>
      <c r="B111" s="0" t="inlineStr">
        <is>
          <t xml:space="preserve">Produits constatés d'avance</t>
        </is>
      </c>
      <c r="C111" s="5" t="inlineStr">
        <is>
          <t xml:space="preserve">EB</t>
        </is>
      </c>
      <c r="D111" s="5" t="inlineStr">
        <is>
          <t xml:space="preserve">EB</t>
        </is>
      </c>
      <c r="E111" s="5" t="inlineStr">
        <is>
          <t xml:space="preserve">CCA_PCA</t>
        </is>
      </c>
      <c r="F111" s="5" t="inlineStr">
        <is>
          <t xml:space="preserve">CCA_PCA</t>
        </is>
      </c>
      <c r="H111" s="0" t="inlineStr">
        <is>
          <t xml:space="preserve">GT</t>
        </is>
      </c>
      <c r="I111" s="6" t="inlineStr">
        <is>
          <t xml:space="preserve">294</t>
        </is>
      </c>
    </row>
    <row r="112">
      <c r="A112" s="4" t="inlineStr">
        <is>
          <t xml:space="preserve">491</t>
        </is>
      </c>
      <c r="B112" s="0" t="inlineStr">
        <is>
          <t xml:space="preserve">Dépréc. comptes clients</t>
        </is>
      </c>
      <c r="C112" s="5" t="inlineStr">
        <is>
          <t xml:space="preserve">BY</t>
        </is>
      </c>
      <c r="D112" s="5" t="inlineStr">
        <is>
          <t xml:space="preserve">BY</t>
        </is>
      </c>
      <c r="E112" s="5" t="inlineStr">
        <is>
          <t xml:space="preserve">CLIENTS</t>
        </is>
      </c>
      <c r="F112" s="5" t="inlineStr">
        <is>
          <t xml:space="preserve">CLIENTS</t>
        </is>
      </c>
      <c r="H112" s="0" t="inlineStr">
        <is>
          <t xml:space="preserve">HA</t>
        </is>
      </c>
      <c r="I112" s="6" t="inlineStr">
        <is>
          <t xml:space="preserve">290</t>
        </is>
      </c>
    </row>
    <row r="113">
      <c r="A113" s="4" t="inlineStr">
        <is>
          <t xml:space="preserve">495</t>
        </is>
      </c>
      <c r="B113" s="0" t="inlineStr">
        <is>
          <t xml:space="preserve">Dépréc. comptes de tiers</t>
        </is>
      </c>
      <c r="C113" s="5" t="inlineStr">
        <is>
          <t xml:space="preserve">CA</t>
        </is>
      </c>
      <c r="D113" s="5" t="inlineStr">
        <is>
          <t xml:space="preserve">CA</t>
        </is>
      </c>
      <c r="E113" s="5" t="inlineStr">
        <is>
          <t xml:space="preserve">AUTRES_CREANCES</t>
        </is>
      </c>
      <c r="F113" s="5" t="inlineStr">
        <is>
          <t xml:space="preserve">AUTRES_CREANCES</t>
        </is>
      </c>
      <c r="H113" s="0" t="inlineStr">
        <is>
          <t xml:space="preserve">HB</t>
        </is>
      </c>
      <c r="I113" s="6" t="inlineStr">
        <is>
          <t xml:space="preserve">290</t>
        </is>
      </c>
    </row>
    <row r="114">
      <c r="A114" s="4" t="inlineStr">
        <is>
          <t xml:space="preserve">496</t>
        </is>
      </c>
      <c r="B114" s="0" t="inlineStr">
        <is>
          <t xml:space="preserve">Dépréc. débiteurs divers</t>
        </is>
      </c>
      <c r="C114" s="5" t="inlineStr">
        <is>
          <t xml:space="preserve">CA</t>
        </is>
      </c>
      <c r="D114" s="5" t="inlineStr">
        <is>
          <t xml:space="preserve">CA</t>
        </is>
      </c>
      <c r="E114" s="5" t="inlineStr">
        <is>
          <t xml:space="preserve">AUTRES_CREANCES</t>
        </is>
      </c>
      <c r="F114" s="5" t="inlineStr">
        <is>
          <t xml:space="preserve">AUTRES_CREANCES</t>
        </is>
      </c>
      <c r="H114" s="0" t="inlineStr">
        <is>
          <t xml:space="preserve">HC</t>
        </is>
      </c>
      <c r="I114" s="6" t="inlineStr">
        <is>
          <t xml:space="preserve">290</t>
        </is>
      </c>
    </row>
    <row r="115">
      <c r="A115" s="4" t="inlineStr">
        <is>
          <t xml:space="preserve">50</t>
        </is>
      </c>
      <c r="B115" s="0" t="inlineStr">
        <is>
          <t xml:space="preserve">Valeurs mobilières de placement</t>
        </is>
      </c>
      <c r="C115" s="5" t="inlineStr">
        <is>
          <t xml:space="preserve">CD</t>
        </is>
      </c>
      <c r="D115" s="5" t="inlineStr">
        <is>
          <t xml:space="preserve">CD</t>
        </is>
      </c>
      <c r="E115" s="5" t="inlineStr">
        <is>
          <t xml:space="preserve">TRESORERIE</t>
        </is>
      </c>
      <c r="F115" s="5" t="inlineStr">
        <is>
          <t xml:space="preserve">TRESORERIE</t>
        </is>
      </c>
      <c r="H115" s="0" t="inlineStr">
        <is>
          <t xml:space="preserve">HE</t>
        </is>
      </c>
      <c r="I115" s="6" t="inlineStr">
        <is>
          <t xml:space="preserve">300</t>
        </is>
      </c>
    </row>
    <row r="116">
      <c r="A116" s="4" t="inlineStr">
        <is>
          <t xml:space="preserve">51</t>
        </is>
      </c>
      <c r="B116" s="0" t="inlineStr">
        <is>
          <t xml:space="preserve">Banques</t>
        </is>
      </c>
      <c r="C116" s="5" t="inlineStr">
        <is>
          <t xml:space="preserve">CF</t>
        </is>
      </c>
      <c r="D116" s="5" t="inlineStr">
        <is>
          <t xml:space="preserve">DU</t>
        </is>
      </c>
      <c r="E116" s="5" t="inlineStr">
        <is>
          <t xml:space="preserve">TRESORERIE</t>
        </is>
      </c>
      <c r="F116" s="5" t="inlineStr">
        <is>
          <t xml:space="preserve">CONCOURS_BANCAIRES</t>
        </is>
      </c>
      <c r="H116" s="0" t="inlineStr">
        <is>
          <t xml:space="preserve">HF</t>
        </is>
      </c>
      <c r="I116" s="6" t="inlineStr">
        <is>
          <t xml:space="preserve">300</t>
        </is>
      </c>
    </row>
    <row r="117">
      <c r="A117" s="4" t="inlineStr">
        <is>
          <t xml:space="preserve">5186</t>
        </is>
      </c>
      <c r="B117" s="0" t="inlineStr">
        <is>
          <t xml:space="preserve">Intérêts courus à payer</t>
        </is>
      </c>
      <c r="C117" s="5" t="inlineStr">
        <is>
          <t xml:space="preserve">CF</t>
        </is>
      </c>
      <c r="D117" s="5" t="inlineStr">
        <is>
          <t xml:space="preserve">DU</t>
        </is>
      </c>
      <c r="E117" s="5" t="inlineStr">
        <is>
          <t xml:space="preserve">EMPRUNTS</t>
        </is>
      </c>
      <c r="F117" s="5" t="inlineStr">
        <is>
          <t xml:space="preserve">EMPRUNTS</t>
        </is>
      </c>
      <c r="H117" s="0" t="inlineStr">
        <is>
          <t xml:space="preserve">HG</t>
        </is>
      </c>
      <c r="I117" s="6" t="inlineStr">
        <is>
          <t xml:space="preserve">300</t>
        </is>
      </c>
    </row>
    <row r="118">
      <c r="A118" s="4" t="inlineStr">
        <is>
          <t xml:space="preserve">519</t>
        </is>
      </c>
      <c r="B118" s="0" t="inlineStr">
        <is>
          <t xml:space="preserve">Concours bancaires courants</t>
        </is>
      </c>
      <c r="C118" s="5" t="inlineStr">
        <is>
          <t xml:space="preserve">CF</t>
        </is>
      </c>
      <c r="D118" s="5" t="inlineStr">
        <is>
          <t xml:space="preserve">DU</t>
        </is>
      </c>
      <c r="E118" s="5" t="inlineStr">
        <is>
          <t xml:space="preserve">CONCOURS_BANCAIRES</t>
        </is>
      </c>
      <c r="F118" s="5" t="inlineStr">
        <is>
          <t xml:space="preserve">CONCOURS_BANCAIRES</t>
        </is>
      </c>
      <c r="H118" s="0" t="inlineStr">
        <is>
          <t xml:space="preserve">HJ</t>
        </is>
      </c>
      <c r="I118" s="6" t="inlineStr">
        <is>
          <t xml:space="preserve">300</t>
        </is>
      </c>
    </row>
    <row r="119">
      <c r="A119" s="4" t="inlineStr">
        <is>
          <t xml:space="preserve">53</t>
        </is>
      </c>
      <c r="B119" s="0" t="inlineStr">
        <is>
          <t xml:space="preserve">Caisse</t>
        </is>
      </c>
      <c r="C119" s="5" t="inlineStr">
        <is>
          <t xml:space="preserve">CF</t>
        </is>
      </c>
      <c r="D119" s="5" t="inlineStr">
        <is>
          <t xml:space="preserve">CF</t>
        </is>
      </c>
      <c r="E119" s="5" t="inlineStr">
        <is>
          <t xml:space="preserve">TRESORERIE</t>
        </is>
      </c>
      <c r="F119" s="5" t="inlineStr">
        <is>
          <t xml:space="preserve">TRESORERIE</t>
        </is>
      </c>
      <c r="H119" s="0" t="inlineStr">
        <is>
          <t xml:space="preserve">HK</t>
        </is>
      </c>
      <c r="I119" s="6" t="inlineStr">
        <is>
          <t xml:space="preserve">306</t>
        </is>
      </c>
    </row>
    <row r="120">
      <c r="A120" s="4" t="inlineStr">
        <is>
          <t xml:space="preserve">58</t>
        </is>
      </c>
      <c r="B120" s="0" t="inlineStr">
        <is>
          <t xml:space="preserve">Virements internes</t>
        </is>
      </c>
      <c r="C120" s="5" t="inlineStr">
        <is>
          <t xml:space="preserve">CF</t>
        </is>
      </c>
      <c r="D120" s="5" t="inlineStr">
        <is>
          <t xml:space="preserve">EA</t>
        </is>
      </c>
      <c r="E120" s="5" t="inlineStr">
        <is>
          <t xml:space="preserve">TRESORERIE</t>
        </is>
      </c>
      <c r="F120" s="5" t="inlineStr">
        <is>
          <t xml:space="preserve">TRESORERIE</t>
        </is>
      </c>
    </row>
    <row r="121">
      <c r="A121" s="4" t="inlineStr">
        <is>
          <t xml:space="preserve">59</t>
        </is>
      </c>
      <c r="B121" s="0" t="inlineStr">
        <is>
          <t xml:space="preserve">Dépréc. VMP</t>
        </is>
      </c>
      <c r="C121" s="5" t="inlineStr">
        <is>
          <t xml:space="preserve">CE</t>
        </is>
      </c>
      <c r="D121" s="5" t="inlineStr">
        <is>
          <t xml:space="preserve">CE</t>
        </is>
      </c>
      <c r="E121" s="5" t="inlineStr">
        <is>
          <t xml:space="preserve">TRESORERIE</t>
        </is>
      </c>
      <c r="F121" s="5" t="inlineStr">
        <is>
          <t xml:space="preserve">TRESORERIE</t>
        </is>
      </c>
      <c r="H121" s="2" t="inlineStr">
        <is>
          <t xml:space="preserve">Exception : comptes 45 (comptes courants) → case 173 au lieu de 156.</t>
        </is>
      </c>
    </row>
    <row r="122">
      <c r="A122" s="4" t="inlineStr">
        <is>
          <t xml:space="preserve">601</t>
        </is>
      </c>
      <c r="B122" s="0" t="inlineStr">
        <is>
          <t xml:space="preserve">Achats de matières premières</t>
        </is>
      </c>
      <c r="C122" s="5" t="inlineStr">
        <is>
          <t xml:space="preserve">FU</t>
        </is>
      </c>
      <c r="D122" s="5" t="inlineStr">
        <is>
          <t xml:space="preserve">FU</t>
        </is>
      </c>
      <c r="E122" s="5" t="inlineStr">
        <is>
          <t xml:space="preserve">COUTS_DIRECTS</t>
        </is>
      </c>
      <c r="F122" s="5" t="inlineStr">
        <is>
          <t xml:space="preserve">COUTS_DIRECTS</t>
        </is>
      </c>
    </row>
    <row r="123">
      <c r="A123" s="4" t="inlineStr">
        <is>
          <t xml:space="preserve">602</t>
        </is>
      </c>
      <c r="B123" s="0" t="inlineStr">
        <is>
          <t xml:space="preserve">Achats d'autres approvisionnements</t>
        </is>
      </c>
      <c r="C123" s="5" t="inlineStr">
        <is>
          <t xml:space="preserve">FU</t>
        </is>
      </c>
      <c r="D123" s="5" t="inlineStr">
        <is>
          <t xml:space="preserve">FU</t>
        </is>
      </c>
      <c r="E123" s="5" t="inlineStr">
        <is>
          <t xml:space="preserve">COUTS_DIRECTS</t>
        </is>
      </c>
      <c r="F123" s="5" t="inlineStr">
        <is>
          <t xml:space="preserve">COUTS_DIRECTS</t>
        </is>
      </c>
    </row>
    <row r="124">
      <c r="A124" s="4" t="inlineStr">
        <is>
          <t xml:space="preserve">6031</t>
        </is>
      </c>
      <c r="B124" s="0" t="inlineStr">
        <is>
          <t xml:space="preserve">Variation de stock de matières</t>
        </is>
      </c>
      <c r="C124" s="5" t="inlineStr">
        <is>
          <t xml:space="preserve">FV</t>
        </is>
      </c>
      <c r="D124" s="5" t="inlineStr">
        <is>
          <t xml:space="preserve">FV</t>
        </is>
      </c>
      <c r="E124" s="5" t="inlineStr">
        <is>
          <t xml:space="preserve">COUTS_DIRECTS</t>
        </is>
      </c>
      <c r="F124" s="5" t="inlineStr">
        <is>
          <t xml:space="preserve">COUTS_DIRECTS</t>
        </is>
      </c>
    </row>
    <row r="125">
      <c r="A125" s="4" t="inlineStr">
        <is>
          <t xml:space="preserve">6032</t>
        </is>
      </c>
      <c r="B125" s="0" t="inlineStr">
        <is>
          <t xml:space="preserve">Variation de stock d'approvisionnements</t>
        </is>
      </c>
      <c r="C125" s="5" t="inlineStr">
        <is>
          <t xml:space="preserve">FV</t>
        </is>
      </c>
      <c r="D125" s="5" t="inlineStr">
        <is>
          <t xml:space="preserve">FV</t>
        </is>
      </c>
      <c r="E125" s="5" t="inlineStr">
        <is>
          <t xml:space="preserve">COUTS_DIRECTS</t>
        </is>
      </c>
      <c r="F125" s="5" t="inlineStr">
        <is>
          <t xml:space="preserve">COUTS_DIRECTS</t>
        </is>
      </c>
    </row>
    <row r="126">
      <c r="A126" s="4" t="inlineStr">
        <is>
          <t xml:space="preserve">6037</t>
        </is>
      </c>
      <c r="B126" s="0" t="inlineStr">
        <is>
          <t xml:space="preserve">Variation de stock de marchandises</t>
        </is>
      </c>
      <c r="C126" s="5" t="inlineStr">
        <is>
          <t xml:space="preserve">FT</t>
        </is>
      </c>
      <c r="D126" s="5" t="inlineStr">
        <is>
          <t xml:space="preserve">FT</t>
        </is>
      </c>
      <c r="E126" s="5" t="inlineStr">
        <is>
          <t xml:space="preserve">COUTS_DIRECTS</t>
        </is>
      </c>
      <c r="F126" s="5" t="inlineStr">
        <is>
          <t xml:space="preserve">COUTS_DIRECTS</t>
        </is>
      </c>
    </row>
    <row r="127">
      <c r="A127" s="4" t="inlineStr">
        <is>
          <t xml:space="preserve">604</t>
        </is>
      </c>
      <c r="B127" s="0" t="inlineStr">
        <is>
          <t xml:space="preserve">Achats d'études et prestations (sous-traitance)</t>
        </is>
      </c>
      <c r="C127" s="5" t="inlineStr">
        <is>
          <t xml:space="preserve">FW</t>
        </is>
      </c>
      <c r="D127" s="5" t="inlineStr">
        <is>
          <t xml:space="preserve">FW</t>
        </is>
      </c>
      <c r="E127" s="5" t="inlineStr">
        <is>
          <t xml:space="preserve">COUTS_DIRECTS</t>
        </is>
      </c>
      <c r="F127" s="5" t="inlineStr">
        <is>
          <t xml:space="preserve">COUTS_DIRECTS</t>
        </is>
      </c>
    </row>
    <row r="128">
      <c r="A128" s="4" t="inlineStr">
        <is>
          <t xml:space="preserve">605</t>
        </is>
      </c>
      <c r="B128" s="0" t="inlineStr">
        <is>
          <t xml:space="preserve">Achats de matériel et travaux</t>
        </is>
      </c>
      <c r="C128" s="5" t="inlineStr">
        <is>
          <t xml:space="preserve">FW</t>
        </is>
      </c>
      <c r="D128" s="5" t="inlineStr">
        <is>
          <t xml:space="preserve">FW</t>
        </is>
      </c>
      <c r="E128" s="5" t="inlineStr">
        <is>
          <t xml:space="preserve">COUTS_DIRECTS</t>
        </is>
      </c>
      <c r="F128" s="5" t="inlineStr">
        <is>
          <t xml:space="preserve">COUTS_DIRECTS</t>
        </is>
      </c>
    </row>
    <row r="129">
      <c r="A129" s="4" t="inlineStr">
        <is>
          <t xml:space="preserve">606</t>
        </is>
      </c>
      <c r="B129" s="0" t="inlineStr">
        <is>
          <t xml:space="preserve">Achats non stockés</t>
        </is>
      </c>
      <c r="C129" s="5" t="inlineStr">
        <is>
          <t xml:space="preserve">FW</t>
        </is>
      </c>
      <c r="D129" s="5" t="inlineStr">
        <is>
          <t xml:space="preserve">FW</t>
        </is>
      </c>
      <c r="E129" s="5" t="inlineStr">
        <is>
          <t xml:space="preserve">CHARGES_EXTERNES</t>
        </is>
      </c>
      <c r="F129" s="5" t="inlineStr">
        <is>
          <t xml:space="preserve">CHARGES_EXTERNES</t>
        </is>
      </c>
    </row>
    <row r="130">
      <c r="A130" s="4" t="inlineStr">
        <is>
          <t xml:space="preserve">607</t>
        </is>
      </c>
      <c r="B130" s="0" t="inlineStr">
        <is>
          <t xml:space="preserve">Achats de marchandises</t>
        </is>
      </c>
      <c r="C130" s="5" t="inlineStr">
        <is>
          <t xml:space="preserve">FS</t>
        </is>
      </c>
      <c r="D130" s="5" t="inlineStr">
        <is>
          <t xml:space="preserve">FS</t>
        </is>
      </c>
      <c r="E130" s="5" t="inlineStr">
        <is>
          <t xml:space="preserve">COUTS_DIRECTS</t>
        </is>
      </c>
      <c r="F130" s="5" t="inlineStr">
        <is>
          <t xml:space="preserve">COUTS_DIRECTS</t>
        </is>
      </c>
    </row>
    <row r="131">
      <c r="A131" s="4" t="inlineStr">
        <is>
          <t xml:space="preserve">608</t>
        </is>
      </c>
      <c r="B131" s="0" t="inlineStr">
        <is>
          <t xml:space="preserve">Frais accessoires sur achats</t>
        </is>
      </c>
      <c r="C131" s="5" t="inlineStr">
        <is>
          <t xml:space="preserve">FU</t>
        </is>
      </c>
      <c r="D131" s="5" t="inlineStr">
        <is>
          <t xml:space="preserve">FU</t>
        </is>
      </c>
      <c r="E131" s="5" t="inlineStr">
        <is>
          <t xml:space="preserve">COUTS_DIRECTS</t>
        </is>
      </c>
      <c r="F131" s="5" t="inlineStr">
        <is>
          <t xml:space="preserve">COUTS_DIRECTS</t>
        </is>
      </c>
    </row>
    <row r="132">
      <c r="A132" s="4" t="inlineStr">
        <is>
          <t xml:space="preserve">609</t>
        </is>
      </c>
      <c r="B132" s="0" t="inlineStr">
        <is>
          <t xml:space="preserve">Rabais, remises obtenus</t>
        </is>
      </c>
      <c r="C132" s="5" t="inlineStr">
        <is>
          <t xml:space="preserve">FU</t>
        </is>
      </c>
      <c r="D132" s="5" t="inlineStr">
        <is>
          <t xml:space="preserve">FU</t>
        </is>
      </c>
      <c r="E132" s="5" t="inlineStr">
        <is>
          <t xml:space="preserve">COUTS_DIRECTS</t>
        </is>
      </c>
      <c r="F132" s="5" t="inlineStr">
        <is>
          <t xml:space="preserve">COUTS_DIRECTS</t>
        </is>
      </c>
    </row>
    <row r="133">
      <c r="A133" s="4" t="inlineStr">
        <is>
          <t xml:space="preserve">61</t>
        </is>
      </c>
      <c r="B133" s="0" t="inlineStr">
        <is>
          <t xml:space="preserve">Services extérieurs</t>
        </is>
      </c>
      <c r="C133" s="5" t="inlineStr">
        <is>
          <t xml:space="preserve">FW</t>
        </is>
      </c>
      <c r="D133" s="5" t="inlineStr">
        <is>
          <t xml:space="preserve">FW</t>
        </is>
      </c>
      <c r="E133" s="5" t="inlineStr">
        <is>
          <t xml:space="preserve">CHARGES_EXTERNES</t>
        </is>
      </c>
      <c r="F133" s="5" t="inlineStr">
        <is>
          <t xml:space="preserve">CHARGES_EXTERNES</t>
        </is>
      </c>
    </row>
    <row r="134">
      <c r="A134" s="4" t="inlineStr">
        <is>
          <t xml:space="preserve">62</t>
        </is>
      </c>
      <c r="B134" s="0" t="inlineStr">
        <is>
          <t xml:space="preserve">Autres services extérieurs</t>
        </is>
      </c>
      <c r="C134" s="5" t="inlineStr">
        <is>
          <t xml:space="preserve">FW</t>
        </is>
      </c>
      <c r="D134" s="5" t="inlineStr">
        <is>
          <t xml:space="preserve">FW</t>
        </is>
      </c>
      <c r="E134" s="5" t="inlineStr">
        <is>
          <t xml:space="preserve">CHARGES_EXTERNES</t>
        </is>
      </c>
      <c r="F134" s="5" t="inlineStr">
        <is>
          <t xml:space="preserve">CHARGES_EXTERNES</t>
        </is>
      </c>
    </row>
    <row r="135">
      <c r="A135" s="4" t="inlineStr">
        <is>
          <t xml:space="preserve">63</t>
        </is>
      </c>
      <c r="B135" s="0" t="inlineStr">
        <is>
          <t xml:space="preserve">Impôts et taxes</t>
        </is>
      </c>
      <c r="C135" s="5" t="inlineStr">
        <is>
          <t xml:space="preserve">FX</t>
        </is>
      </c>
      <c r="D135" s="5" t="inlineStr">
        <is>
          <t xml:space="preserve">FX</t>
        </is>
      </c>
      <c r="E135" s="5" t="inlineStr">
        <is>
          <t xml:space="preserve">IMPOTS_TAXES</t>
        </is>
      </c>
      <c r="F135" s="5" t="inlineStr">
        <is>
          <t xml:space="preserve">IMPOTS_TAXES</t>
        </is>
      </c>
    </row>
    <row r="136">
      <c r="A136" s="4" t="inlineStr">
        <is>
          <t xml:space="preserve">641</t>
        </is>
      </c>
      <c r="B136" s="0" t="inlineStr">
        <is>
          <t xml:space="preserve">Rémunérations du personnel</t>
        </is>
      </c>
      <c r="C136" s="5" t="inlineStr">
        <is>
          <t xml:space="preserve">FY</t>
        </is>
      </c>
      <c r="D136" s="5" t="inlineStr">
        <is>
          <t xml:space="preserve">FY</t>
        </is>
      </c>
      <c r="E136" s="5" t="inlineStr">
        <is>
          <t xml:space="preserve">PERSONNEL</t>
        </is>
      </c>
      <c r="F136" s="5" t="inlineStr">
        <is>
          <t xml:space="preserve">PERSONNEL</t>
        </is>
      </c>
    </row>
    <row r="137">
      <c r="A137" s="4" t="inlineStr">
        <is>
          <t xml:space="preserve">644</t>
        </is>
      </c>
      <c r="B137" s="0" t="inlineStr">
        <is>
          <t xml:space="preserve">Rémunération de l'exploitant</t>
        </is>
      </c>
      <c r="C137" s="5" t="inlineStr">
        <is>
          <t xml:space="preserve">FY</t>
        </is>
      </c>
      <c r="D137" s="5" t="inlineStr">
        <is>
          <t xml:space="preserve">FY</t>
        </is>
      </c>
      <c r="E137" s="5" t="inlineStr">
        <is>
          <t xml:space="preserve">PERSONNEL</t>
        </is>
      </c>
      <c r="F137" s="5" t="inlineStr">
        <is>
          <t xml:space="preserve">PERSONNEL</t>
        </is>
      </c>
    </row>
    <row r="138">
      <c r="A138" s="4" t="inlineStr">
        <is>
          <t xml:space="preserve">645</t>
        </is>
      </c>
      <c r="B138" s="0" t="inlineStr">
        <is>
          <t xml:space="preserve">Charges de sécurité sociale</t>
        </is>
      </c>
      <c r="C138" s="5" t="inlineStr">
        <is>
          <t xml:space="preserve">FZ</t>
        </is>
      </c>
      <c r="D138" s="5" t="inlineStr">
        <is>
          <t xml:space="preserve">FZ</t>
        </is>
      </c>
      <c r="E138" s="5" t="inlineStr">
        <is>
          <t xml:space="preserve">PERSONNEL</t>
        </is>
      </c>
      <c r="F138" s="5" t="inlineStr">
        <is>
          <t xml:space="preserve">PERSONNEL</t>
        </is>
      </c>
    </row>
    <row r="139">
      <c r="A139" s="4" t="inlineStr">
        <is>
          <t xml:space="preserve">646</t>
        </is>
      </c>
      <c r="B139" s="0" t="inlineStr">
        <is>
          <t xml:space="preserve">Cotisations sociales de l'exploitant</t>
        </is>
      </c>
      <c r="C139" s="5" t="inlineStr">
        <is>
          <t xml:space="preserve">FZ</t>
        </is>
      </c>
      <c r="D139" s="5" t="inlineStr">
        <is>
          <t xml:space="preserve">FZ</t>
        </is>
      </c>
      <c r="E139" s="5" t="inlineStr">
        <is>
          <t xml:space="preserve">PERSONNEL</t>
        </is>
      </c>
      <c r="F139" s="5" t="inlineStr">
        <is>
          <t xml:space="preserve">PERSONNEL</t>
        </is>
      </c>
    </row>
    <row r="140">
      <c r="A140" s="4" t="inlineStr">
        <is>
          <t xml:space="preserve">647</t>
        </is>
      </c>
      <c r="B140" s="0" t="inlineStr">
        <is>
          <t xml:space="preserve">Autres charges sociales</t>
        </is>
      </c>
      <c r="C140" s="5" t="inlineStr">
        <is>
          <t xml:space="preserve">FZ</t>
        </is>
      </c>
      <c r="D140" s="5" t="inlineStr">
        <is>
          <t xml:space="preserve">FZ</t>
        </is>
      </c>
      <c r="E140" s="5" t="inlineStr">
        <is>
          <t xml:space="preserve">PERSONNEL</t>
        </is>
      </c>
      <c r="F140" s="5" t="inlineStr">
        <is>
          <t xml:space="preserve">PERSONNEL</t>
        </is>
      </c>
    </row>
    <row r="141">
      <c r="A141" s="4" t="inlineStr">
        <is>
          <t xml:space="preserve">648</t>
        </is>
      </c>
      <c r="B141" s="0" t="inlineStr">
        <is>
          <t xml:space="preserve">Autres charges de personnel</t>
        </is>
      </c>
      <c r="C141" s="5" t="inlineStr">
        <is>
          <t xml:space="preserve">FZ</t>
        </is>
      </c>
      <c r="D141" s="5" t="inlineStr">
        <is>
          <t xml:space="preserve">FZ</t>
        </is>
      </c>
      <c r="E141" s="5" t="inlineStr">
        <is>
          <t xml:space="preserve">PERSONNEL</t>
        </is>
      </c>
      <c r="F141" s="5" t="inlineStr">
        <is>
          <t xml:space="preserve">PERSONNEL</t>
        </is>
      </c>
    </row>
    <row r="142">
      <c r="A142" s="4" t="inlineStr">
        <is>
          <t xml:space="preserve">65</t>
        </is>
      </c>
      <c r="B142" s="0" t="inlineStr">
        <is>
          <t xml:space="preserve">Autres charges de gestion courante</t>
        </is>
      </c>
      <c r="C142" s="5" t="inlineStr">
        <is>
          <t xml:space="preserve">GE</t>
        </is>
      </c>
      <c r="D142" s="5" t="inlineStr">
        <is>
          <t xml:space="preserve">GE</t>
        </is>
      </c>
      <c r="E142" s="5" t="inlineStr">
        <is>
          <t xml:space="preserve">AUTRES_CHARGES</t>
        </is>
      </c>
      <c r="F142" s="5" t="inlineStr">
        <is>
          <t xml:space="preserve">AUTRES_CHARGES</t>
        </is>
      </c>
    </row>
    <row r="143">
      <c r="A143" s="4" t="inlineStr">
        <is>
          <t xml:space="preserve">655</t>
        </is>
      </c>
      <c r="B143" s="0" t="inlineStr">
        <is>
          <t xml:space="preserve">Quote-parts de résultat</t>
        </is>
      </c>
      <c r="C143" s="5" t="inlineStr">
        <is>
          <t xml:space="preserve">GI</t>
        </is>
      </c>
      <c r="D143" s="5" t="inlineStr">
        <is>
          <t xml:space="preserve">GI</t>
        </is>
      </c>
      <c r="E143" s="5" t="inlineStr">
        <is>
          <t xml:space="preserve">AUTRES_CHARGES</t>
        </is>
      </c>
      <c r="F143" s="5" t="inlineStr">
        <is>
          <t xml:space="preserve">AUTRES_CHARGES</t>
        </is>
      </c>
    </row>
    <row r="144">
      <c r="A144" s="4" t="inlineStr">
        <is>
          <t xml:space="preserve">66</t>
        </is>
      </c>
      <c r="B144" s="0" t="inlineStr">
        <is>
          <t xml:space="preserve">Charges financières</t>
        </is>
      </c>
      <c r="C144" s="5" t="inlineStr">
        <is>
          <t xml:space="preserve">GR</t>
        </is>
      </c>
      <c r="D144" s="5" t="inlineStr">
        <is>
          <t xml:space="preserve">GR</t>
        </is>
      </c>
      <c r="E144" s="5" t="inlineStr">
        <is>
          <t xml:space="preserve">RESULTAT_FIN</t>
        </is>
      </c>
      <c r="F144" s="5" t="inlineStr">
        <is>
          <t xml:space="preserve">RESULTAT_FIN</t>
        </is>
      </c>
    </row>
    <row r="145">
      <c r="A145" s="4" t="inlineStr">
        <is>
          <t xml:space="preserve">666</t>
        </is>
      </c>
      <c r="B145" s="0" t="inlineStr">
        <is>
          <t xml:space="preserve">Pertes de change</t>
        </is>
      </c>
      <c r="C145" s="5" t="inlineStr">
        <is>
          <t xml:space="preserve">GS</t>
        </is>
      </c>
      <c r="D145" s="5" t="inlineStr">
        <is>
          <t xml:space="preserve">GS</t>
        </is>
      </c>
      <c r="E145" s="5" t="inlineStr">
        <is>
          <t xml:space="preserve">RESULTAT_FIN</t>
        </is>
      </c>
      <c r="F145" s="5" t="inlineStr">
        <is>
          <t xml:space="preserve">RESULTAT_FIN</t>
        </is>
      </c>
    </row>
    <row r="146">
      <c r="A146" s="4" t="inlineStr">
        <is>
          <t xml:space="preserve">667</t>
        </is>
      </c>
      <c r="B146" s="0" t="inlineStr">
        <is>
          <t xml:space="preserve">Charges nettes sur cessions de VMP</t>
        </is>
      </c>
      <c r="C146" s="5" t="inlineStr">
        <is>
          <t xml:space="preserve">GT</t>
        </is>
      </c>
      <c r="D146" s="5" t="inlineStr">
        <is>
          <t xml:space="preserve">GT</t>
        </is>
      </c>
      <c r="E146" s="5" t="inlineStr">
        <is>
          <t xml:space="preserve">RESULTAT_FIN</t>
        </is>
      </c>
      <c r="F146" s="5" t="inlineStr">
        <is>
          <t xml:space="preserve">RESULTAT_FIN</t>
        </is>
      </c>
    </row>
    <row r="147">
      <c r="A147" s="4" t="inlineStr">
        <is>
          <t xml:space="preserve">671</t>
        </is>
      </c>
      <c r="B147" s="0" t="inlineStr">
        <is>
          <t xml:space="preserve">Charges except. sur opérations de gestion</t>
        </is>
      </c>
      <c r="C147" s="5" t="inlineStr">
        <is>
          <t xml:space="preserve">HE</t>
        </is>
      </c>
      <c r="D147" s="5" t="inlineStr">
        <is>
          <t xml:space="preserve">HE</t>
        </is>
      </c>
      <c r="E147" s="5" t="inlineStr">
        <is>
          <t xml:space="preserve">EXCEPTIONNEL</t>
        </is>
      </c>
      <c r="F147" s="5" t="inlineStr">
        <is>
          <t xml:space="preserve">EXCEPTIONNEL</t>
        </is>
      </c>
    </row>
    <row r="148">
      <c r="A148" s="4" t="inlineStr">
        <is>
          <t xml:space="preserve">672</t>
        </is>
      </c>
      <c r="B148" s="0" t="inlineStr">
        <is>
          <t xml:space="preserve">Charges sur exercices antérieurs</t>
        </is>
      </c>
      <c r="C148" s="5" t="inlineStr">
        <is>
          <t xml:space="preserve">HE</t>
        </is>
      </c>
      <c r="D148" s="5" t="inlineStr">
        <is>
          <t xml:space="preserve">HE</t>
        </is>
      </c>
      <c r="E148" s="5" t="inlineStr">
        <is>
          <t xml:space="preserve">EXCEPTIONNEL</t>
        </is>
      </c>
      <c r="F148" s="5" t="inlineStr">
        <is>
          <t xml:space="preserve">EXCEPTIONNEL</t>
        </is>
      </c>
    </row>
    <row r="149">
      <c r="A149" s="4" t="inlineStr">
        <is>
          <t xml:space="preserve">675</t>
        </is>
      </c>
      <c r="B149" s="0" t="inlineStr">
        <is>
          <t xml:space="preserve">Valeur comptable des éléments cédés</t>
        </is>
      </c>
      <c r="C149" s="5" t="inlineStr">
        <is>
          <t xml:space="preserve">HF</t>
        </is>
      </c>
      <c r="D149" s="5" t="inlineStr">
        <is>
          <t xml:space="preserve">HF</t>
        </is>
      </c>
      <c r="E149" s="5" t="inlineStr">
        <is>
          <t xml:space="preserve">EXCEPTIONNEL</t>
        </is>
      </c>
      <c r="F149" s="5" t="inlineStr">
        <is>
          <t xml:space="preserve">EXCEPTIONNEL</t>
        </is>
      </c>
    </row>
    <row r="150">
      <c r="A150" s="4" t="inlineStr">
        <is>
          <t xml:space="preserve">678</t>
        </is>
      </c>
      <c r="B150" s="0" t="inlineStr">
        <is>
          <t xml:space="preserve">Autres charges exceptionnelles</t>
        </is>
      </c>
      <c r="C150" s="5" t="inlineStr">
        <is>
          <t xml:space="preserve">HE</t>
        </is>
      </c>
      <c r="D150" s="5" t="inlineStr">
        <is>
          <t xml:space="preserve">HE</t>
        </is>
      </c>
      <c r="E150" s="5" t="inlineStr">
        <is>
          <t xml:space="preserve">EXCEPTIONNEL</t>
        </is>
      </c>
      <c r="F150" s="5" t="inlineStr">
        <is>
          <t xml:space="preserve">EXCEPTIONNEL</t>
        </is>
      </c>
    </row>
    <row r="151">
      <c r="A151" s="4" t="inlineStr">
        <is>
          <t xml:space="preserve">6811</t>
        </is>
      </c>
      <c r="B151" s="0" t="inlineStr">
        <is>
          <t xml:space="preserve">Dotations aux amortissements</t>
        </is>
      </c>
      <c r="C151" s="5" t="inlineStr">
        <is>
          <t xml:space="preserve">GA</t>
        </is>
      </c>
      <c r="D151" s="5" t="inlineStr">
        <is>
          <t xml:space="preserve">GA</t>
        </is>
      </c>
      <c r="E151" s="5" t="inlineStr">
        <is>
          <t xml:space="preserve">DAP_NETTES</t>
        </is>
      </c>
      <c r="F151" s="5" t="inlineStr">
        <is>
          <t xml:space="preserve">DAP_NETTES</t>
        </is>
      </c>
    </row>
    <row r="152">
      <c r="A152" s="4" t="inlineStr">
        <is>
          <t xml:space="preserve">6812</t>
        </is>
      </c>
      <c r="B152" s="0" t="inlineStr">
        <is>
          <t xml:space="preserve">Dotations amort. charges à répartir</t>
        </is>
      </c>
      <c r="C152" s="5" t="inlineStr">
        <is>
          <t xml:space="preserve">GA</t>
        </is>
      </c>
      <c r="D152" s="5" t="inlineStr">
        <is>
          <t xml:space="preserve">GA</t>
        </is>
      </c>
      <c r="E152" s="5" t="inlineStr">
        <is>
          <t xml:space="preserve">DAP_NETTES</t>
        </is>
      </c>
      <c r="F152" s="5" t="inlineStr">
        <is>
          <t xml:space="preserve">DAP_NETTES</t>
        </is>
      </c>
    </row>
    <row r="153">
      <c r="A153" s="4" t="inlineStr">
        <is>
          <t xml:space="preserve">6815</t>
        </is>
      </c>
      <c r="B153" s="0" t="inlineStr">
        <is>
          <t xml:space="preserve">Dotations provisions risques et charges</t>
        </is>
      </c>
      <c r="C153" s="5" t="inlineStr">
        <is>
          <t xml:space="preserve">GD</t>
        </is>
      </c>
      <c r="D153" s="5" t="inlineStr">
        <is>
          <t xml:space="preserve">GD</t>
        </is>
      </c>
      <c r="E153" s="5" t="inlineStr">
        <is>
          <t xml:space="preserve">DAP_NETTES</t>
        </is>
      </c>
      <c r="F153" s="5" t="inlineStr">
        <is>
          <t xml:space="preserve">DAP_NETTES</t>
        </is>
      </c>
    </row>
    <row r="154">
      <c r="A154" s="4" t="inlineStr">
        <is>
          <t xml:space="preserve">6816</t>
        </is>
      </c>
      <c r="B154" s="0" t="inlineStr">
        <is>
          <t xml:space="preserve">Dotations dépréc. immobilisations</t>
        </is>
      </c>
      <c r="C154" s="5" t="inlineStr">
        <is>
          <t xml:space="preserve">GB</t>
        </is>
      </c>
      <c r="D154" s="5" t="inlineStr">
        <is>
          <t xml:space="preserve">GB</t>
        </is>
      </c>
      <c r="E154" s="5" t="inlineStr">
        <is>
          <t xml:space="preserve">DAP_NETTES</t>
        </is>
      </c>
      <c r="F154" s="5" t="inlineStr">
        <is>
          <t xml:space="preserve">DAP_NETTES</t>
        </is>
      </c>
    </row>
    <row r="155">
      <c r="A155" s="4" t="inlineStr">
        <is>
          <t xml:space="preserve">6817</t>
        </is>
      </c>
      <c r="B155" s="0" t="inlineStr">
        <is>
          <t xml:space="preserve">Dotations dépréc. actif circulant</t>
        </is>
      </c>
      <c r="C155" s="5" t="inlineStr">
        <is>
          <t xml:space="preserve">GC</t>
        </is>
      </c>
      <c r="D155" s="5" t="inlineStr">
        <is>
          <t xml:space="preserve">GC</t>
        </is>
      </c>
      <c r="E155" s="5" t="inlineStr">
        <is>
          <t xml:space="preserve">DAP_NETTES</t>
        </is>
      </c>
      <c r="F155" s="5" t="inlineStr">
        <is>
          <t xml:space="preserve">DAP_NETTES</t>
        </is>
      </c>
    </row>
    <row r="156">
      <c r="A156" s="4" t="inlineStr">
        <is>
          <t xml:space="preserve">686</t>
        </is>
      </c>
      <c r="B156" s="0" t="inlineStr">
        <is>
          <t xml:space="preserve">Dotations financières</t>
        </is>
      </c>
      <c r="C156" s="5" t="inlineStr">
        <is>
          <t xml:space="preserve">GQ</t>
        </is>
      </c>
      <c r="D156" s="5" t="inlineStr">
        <is>
          <t xml:space="preserve">GQ</t>
        </is>
      </c>
      <c r="E156" s="5" t="inlineStr">
        <is>
          <t xml:space="preserve">RESULTAT_FIN</t>
        </is>
      </c>
      <c r="F156" s="5" t="inlineStr">
        <is>
          <t xml:space="preserve">RESULTAT_FIN</t>
        </is>
      </c>
    </row>
    <row r="157">
      <c r="A157" s="4" t="inlineStr">
        <is>
          <t xml:space="preserve">687</t>
        </is>
      </c>
      <c r="B157" s="0" t="inlineStr">
        <is>
          <t xml:space="preserve">Dotations exceptionnelles</t>
        </is>
      </c>
      <c r="C157" s="5" t="inlineStr">
        <is>
          <t xml:space="preserve">HG</t>
        </is>
      </c>
      <c r="D157" s="5" t="inlineStr">
        <is>
          <t xml:space="preserve">HG</t>
        </is>
      </c>
      <c r="E157" s="5" t="inlineStr">
        <is>
          <t xml:space="preserve">EXCEPTIONNEL</t>
        </is>
      </c>
      <c r="F157" s="5" t="inlineStr">
        <is>
          <t xml:space="preserve">EXCEPTIONNEL</t>
        </is>
      </c>
    </row>
    <row r="158">
      <c r="A158" s="4" t="inlineStr">
        <is>
          <t xml:space="preserve">691</t>
        </is>
      </c>
      <c r="B158" s="0" t="inlineStr">
        <is>
          <t xml:space="preserve">Participation des salariés</t>
        </is>
      </c>
      <c r="C158" s="5" t="inlineStr">
        <is>
          <t xml:space="preserve">HJ</t>
        </is>
      </c>
      <c r="D158" s="5" t="inlineStr">
        <is>
          <t xml:space="preserve">HJ</t>
        </is>
      </c>
      <c r="E158" s="5" t="inlineStr">
        <is>
          <t xml:space="preserve">PARTICIPATION</t>
        </is>
      </c>
      <c r="F158" s="5" t="inlineStr">
        <is>
          <t xml:space="preserve">PARTICIPATION</t>
        </is>
      </c>
    </row>
    <row r="159">
      <c r="A159" s="4" t="inlineStr">
        <is>
          <t xml:space="preserve">695</t>
        </is>
      </c>
      <c r="B159" s="0" t="inlineStr">
        <is>
          <t xml:space="preserve">Impôt sur les bénéfices</t>
        </is>
      </c>
      <c r="C159" s="5" t="inlineStr">
        <is>
          <t xml:space="preserve">HK</t>
        </is>
      </c>
      <c r="D159" s="5" t="inlineStr">
        <is>
          <t xml:space="preserve">HK</t>
        </is>
      </c>
      <c r="E159" s="5" t="inlineStr">
        <is>
          <t xml:space="preserve">IS</t>
        </is>
      </c>
      <c r="F159" s="5" t="inlineStr">
        <is>
          <t xml:space="preserve">IS</t>
        </is>
      </c>
    </row>
    <row r="160">
      <c r="A160" s="4" t="inlineStr">
        <is>
          <t xml:space="preserve">696</t>
        </is>
      </c>
      <c r="B160" s="0" t="inlineStr">
        <is>
          <t xml:space="preserve">Suppléments IS</t>
        </is>
      </c>
      <c r="C160" s="5" t="inlineStr">
        <is>
          <t xml:space="preserve">HK</t>
        </is>
      </c>
      <c r="D160" s="5" t="inlineStr">
        <is>
          <t xml:space="preserve">HK</t>
        </is>
      </c>
      <c r="E160" s="5" t="inlineStr">
        <is>
          <t xml:space="preserve">IS</t>
        </is>
      </c>
      <c r="F160" s="5" t="inlineStr">
        <is>
          <t xml:space="preserve">IS</t>
        </is>
      </c>
    </row>
    <row r="161">
      <c r="A161" s="4" t="inlineStr">
        <is>
          <t xml:space="preserve">698</t>
        </is>
      </c>
      <c r="B161" s="0" t="inlineStr">
        <is>
          <t xml:space="preserve">Intégration fiscale</t>
        </is>
      </c>
      <c r="C161" s="5" t="inlineStr">
        <is>
          <t xml:space="preserve">HK</t>
        </is>
      </c>
      <c r="D161" s="5" t="inlineStr">
        <is>
          <t xml:space="preserve">HK</t>
        </is>
      </c>
      <c r="E161" s="5" t="inlineStr">
        <is>
          <t xml:space="preserve">IS</t>
        </is>
      </c>
      <c r="F161" s="5" t="inlineStr">
        <is>
          <t xml:space="preserve">IS</t>
        </is>
      </c>
    </row>
    <row r="162">
      <c r="A162" s="4" t="inlineStr">
        <is>
          <t xml:space="preserve">699</t>
        </is>
      </c>
      <c r="B162" s="0" t="inlineStr">
        <is>
          <t xml:space="preserve">Produits - reports en arrière</t>
        </is>
      </c>
      <c r="C162" s="5" t="inlineStr">
        <is>
          <t xml:space="preserve">HK</t>
        </is>
      </c>
      <c r="D162" s="5" t="inlineStr">
        <is>
          <t xml:space="preserve">HK</t>
        </is>
      </c>
      <c r="E162" s="5" t="inlineStr">
        <is>
          <t xml:space="preserve">IS</t>
        </is>
      </c>
      <c r="F162" s="5" t="inlineStr">
        <is>
          <t xml:space="preserve">IS</t>
        </is>
      </c>
    </row>
    <row r="163">
      <c r="A163" s="4" t="inlineStr">
        <is>
          <t xml:space="preserve">701</t>
        </is>
      </c>
      <c r="B163" s="0" t="inlineStr">
        <is>
          <t xml:space="preserve">Ventes de produits finis</t>
        </is>
      </c>
      <c r="C163" s="5" t="inlineStr">
        <is>
          <t xml:space="preserve">FF</t>
        </is>
      </c>
      <c r="D163" s="5" t="inlineStr">
        <is>
          <t xml:space="preserve">FF</t>
        </is>
      </c>
      <c r="E163" s="5" t="inlineStr">
        <is>
          <t xml:space="preserve">CA</t>
        </is>
      </c>
      <c r="F163" s="5" t="inlineStr">
        <is>
          <t xml:space="preserve">CA</t>
        </is>
      </c>
    </row>
    <row r="164">
      <c r="A164" s="4" t="inlineStr">
        <is>
          <t xml:space="preserve">702</t>
        </is>
      </c>
      <c r="B164" s="0" t="inlineStr">
        <is>
          <t xml:space="preserve">Ventes de produits intermédiaires</t>
        </is>
      </c>
      <c r="C164" s="5" t="inlineStr">
        <is>
          <t xml:space="preserve">FF</t>
        </is>
      </c>
      <c r="D164" s="5" t="inlineStr">
        <is>
          <t xml:space="preserve">FF</t>
        </is>
      </c>
      <c r="E164" s="5" t="inlineStr">
        <is>
          <t xml:space="preserve">CA</t>
        </is>
      </c>
      <c r="F164" s="5" t="inlineStr">
        <is>
          <t xml:space="preserve">CA</t>
        </is>
      </c>
    </row>
    <row r="165">
      <c r="A165" s="4" t="inlineStr">
        <is>
          <t xml:space="preserve">703</t>
        </is>
      </c>
      <c r="B165" s="0" t="inlineStr">
        <is>
          <t xml:space="preserve">Ventes de produits résiduels</t>
        </is>
      </c>
      <c r="C165" s="5" t="inlineStr">
        <is>
          <t xml:space="preserve">FF</t>
        </is>
      </c>
      <c r="D165" s="5" t="inlineStr">
        <is>
          <t xml:space="preserve">FF</t>
        </is>
      </c>
      <c r="E165" s="5" t="inlineStr">
        <is>
          <t xml:space="preserve">CA</t>
        </is>
      </c>
      <c r="F165" s="5" t="inlineStr">
        <is>
          <t xml:space="preserve">CA</t>
        </is>
      </c>
    </row>
    <row r="166">
      <c r="A166" s="4" t="inlineStr">
        <is>
          <t xml:space="preserve">704</t>
        </is>
      </c>
      <c r="B166" s="0" t="inlineStr">
        <is>
          <t xml:space="preserve">Travaux</t>
        </is>
      </c>
      <c r="C166" s="5" t="inlineStr">
        <is>
          <t xml:space="preserve">FI</t>
        </is>
      </c>
      <c r="D166" s="5" t="inlineStr">
        <is>
          <t xml:space="preserve">FI</t>
        </is>
      </c>
      <c r="E166" s="5" t="inlineStr">
        <is>
          <t xml:space="preserve">CA</t>
        </is>
      </c>
      <c r="F166" s="5" t="inlineStr">
        <is>
          <t xml:space="preserve">CA</t>
        </is>
      </c>
    </row>
    <row r="167">
      <c r="A167" s="4" t="inlineStr">
        <is>
          <t xml:space="preserve">705</t>
        </is>
      </c>
      <c r="B167" s="0" t="inlineStr">
        <is>
          <t xml:space="preserve">Études</t>
        </is>
      </c>
      <c r="C167" s="5" t="inlineStr">
        <is>
          <t xml:space="preserve">FI</t>
        </is>
      </c>
      <c r="D167" s="5" t="inlineStr">
        <is>
          <t xml:space="preserve">FI</t>
        </is>
      </c>
      <c r="E167" s="5" t="inlineStr">
        <is>
          <t xml:space="preserve">CA</t>
        </is>
      </c>
      <c r="F167" s="5" t="inlineStr">
        <is>
          <t xml:space="preserve">CA</t>
        </is>
      </c>
    </row>
    <row r="168">
      <c r="A168" s="4" t="inlineStr">
        <is>
          <t xml:space="preserve">706</t>
        </is>
      </c>
      <c r="B168" s="0" t="inlineStr">
        <is>
          <t xml:space="preserve">Prestations de services</t>
        </is>
      </c>
      <c r="C168" s="5" t="inlineStr">
        <is>
          <t xml:space="preserve">FI</t>
        </is>
      </c>
      <c r="D168" s="5" t="inlineStr">
        <is>
          <t xml:space="preserve">FI</t>
        </is>
      </c>
      <c r="E168" s="5" t="inlineStr">
        <is>
          <t xml:space="preserve">CA</t>
        </is>
      </c>
      <c r="F168" s="5" t="inlineStr">
        <is>
          <t xml:space="preserve">CA</t>
        </is>
      </c>
    </row>
    <row r="169">
      <c r="A169" s="4" t="inlineStr">
        <is>
          <t xml:space="preserve">707</t>
        </is>
      </c>
      <c r="B169" s="0" t="inlineStr">
        <is>
          <t xml:space="preserve">Ventes de marchandises</t>
        </is>
      </c>
      <c r="C169" s="5" t="inlineStr">
        <is>
          <t xml:space="preserve">FC</t>
        </is>
      </c>
      <c r="D169" s="5" t="inlineStr">
        <is>
          <t xml:space="preserve">FC</t>
        </is>
      </c>
      <c r="E169" s="5" t="inlineStr">
        <is>
          <t xml:space="preserve">CA</t>
        </is>
      </c>
      <c r="F169" s="5" t="inlineStr">
        <is>
          <t xml:space="preserve">CA</t>
        </is>
      </c>
    </row>
    <row r="170">
      <c r="A170" s="4" t="inlineStr">
        <is>
          <t xml:space="preserve">708</t>
        </is>
      </c>
      <c r="B170" s="0" t="inlineStr">
        <is>
          <t xml:space="preserve">Produits des activités annexes</t>
        </is>
      </c>
      <c r="C170" s="5" t="inlineStr">
        <is>
          <t xml:space="preserve">FI</t>
        </is>
      </c>
      <c r="D170" s="5" t="inlineStr">
        <is>
          <t xml:space="preserve">FI</t>
        </is>
      </c>
      <c r="E170" s="5" t="inlineStr">
        <is>
          <t xml:space="preserve">CA</t>
        </is>
      </c>
      <c r="F170" s="5" t="inlineStr">
        <is>
          <t xml:space="preserve">CA</t>
        </is>
      </c>
    </row>
    <row r="171">
      <c r="A171" s="4" t="inlineStr">
        <is>
          <t xml:space="preserve">709</t>
        </is>
      </c>
      <c r="B171" s="0" t="inlineStr">
        <is>
          <t xml:space="preserve">Rabais, remises accordés (affectés aux services par défaut)</t>
        </is>
      </c>
      <c r="C171" s="5" t="inlineStr">
        <is>
          <t xml:space="preserve">FI</t>
        </is>
      </c>
      <c r="D171" s="5" t="inlineStr">
        <is>
          <t xml:space="preserve">FI</t>
        </is>
      </c>
      <c r="E171" s="5" t="inlineStr">
        <is>
          <t xml:space="preserve">CA</t>
        </is>
      </c>
      <c r="F171" s="5" t="inlineStr">
        <is>
          <t xml:space="preserve">CA</t>
        </is>
      </c>
    </row>
    <row r="172">
      <c r="A172" s="4" t="inlineStr">
        <is>
          <t xml:space="preserve">713</t>
        </is>
      </c>
      <c r="B172" s="0" t="inlineStr">
        <is>
          <t xml:space="preserve">Variation des stocks (en-cours, produits)</t>
        </is>
      </c>
      <c r="C172" s="5" t="inlineStr">
        <is>
          <t xml:space="preserve">FM</t>
        </is>
      </c>
      <c r="D172" s="5" t="inlineStr">
        <is>
          <t xml:space="preserve">FM</t>
        </is>
      </c>
      <c r="E172" s="5" t="inlineStr">
        <is>
          <t xml:space="preserve">PRODUCTION_STOCKEE</t>
        </is>
      </c>
      <c r="F172" s="5" t="inlineStr">
        <is>
          <t xml:space="preserve">PRODUCTION_STOCKEE</t>
        </is>
      </c>
    </row>
    <row r="173">
      <c r="A173" s="4" t="inlineStr">
        <is>
          <t xml:space="preserve">72</t>
        </is>
      </c>
      <c r="B173" s="0" t="inlineStr">
        <is>
          <t xml:space="preserve">Production immobilisée</t>
        </is>
      </c>
      <c r="C173" s="5" t="inlineStr">
        <is>
          <t xml:space="preserve">FN</t>
        </is>
      </c>
      <c r="D173" s="5" t="inlineStr">
        <is>
          <t xml:space="preserve">FN</t>
        </is>
      </c>
      <c r="E173" s="5" t="inlineStr">
        <is>
          <t xml:space="preserve">PRODUCTION_STOCKEE</t>
        </is>
      </c>
      <c r="F173" s="5" t="inlineStr">
        <is>
          <t xml:space="preserve">PRODUCTION_STOCKEE</t>
        </is>
      </c>
    </row>
    <row r="174">
      <c r="A174" s="4" t="inlineStr">
        <is>
          <t xml:space="preserve">74</t>
        </is>
      </c>
      <c r="B174" s="0" t="inlineStr">
        <is>
          <t xml:space="preserve">Subventions d'exploitation</t>
        </is>
      </c>
      <c r="C174" s="5" t="inlineStr">
        <is>
          <t xml:space="preserve">FO</t>
        </is>
      </c>
      <c r="D174" s="5" t="inlineStr">
        <is>
          <t xml:space="preserve">FO</t>
        </is>
      </c>
      <c r="E174" s="5" t="inlineStr">
        <is>
          <t xml:space="preserve">AUTRES_PRODUITS</t>
        </is>
      </c>
      <c r="F174" s="5" t="inlineStr">
        <is>
          <t xml:space="preserve">AUTRES_PRODUITS</t>
        </is>
      </c>
    </row>
    <row r="175">
      <c r="A175" s="4" t="inlineStr">
        <is>
          <t xml:space="preserve">75</t>
        </is>
      </c>
      <c r="B175" s="0" t="inlineStr">
        <is>
          <t xml:space="preserve">Autres produits de gestion courante</t>
        </is>
      </c>
      <c r="C175" s="5" t="inlineStr">
        <is>
          <t xml:space="preserve">FQ</t>
        </is>
      </c>
      <c r="D175" s="5" t="inlineStr">
        <is>
          <t xml:space="preserve">FQ</t>
        </is>
      </c>
      <c r="E175" s="5" t="inlineStr">
        <is>
          <t xml:space="preserve">AUTRES_PRODUITS</t>
        </is>
      </c>
      <c r="F175" s="5" t="inlineStr">
        <is>
          <t xml:space="preserve">AUTRES_PRODUITS</t>
        </is>
      </c>
    </row>
    <row r="176">
      <c r="A176" s="4" t="inlineStr">
        <is>
          <t xml:space="preserve">755</t>
        </is>
      </c>
      <c r="B176" s="0" t="inlineStr">
        <is>
          <t xml:space="preserve">Quote-parts de résultat</t>
        </is>
      </c>
      <c r="C176" s="5" t="inlineStr">
        <is>
          <t xml:space="preserve">GH</t>
        </is>
      </c>
      <c r="D176" s="5" t="inlineStr">
        <is>
          <t xml:space="preserve">GH</t>
        </is>
      </c>
      <c r="E176" s="5" t="inlineStr">
        <is>
          <t xml:space="preserve">AUTRES_PRODUITS</t>
        </is>
      </c>
      <c r="F176" s="5" t="inlineStr">
        <is>
          <t xml:space="preserve">AUTRES_PRODUITS</t>
        </is>
      </c>
    </row>
    <row r="177">
      <c r="A177" s="4" t="inlineStr">
        <is>
          <t xml:space="preserve">76</t>
        </is>
      </c>
      <c r="B177" s="0" t="inlineStr">
        <is>
          <t xml:space="preserve">Autres produits financiers</t>
        </is>
      </c>
      <c r="C177" s="5" t="inlineStr">
        <is>
          <t xml:space="preserve">GL</t>
        </is>
      </c>
      <c r="D177" s="5" t="inlineStr">
        <is>
          <t xml:space="preserve">GL</t>
        </is>
      </c>
      <c r="E177" s="5" t="inlineStr">
        <is>
          <t xml:space="preserve">RESULTAT_FIN</t>
        </is>
      </c>
      <c r="F177" s="5" t="inlineStr">
        <is>
          <t xml:space="preserve">RESULTAT_FIN</t>
        </is>
      </c>
    </row>
    <row r="178">
      <c r="A178" s="4" t="inlineStr">
        <is>
          <t xml:space="preserve">761</t>
        </is>
      </c>
      <c r="B178" s="0" t="inlineStr">
        <is>
          <t xml:space="preserve">Produits de participations</t>
        </is>
      </c>
      <c r="C178" s="5" t="inlineStr">
        <is>
          <t xml:space="preserve">GJ</t>
        </is>
      </c>
      <c r="D178" s="5" t="inlineStr">
        <is>
          <t xml:space="preserve">GJ</t>
        </is>
      </c>
      <c r="E178" s="5" t="inlineStr">
        <is>
          <t xml:space="preserve">RESULTAT_FIN</t>
        </is>
      </c>
      <c r="F178" s="5" t="inlineStr">
        <is>
          <t xml:space="preserve">RESULTAT_FIN</t>
        </is>
      </c>
    </row>
    <row r="179">
      <c r="A179" s="4" t="inlineStr">
        <is>
          <t xml:space="preserve">762</t>
        </is>
      </c>
      <c r="B179" s="0" t="inlineStr">
        <is>
          <t xml:space="preserve">Produits des autres immo. financières</t>
        </is>
      </c>
      <c r="C179" s="5" t="inlineStr">
        <is>
          <t xml:space="preserve">GK</t>
        </is>
      </c>
      <c r="D179" s="5" t="inlineStr">
        <is>
          <t xml:space="preserve">GK</t>
        </is>
      </c>
      <c r="E179" s="5" t="inlineStr">
        <is>
          <t xml:space="preserve">RESULTAT_FIN</t>
        </is>
      </c>
      <c r="F179" s="5" t="inlineStr">
        <is>
          <t xml:space="preserve">RESULTAT_FIN</t>
        </is>
      </c>
    </row>
    <row r="180">
      <c r="A180" s="4" t="inlineStr">
        <is>
          <t xml:space="preserve">766</t>
        </is>
      </c>
      <c r="B180" s="0" t="inlineStr">
        <is>
          <t xml:space="preserve">Gains de change</t>
        </is>
      </c>
      <c r="C180" s="5" t="inlineStr">
        <is>
          <t xml:space="preserve">GN</t>
        </is>
      </c>
      <c r="D180" s="5" t="inlineStr">
        <is>
          <t xml:space="preserve">GN</t>
        </is>
      </c>
      <c r="E180" s="5" t="inlineStr">
        <is>
          <t xml:space="preserve">RESULTAT_FIN</t>
        </is>
      </c>
      <c r="F180" s="5" t="inlineStr">
        <is>
          <t xml:space="preserve">RESULTAT_FIN</t>
        </is>
      </c>
    </row>
    <row r="181">
      <c r="A181" s="4" t="inlineStr">
        <is>
          <t xml:space="preserve">767</t>
        </is>
      </c>
      <c r="B181" s="0" t="inlineStr">
        <is>
          <t xml:space="preserve">Produits nets sur cessions de VMP</t>
        </is>
      </c>
      <c r="C181" s="5" t="inlineStr">
        <is>
          <t xml:space="preserve">GO</t>
        </is>
      </c>
      <c r="D181" s="5" t="inlineStr">
        <is>
          <t xml:space="preserve">GO</t>
        </is>
      </c>
      <c r="E181" s="5" t="inlineStr">
        <is>
          <t xml:space="preserve">RESULTAT_FIN</t>
        </is>
      </c>
      <c r="F181" s="5" t="inlineStr">
        <is>
          <t xml:space="preserve">RESULTAT_FIN</t>
        </is>
      </c>
    </row>
    <row r="182">
      <c r="A182" s="4" t="inlineStr">
        <is>
          <t xml:space="preserve">771</t>
        </is>
      </c>
      <c r="B182" s="0" t="inlineStr">
        <is>
          <t xml:space="preserve">Produits except. sur opérations de gestion</t>
        </is>
      </c>
      <c r="C182" s="5" t="inlineStr">
        <is>
          <t xml:space="preserve">HA</t>
        </is>
      </c>
      <c r="D182" s="5" t="inlineStr">
        <is>
          <t xml:space="preserve">HA</t>
        </is>
      </c>
      <c r="E182" s="5" t="inlineStr">
        <is>
          <t xml:space="preserve">EXCEPTIONNEL</t>
        </is>
      </c>
      <c r="F182" s="5" t="inlineStr">
        <is>
          <t xml:space="preserve">EXCEPTIONNEL</t>
        </is>
      </c>
    </row>
    <row r="183">
      <c r="A183" s="4" t="inlineStr">
        <is>
          <t xml:space="preserve">775</t>
        </is>
      </c>
      <c r="B183" s="0" t="inlineStr">
        <is>
          <t xml:space="preserve">Produits des cessions d'éléments d'actif</t>
        </is>
      </c>
      <c r="C183" s="5" t="inlineStr">
        <is>
          <t xml:space="preserve">HB</t>
        </is>
      </c>
      <c r="D183" s="5" t="inlineStr">
        <is>
          <t xml:space="preserve">HB</t>
        </is>
      </c>
      <c r="E183" s="5" t="inlineStr">
        <is>
          <t xml:space="preserve">EXCEPTIONNEL</t>
        </is>
      </c>
      <c r="F183" s="5" t="inlineStr">
        <is>
          <t xml:space="preserve">EXCEPTIONNEL</t>
        </is>
      </c>
    </row>
    <row r="184">
      <c r="A184" s="4" t="inlineStr">
        <is>
          <t xml:space="preserve">777</t>
        </is>
      </c>
      <c r="B184" s="0" t="inlineStr">
        <is>
          <t xml:space="preserve">Quote-part des subventions d'investissement</t>
        </is>
      </c>
      <c r="C184" s="5" t="inlineStr">
        <is>
          <t xml:space="preserve">HB</t>
        </is>
      </c>
      <c r="D184" s="5" t="inlineStr">
        <is>
          <t xml:space="preserve">HB</t>
        </is>
      </c>
      <c r="E184" s="5" t="inlineStr">
        <is>
          <t xml:space="preserve">EXCEPTIONNEL</t>
        </is>
      </c>
      <c r="F184" s="5" t="inlineStr">
        <is>
          <t xml:space="preserve">EXCEPTIONNEL</t>
        </is>
      </c>
    </row>
    <row r="185">
      <c r="A185" s="4" t="inlineStr">
        <is>
          <t xml:space="preserve">778</t>
        </is>
      </c>
      <c r="B185" s="0" t="inlineStr">
        <is>
          <t xml:space="preserve">Autres produits exceptionnels (opérations en capital, notice 2032)</t>
        </is>
      </c>
      <c r="C185" s="5" t="inlineStr">
        <is>
          <t xml:space="preserve">HB</t>
        </is>
      </c>
      <c r="D185" s="5" t="inlineStr">
        <is>
          <t xml:space="preserve">HB</t>
        </is>
      </c>
      <c r="E185" s="5" t="inlineStr">
        <is>
          <t xml:space="preserve">EXCEPTIONNEL</t>
        </is>
      </c>
      <c r="F185" s="5" t="inlineStr">
        <is>
          <t xml:space="preserve">EXCEPTIONNEL</t>
        </is>
      </c>
    </row>
    <row r="186">
      <c r="A186" s="4" t="inlineStr">
        <is>
          <t xml:space="preserve">781</t>
        </is>
      </c>
      <c r="B186" s="0" t="inlineStr">
        <is>
          <t xml:space="preserve">Reprises sur amort. et provisions d'exploitation</t>
        </is>
      </c>
      <c r="C186" s="5" t="inlineStr">
        <is>
          <t xml:space="preserve">FP</t>
        </is>
      </c>
      <c r="D186" s="5" t="inlineStr">
        <is>
          <t xml:space="preserve">FP</t>
        </is>
      </c>
      <c r="E186" s="5" t="inlineStr">
        <is>
          <t xml:space="preserve">DAP_NETTES</t>
        </is>
      </c>
      <c r="F186" s="5" t="inlineStr">
        <is>
          <t xml:space="preserve">DAP_NETTES</t>
        </is>
      </c>
    </row>
    <row r="187">
      <c r="A187" s="4" t="inlineStr">
        <is>
          <t xml:space="preserve">786</t>
        </is>
      </c>
      <c r="B187" s="0" t="inlineStr">
        <is>
          <t xml:space="preserve">Reprises financières</t>
        </is>
      </c>
      <c r="C187" s="5" t="inlineStr">
        <is>
          <t xml:space="preserve">GM</t>
        </is>
      </c>
      <c r="D187" s="5" t="inlineStr">
        <is>
          <t xml:space="preserve">GM</t>
        </is>
      </c>
      <c r="E187" s="5" t="inlineStr">
        <is>
          <t xml:space="preserve">RESULTAT_FIN</t>
        </is>
      </c>
      <c r="F187" s="5" t="inlineStr">
        <is>
          <t xml:space="preserve">RESULTAT_FIN</t>
        </is>
      </c>
    </row>
    <row r="188">
      <c r="A188" s="4" t="inlineStr">
        <is>
          <t xml:space="preserve">787</t>
        </is>
      </c>
      <c r="B188" s="0" t="inlineStr">
        <is>
          <t xml:space="preserve">Reprises exceptionnelles</t>
        </is>
      </c>
      <c r="C188" s="5" t="inlineStr">
        <is>
          <t xml:space="preserve">HC</t>
        </is>
      </c>
      <c r="D188" s="5" t="inlineStr">
        <is>
          <t xml:space="preserve">HC</t>
        </is>
      </c>
      <c r="E188" s="5" t="inlineStr">
        <is>
          <t xml:space="preserve">EXCEPTIONNEL</t>
        </is>
      </c>
      <c r="F188" s="5" t="inlineStr">
        <is>
          <t xml:space="preserve">EXCEPTIONNEL</t>
        </is>
      </c>
    </row>
    <row r="189">
      <c r="A189" s="4" t="inlineStr">
        <is>
          <t xml:space="preserve">791</t>
        </is>
      </c>
      <c r="B189" s="0" t="inlineStr">
        <is>
          <t xml:space="preserve">Transferts de charges d'exploitation</t>
        </is>
      </c>
      <c r="C189" s="5" t="inlineStr">
        <is>
          <t xml:space="preserve">FP</t>
        </is>
      </c>
      <c r="D189" s="5" t="inlineStr">
        <is>
          <t xml:space="preserve">FP</t>
        </is>
      </c>
      <c r="E189" s="5" t="inlineStr">
        <is>
          <t xml:space="preserve">AUTRES_PRODUITS</t>
        </is>
      </c>
      <c r="F189" s="5" t="inlineStr">
        <is>
          <t xml:space="preserve">AUTRES_PRODUITS</t>
        </is>
      </c>
    </row>
    <row r="190">
      <c r="A190" s="4" t="inlineStr">
        <is>
          <t xml:space="preserve">796</t>
        </is>
      </c>
      <c r="B190" s="0" t="inlineStr">
        <is>
          <t xml:space="preserve">Transferts de charges financières</t>
        </is>
      </c>
      <c r="C190" s="5" t="inlineStr">
        <is>
          <t xml:space="preserve">GM</t>
        </is>
      </c>
      <c r="D190" s="5" t="inlineStr">
        <is>
          <t xml:space="preserve">GM</t>
        </is>
      </c>
      <c r="E190" s="5" t="inlineStr">
        <is>
          <t xml:space="preserve">RESULTAT_FIN</t>
        </is>
      </c>
      <c r="F190" s="5" t="inlineStr">
        <is>
          <t xml:space="preserve">RESULTAT_FIN</t>
        </is>
      </c>
    </row>
    <row r="191">
      <c r="A191" s="4" t="inlineStr">
        <is>
          <t xml:space="preserve">797</t>
        </is>
      </c>
      <c r="B191" s="0" t="inlineStr">
        <is>
          <t xml:space="preserve">Transferts de charges exceptionnelles</t>
        </is>
      </c>
      <c r="C191" s="5" t="inlineStr">
        <is>
          <t xml:space="preserve">HC</t>
        </is>
      </c>
      <c r="D191" s="5" t="inlineStr">
        <is>
          <t xml:space="preserve">HC</t>
        </is>
      </c>
      <c r="E191" s="5" t="inlineStr">
        <is>
          <t xml:space="preserve">EXCEPTIONNEL</t>
        </is>
      </c>
      <c r="F191" s="5" t="inlineStr">
        <is>
          <t xml:space="preserve">EXCEPTIONNEL</t>
        </is>
      </c>
    </row>
    <row r="192">
      <c r="A192" s="4" t="inlineStr">
        <is>
          <t xml:space="preserve">649</t>
        </is>
      </c>
      <c r="B192" s="0" t="inlineStr">
        <is>
          <t xml:space="preserve">Remboursements de charges de personnel (PCG 2025)</t>
        </is>
      </c>
      <c r="C192" s="5" t="inlineStr">
        <is>
          <t xml:space="preserve">FY</t>
        </is>
      </c>
      <c r="D192" s="5" t="inlineStr">
        <is>
          <t xml:space="preserve">FY</t>
        </is>
      </c>
      <c r="E192" s="5" t="inlineStr">
        <is>
          <t xml:space="preserve">PERSONNEL</t>
        </is>
      </c>
      <c r="F192" s="5" t="inlineStr">
        <is>
          <t xml:space="preserve">PERSONNEL</t>
        </is>
      </c>
    </row>
    <row r="193">
      <c r="A193" s="4" t="inlineStr">
        <is>
          <t xml:space="preserve">772</t>
        </is>
      </c>
      <c r="B193" s="0" t="inlineStr">
        <is>
          <t xml:space="preserve">Produits sur exercices antérieurs</t>
        </is>
      </c>
      <c r="C193" s="5" t="inlineStr">
        <is>
          <t xml:space="preserve">HA</t>
        </is>
      </c>
      <c r="D193" s="5" t="inlineStr">
        <is>
          <t xml:space="preserve">HA</t>
        </is>
      </c>
      <c r="E193" s="5" t="inlineStr">
        <is>
          <t xml:space="preserve">EXCEPTIONNEL</t>
        </is>
      </c>
      <c r="F193" s="5" t="inlineStr">
        <is>
          <t xml:space="preserve">EXCEPTIONNEL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2.75"/>
  <cols>
    <col min="1" max="1" width="16" customWidth="1"/>
    <col min="2" max="2" width="12" customWidth="1"/>
    <col min="3" max="3" width="8" customWidth="1"/>
    <col min="4" max="4" width="30" customWidth="1"/>
    <col min="5" max="5" width="14" customWidth="1"/>
    <col min="6" max="6" width="10" customWidth="1"/>
  </cols>
  <sheetData>
    <row r="1">
      <c r="A1" s="1" t="inlineStr">
        <is>
          <t xml:space="preserve">Typologie des journaux</t>
        </is>
      </c>
    </row>
    <row r="2">
      <c r="A2" s="2" t="inlineStr">
        <is>
          <t xml:space="preserve">Type déduit automatiquement ; colonne E modifiable (A-NOUVEAUX, ACHATS, VENTES, BANQUE, OD, INVENTAIRE, EXTOURNE).</t>
        </is>
      </c>
    </row>
    <row r="4">
      <c r="A4" s="3" t="inlineStr">
        <is>
          <t xml:space="preserve">Clé</t>
        </is>
      </c>
      <c r="B4" s="3" t="inlineStr">
        <is>
          <t xml:space="preserve">Exercice</t>
        </is>
      </c>
      <c r="C4" s="3" t="inlineStr">
        <is>
          <t xml:space="preserve">Code</t>
        </is>
      </c>
      <c r="D4" s="3" t="inlineStr">
        <is>
          <t xml:space="preserve">Libellé</t>
        </is>
      </c>
      <c r="E4" s="3" t="inlineStr">
        <is>
          <t xml:space="preserve">Type</t>
        </is>
      </c>
      <c r="F4" s="3" t="inlineStr">
        <is>
          <t xml:space="preserve">Nb lignes</t>
        </is>
      </c>
    </row>
    <row r="5">
      <c r="A5" s="7" t="inlineStr">
        <is>
          <t xml:space="preserve">2024|AC</t>
        </is>
      </c>
      <c r="B5" s="0" t="inlineStr">
        <is>
          <t xml:space="preserve">2024</t>
        </is>
      </c>
      <c r="C5" s="4" t="inlineStr">
        <is>
          <t xml:space="preserve">AC</t>
        </is>
      </c>
      <c r="D5" s="0" t="inlineStr">
        <is>
          <t xml:space="preserve">Journal des achats</t>
        </is>
      </c>
      <c r="E5" s="5" t="inlineStr">
        <is>
          <t xml:space="preserve">ACHATS</t>
        </is>
      </c>
      <c r="F5" s="0">
        <f>COUNTIF(FEC_2024!$A:$A,C5)</f>
      </c>
    </row>
    <row r="6">
      <c r="A6" s="7" t="inlineStr">
        <is>
          <t xml:space="preserve">2024|AN</t>
        </is>
      </c>
      <c r="B6" s="0" t="inlineStr">
        <is>
          <t xml:space="preserve">2024</t>
        </is>
      </c>
      <c r="C6" s="4" t="inlineStr">
        <is>
          <t xml:space="preserve">AN</t>
        </is>
      </c>
      <c r="D6" s="0" t="inlineStr">
        <is>
          <t xml:space="preserve">A-nouveaux</t>
        </is>
      </c>
      <c r="E6" s="5" t="inlineStr">
        <is>
          <t xml:space="preserve">A-NOUVEAUX</t>
        </is>
      </c>
      <c r="F6" s="0">
        <f>COUNTIF(FEC_2024!$A:$A,C6)</f>
      </c>
    </row>
    <row r="7">
      <c r="A7" s="7" t="inlineStr">
        <is>
          <t xml:space="preserve">2024|BQ</t>
        </is>
      </c>
      <c r="B7" s="0" t="inlineStr">
        <is>
          <t xml:space="preserve">2024</t>
        </is>
      </c>
      <c r="C7" s="4" t="inlineStr">
        <is>
          <t xml:space="preserve">BQ</t>
        </is>
      </c>
      <c r="D7" s="0" t="inlineStr">
        <is>
          <t xml:space="preserve">Banque Fictive</t>
        </is>
      </c>
      <c r="E7" s="5" t="inlineStr">
        <is>
          <t xml:space="preserve">BANQUE</t>
        </is>
      </c>
      <c r="F7" s="0">
        <f>COUNTIF(FEC_2024!$A:$A,C7)</f>
      </c>
    </row>
    <row r="8">
      <c r="A8" s="7" t="inlineStr">
        <is>
          <t xml:space="preserve">2024|INV</t>
        </is>
      </c>
      <c r="B8" s="0" t="inlineStr">
        <is>
          <t xml:space="preserve">2024</t>
        </is>
      </c>
      <c r="C8" s="4" t="inlineStr">
        <is>
          <t xml:space="preserve">INV</t>
        </is>
      </c>
      <c r="D8" s="0" t="inlineStr">
        <is>
          <t xml:space="preserve">Inventaire</t>
        </is>
      </c>
      <c r="E8" s="5" t="inlineStr">
        <is>
          <t xml:space="preserve">INVENTAIRE</t>
        </is>
      </c>
      <c r="F8" s="0">
        <f>COUNTIF(FEC_2024!$A:$A,C8)</f>
      </c>
    </row>
    <row r="9">
      <c r="A9" s="7" t="inlineStr">
        <is>
          <t xml:space="preserve">2024|OD</t>
        </is>
      </c>
      <c r="B9" s="0" t="inlineStr">
        <is>
          <t xml:space="preserve">2024</t>
        </is>
      </c>
      <c r="C9" s="4" t="inlineStr">
        <is>
          <t xml:space="preserve">OD</t>
        </is>
      </c>
      <c r="D9" s="0" t="inlineStr">
        <is>
          <t xml:space="preserve">Operations diverses</t>
        </is>
      </c>
      <c r="E9" s="5" t="inlineStr">
        <is>
          <t xml:space="preserve">OD</t>
        </is>
      </c>
      <c r="F9" s="0">
        <f>COUNTIF(FEC_2024!$A:$A,C9)</f>
      </c>
    </row>
    <row r="10">
      <c r="A10" s="7" t="inlineStr">
        <is>
          <t xml:space="preserve">2024|SA</t>
        </is>
      </c>
      <c r="B10" s="0" t="inlineStr">
        <is>
          <t xml:space="preserve">2024</t>
        </is>
      </c>
      <c r="C10" s="4" t="inlineStr">
        <is>
          <t xml:space="preserve">SA</t>
        </is>
      </c>
      <c r="D10" s="0" t="inlineStr">
        <is>
          <t xml:space="preserve">Salaires</t>
        </is>
      </c>
      <c r="E10" s="5" t="inlineStr">
        <is>
          <t xml:space="preserve">OD</t>
        </is>
      </c>
      <c r="F10" s="0">
        <f>COUNTIF(FEC_2024!$A:$A,C10)</f>
      </c>
    </row>
    <row r="11">
      <c r="A11" s="7" t="inlineStr">
        <is>
          <t xml:space="preserve">2024|VT</t>
        </is>
      </c>
      <c r="B11" s="0" t="inlineStr">
        <is>
          <t xml:space="preserve">2024</t>
        </is>
      </c>
      <c r="C11" s="4" t="inlineStr">
        <is>
          <t xml:space="preserve">VT</t>
        </is>
      </c>
      <c r="D11" s="0" t="inlineStr">
        <is>
          <t xml:space="preserve">Journal des ventes</t>
        </is>
      </c>
      <c r="E11" s="5" t="inlineStr">
        <is>
          <t xml:space="preserve">VENTES</t>
        </is>
      </c>
      <c r="F11" s="0">
        <f>COUNTIF(FEC_2024!$A:$A,C11)</f>
      </c>
    </row>
    <row r="12">
      <c r="A12" s="7" t="inlineStr">
        <is>
          <t xml:space="preserve">2025|AC</t>
        </is>
      </c>
      <c r="B12" s="0" t="inlineStr">
        <is>
          <t xml:space="preserve">2025</t>
        </is>
      </c>
      <c r="C12" s="4" t="inlineStr">
        <is>
          <t xml:space="preserve">AC</t>
        </is>
      </c>
      <c r="D12" s="0" t="inlineStr">
        <is>
          <t xml:space="preserve">Journal des achats</t>
        </is>
      </c>
      <c r="E12" s="5" t="inlineStr">
        <is>
          <t xml:space="preserve">ACHATS</t>
        </is>
      </c>
      <c r="F12" s="0">
        <f>COUNTIF(FEC_2025!$A:$A,C12)</f>
      </c>
    </row>
    <row r="13">
      <c r="A13" s="7" t="inlineStr">
        <is>
          <t xml:space="preserve">2025|AN</t>
        </is>
      </c>
      <c r="B13" s="0" t="inlineStr">
        <is>
          <t xml:space="preserve">2025</t>
        </is>
      </c>
      <c r="C13" s="4" t="inlineStr">
        <is>
          <t xml:space="preserve">AN</t>
        </is>
      </c>
      <c r="D13" s="0" t="inlineStr">
        <is>
          <t xml:space="preserve">A-nouveaux</t>
        </is>
      </c>
      <c r="E13" s="5" t="inlineStr">
        <is>
          <t xml:space="preserve">A-NOUVEAUX</t>
        </is>
      </c>
      <c r="F13" s="0">
        <f>COUNTIF(FEC_2025!$A:$A,C13)</f>
      </c>
    </row>
    <row r="14">
      <c r="A14" s="7" t="inlineStr">
        <is>
          <t xml:space="preserve">2025|BQ</t>
        </is>
      </c>
      <c r="B14" s="0" t="inlineStr">
        <is>
          <t xml:space="preserve">2025</t>
        </is>
      </c>
      <c r="C14" s="4" t="inlineStr">
        <is>
          <t xml:space="preserve">BQ</t>
        </is>
      </c>
      <c r="D14" s="0" t="inlineStr">
        <is>
          <t xml:space="preserve">Banque Fictive</t>
        </is>
      </c>
      <c r="E14" s="5" t="inlineStr">
        <is>
          <t xml:space="preserve">BANQUE</t>
        </is>
      </c>
      <c r="F14" s="0">
        <f>COUNTIF(FEC_2025!$A:$A,C14)</f>
      </c>
    </row>
    <row r="15">
      <c r="A15" s="7" t="inlineStr">
        <is>
          <t xml:space="preserve">2025|INV</t>
        </is>
      </c>
      <c r="B15" s="0" t="inlineStr">
        <is>
          <t xml:space="preserve">2025</t>
        </is>
      </c>
      <c r="C15" s="4" t="inlineStr">
        <is>
          <t xml:space="preserve">INV</t>
        </is>
      </c>
      <c r="D15" s="0" t="inlineStr">
        <is>
          <t xml:space="preserve">Inventaire</t>
        </is>
      </c>
      <c r="E15" s="5" t="inlineStr">
        <is>
          <t xml:space="preserve">INVENTAIRE</t>
        </is>
      </c>
      <c r="F15" s="0">
        <f>COUNTIF(FEC_2025!$A:$A,C15)</f>
      </c>
    </row>
    <row r="16">
      <c r="A16" s="7" t="inlineStr">
        <is>
          <t xml:space="preserve">2025|OD</t>
        </is>
      </c>
      <c r="B16" s="0" t="inlineStr">
        <is>
          <t xml:space="preserve">2025</t>
        </is>
      </c>
      <c r="C16" s="4" t="inlineStr">
        <is>
          <t xml:space="preserve">OD</t>
        </is>
      </c>
      <c r="D16" s="0" t="inlineStr">
        <is>
          <t xml:space="preserve">Operations diverses</t>
        </is>
      </c>
      <c r="E16" s="5" t="inlineStr">
        <is>
          <t xml:space="preserve">OD</t>
        </is>
      </c>
      <c r="F16" s="0">
        <f>COUNTIF(FEC_2025!$A:$A,C16)</f>
      </c>
    </row>
    <row r="17">
      <c r="A17" s="7" t="inlineStr">
        <is>
          <t xml:space="preserve">2025|SA</t>
        </is>
      </c>
      <c r="B17" s="0" t="inlineStr">
        <is>
          <t xml:space="preserve">2025</t>
        </is>
      </c>
      <c r="C17" s="4" t="inlineStr">
        <is>
          <t xml:space="preserve">SA</t>
        </is>
      </c>
      <c r="D17" s="0" t="inlineStr">
        <is>
          <t xml:space="preserve">Salaires</t>
        </is>
      </c>
      <c r="E17" s="5" t="inlineStr">
        <is>
          <t xml:space="preserve">OD</t>
        </is>
      </c>
      <c r="F17" s="0">
        <f>COUNTIF(FEC_2025!$A:$A,C17)</f>
      </c>
    </row>
    <row r="18">
      <c r="A18" s="7" t="inlineStr">
        <is>
          <t xml:space="preserve">2025|VT</t>
        </is>
      </c>
      <c r="B18" s="0" t="inlineStr">
        <is>
          <t xml:space="preserve">2025</t>
        </is>
      </c>
      <c r="C18" s="4" t="inlineStr">
        <is>
          <t xml:space="preserve">VT</t>
        </is>
      </c>
      <c r="D18" s="0" t="inlineStr">
        <is>
          <t xml:space="preserve">Journal des ventes</t>
        </is>
      </c>
      <c r="E18" s="5" t="inlineStr">
        <is>
          <t xml:space="preserve">VENTES</t>
        </is>
      </c>
      <c r="F18" s="0">
        <f>COUNTIF(FEC_2025!$A:$A,C18)</f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2.75"/>
  <cols>
    <col min="1" max="1" width="7" customWidth="1"/>
    <col min="2" max="2" width="16" customWidth="1"/>
    <col min="3" max="3" width="9" customWidth="1"/>
    <col min="4" max="4" width="11" customWidth="1"/>
    <col min="5" max="5" width="13" customWidth="1"/>
    <col min="6" max="6" width="28" customWidth="1"/>
    <col min="7" max="7" width="10" customWidth="1"/>
    <col min="8" max="8" width="30" customWidth="1"/>
    <col min="9" max="9" width="12" customWidth="1"/>
    <col min="10" max="10" width="12" customWidth="1"/>
    <col min="11" max="11" width="7" customWidth="1"/>
    <col min="12" max="12" width="26" customWidth="1"/>
    <col min="13" max="13" width="13" customWidth="1"/>
    <col min="14" max="14" width="9" customWidth="1"/>
    <col min="15" max="15" width="12" customWidth="1"/>
    <col min="16" max="16" width="20" customWidth="1"/>
    <col min="17" max="17" width="6" customWidth="1"/>
  </cols>
  <sheetData>
    <row r="1">
      <c r="A1" s="3" t="inlineStr">
        <is>
          <t xml:space="preserve">JournalCode</t>
        </is>
      </c>
      <c r="B1" s="3" t="inlineStr">
        <is>
          <t xml:space="preserve">JournalLib</t>
        </is>
      </c>
      <c r="C1" s="3" t="inlineStr">
        <is>
          <t xml:space="preserve">EcritureNum</t>
        </is>
      </c>
      <c r="D1" s="3" t="inlineStr">
        <is>
          <t xml:space="preserve">EcritureDate</t>
        </is>
      </c>
      <c r="E1" s="3" t="inlineStr">
        <is>
          <t xml:space="preserve">CompteNum</t>
        </is>
      </c>
      <c r="F1" s="3" t="inlineStr">
        <is>
          <t xml:space="preserve">CompteLib</t>
        </is>
      </c>
      <c r="G1" s="3" t="inlineStr">
        <is>
          <t xml:space="preserve">PieceRef</t>
        </is>
      </c>
      <c r="H1" s="3" t="inlineStr">
        <is>
          <t xml:space="preserve">EcritureLib</t>
        </is>
      </c>
      <c r="I1" s="3" t="inlineStr">
        <is>
          <t xml:space="preserve">Debit</t>
        </is>
      </c>
      <c r="J1" s="3" t="inlineStr">
        <is>
          <t xml:space="preserve">Credit</t>
        </is>
      </c>
      <c r="K1" s="3" t="inlineStr">
        <is>
          <t xml:space="preserve">EcritureLet</t>
        </is>
      </c>
      <c r="L1" s="3" t="inlineStr">
        <is>
          <t xml:space="preserve">Tiers</t>
        </is>
      </c>
      <c r="M1" s="3" t="inlineStr">
        <is>
          <t xml:space="preserve">Montant (D-C)</t>
        </is>
      </c>
      <c r="N1" s="3" t="inlineStr">
        <is>
          <t xml:space="preserve">Mois</t>
        </is>
      </c>
      <c r="O1" s="3" t="inlineStr">
        <is>
          <t xml:space="preserve">Type journal</t>
        </is>
      </c>
      <c r="P1" s="3" t="inlineStr">
        <is>
          <t xml:space="preserve">Agrégat Vestis</t>
        </is>
      </c>
      <c r="Q1" s="3" t="inlineStr">
        <is>
          <t xml:space="preserve">Classe</t>
        </is>
      </c>
      <c r="R1" s="3" t="inlineStr">
        <is>
          <t xml:space="preserve">Clé tiers</t>
        </is>
      </c>
    </row>
    <row r="2">
      <c r="A2" s="4" t="inlineStr">
        <is>
          <t xml:space="preserve">AN</t>
        </is>
      </c>
      <c r="B2" s="0" t="inlineStr">
        <is>
          <t xml:space="preserve">A-nouveaux</t>
        </is>
      </c>
      <c r="C2" s="0" t="inlineStr">
        <is>
          <t xml:space="preserve">AN00001</t>
        </is>
      </c>
      <c r="D2" s="10">
        <v>45292</v>
      </c>
      <c r="E2" s="4" t="inlineStr">
        <is>
          <t xml:space="preserve">101300</t>
        </is>
      </c>
      <c r="F2" s="0" t="inlineStr">
        <is>
          <t xml:space="preserve">Capital souscrit appele verse</t>
        </is>
      </c>
      <c r="G2" s="0" t="inlineStr">
        <is>
          <t xml:space="preserve">AN2024</t>
        </is>
      </c>
      <c r="H2" s="0" t="inlineStr">
        <is>
          <t xml:space="preserve">A-nouveaux 2024</t>
        </is>
      </c>
      <c r="I2" s="8">
        <v>0</v>
      </c>
      <c r="J2" s="8">
        <v>100000</v>
      </c>
      <c r="K2" s="0"/>
      <c r="L2" s="0"/>
      <c r="M2" s="8">
        <f>I2-J2</f>
      </c>
      <c r="N2" s="0" t="inlineStr">
        <is>
          <t xml:space="preserve">2024-01</t>
        </is>
      </c>
      <c r="O2" s="0">
        <f>INDEX(Journaux!$E$5:$E$18,MATCH("2024|"&amp;A2,Journaux!$A$5:$A$18,0))</f>
      </c>
      <c r="P2" s="0">
        <f>INDEX(Comptes!$H$5:$H$42,MATCH(E2,Comptes!$A$5:$A$42,0))</f>
      </c>
      <c r="Q2" s="0" t="inlineStr">
        <is>
          <t xml:space="preserve">1</t>
        </is>
      </c>
    </row>
    <row r="3">
      <c r="A3" s="4" t="inlineStr">
        <is>
          <t xml:space="preserve">AN</t>
        </is>
      </c>
      <c r="B3" s="0" t="inlineStr">
        <is>
          <t xml:space="preserve">A-nouveaux</t>
        </is>
      </c>
      <c r="C3" s="0" t="inlineStr">
        <is>
          <t xml:space="preserve">AN00001</t>
        </is>
      </c>
      <c r="D3" s="10">
        <v>45292</v>
      </c>
      <c r="E3" s="4" t="inlineStr">
        <is>
          <t xml:space="preserve">106100</t>
        </is>
      </c>
      <c r="F3" s="0" t="inlineStr">
        <is>
          <t xml:space="preserve">Reserve legale</t>
        </is>
      </c>
      <c r="G3" s="0" t="inlineStr">
        <is>
          <t xml:space="preserve">AN2024</t>
        </is>
      </c>
      <c r="H3" s="0" t="inlineStr">
        <is>
          <t xml:space="preserve">A-nouveaux 2024</t>
        </is>
      </c>
      <c r="I3" s="8">
        <v>0</v>
      </c>
      <c r="J3" s="8">
        <v>10000</v>
      </c>
      <c r="K3" s="0"/>
      <c r="L3" s="0"/>
      <c r="M3" s="8">
        <f>I3-J3</f>
      </c>
      <c r="N3" s="0" t="inlineStr">
        <is>
          <t xml:space="preserve">2024-01</t>
        </is>
      </c>
      <c r="O3" s="0">
        <f>INDEX(Journaux!$E$5:$E$18,MATCH("2024|"&amp;A3,Journaux!$A$5:$A$18,0))</f>
      </c>
      <c r="P3" s="0">
        <f>INDEX(Comptes!$H$5:$H$42,MATCH(E3,Comptes!$A$5:$A$42,0))</f>
      </c>
      <c r="Q3" s="0" t="inlineStr">
        <is>
          <t xml:space="preserve">1</t>
        </is>
      </c>
    </row>
    <row r="4">
      <c r="A4" s="4" t="inlineStr">
        <is>
          <t xml:space="preserve">AN</t>
        </is>
      </c>
      <c r="B4" s="0" t="inlineStr">
        <is>
          <t xml:space="preserve">A-nouveaux</t>
        </is>
      </c>
      <c r="C4" s="0" t="inlineStr">
        <is>
          <t xml:space="preserve">AN00001</t>
        </is>
      </c>
      <c r="D4" s="10">
        <v>45292</v>
      </c>
      <c r="E4" s="4" t="inlineStr">
        <is>
          <t xml:space="preserve">110000</t>
        </is>
      </c>
      <c r="F4" s="0" t="inlineStr">
        <is>
          <t xml:space="preserve">Report a nouveau</t>
        </is>
      </c>
      <c r="G4" s="0" t="inlineStr">
        <is>
          <t xml:space="preserve">AN2024</t>
        </is>
      </c>
      <c r="H4" s="0" t="inlineStr">
        <is>
          <t xml:space="preserve">A-nouveaux 2024</t>
        </is>
      </c>
      <c r="I4" s="8">
        <v>0</v>
      </c>
      <c r="J4" s="8">
        <v>68000</v>
      </c>
      <c r="K4" s="0"/>
      <c r="L4" s="0"/>
      <c r="M4" s="8">
        <f>I4-J4</f>
      </c>
      <c r="N4" s="0" t="inlineStr">
        <is>
          <t xml:space="preserve">2024-01</t>
        </is>
      </c>
      <c r="O4" s="0">
        <f>INDEX(Journaux!$E$5:$E$18,MATCH("2024|"&amp;A4,Journaux!$A$5:$A$18,0))</f>
      </c>
      <c r="P4" s="0">
        <f>INDEX(Comptes!$H$5:$H$42,MATCH(E4,Comptes!$A$5:$A$42,0))</f>
      </c>
      <c r="Q4" s="0" t="inlineStr">
        <is>
          <t xml:space="preserve">1</t>
        </is>
      </c>
    </row>
    <row r="5">
      <c r="A5" s="4" t="inlineStr">
        <is>
          <t xml:space="preserve">AN</t>
        </is>
      </c>
      <c r="B5" s="0" t="inlineStr">
        <is>
          <t xml:space="preserve">A-nouveaux</t>
        </is>
      </c>
      <c r="C5" s="0" t="inlineStr">
        <is>
          <t xml:space="preserve">AN00001</t>
        </is>
      </c>
      <c r="D5" s="10">
        <v>45292</v>
      </c>
      <c r="E5" s="4" t="inlineStr">
        <is>
          <t xml:space="preserve">164000</t>
        </is>
      </c>
      <c r="F5" s="0" t="inlineStr">
        <is>
          <t xml:space="preserve">Emprunts aupres des etablissements de credit</t>
        </is>
      </c>
      <c r="G5" s="0" t="inlineStr">
        <is>
          <t xml:space="preserve">AN2024</t>
        </is>
      </c>
      <c r="H5" s="0" t="inlineStr">
        <is>
          <t xml:space="preserve">A-nouveaux 2024</t>
        </is>
      </c>
      <c r="I5" s="8">
        <v>0</v>
      </c>
      <c r="J5" s="8">
        <v>90000</v>
      </c>
      <c r="K5" s="0"/>
      <c r="L5" s="0"/>
      <c r="M5" s="8">
        <f>I5-J5</f>
      </c>
      <c r="N5" s="0" t="inlineStr">
        <is>
          <t xml:space="preserve">2024-01</t>
        </is>
      </c>
      <c r="O5" s="0">
        <f>INDEX(Journaux!$E$5:$E$18,MATCH("2024|"&amp;A5,Journaux!$A$5:$A$18,0))</f>
      </c>
      <c r="P5" s="0">
        <f>INDEX(Comptes!$H$5:$H$42,MATCH(E5,Comptes!$A$5:$A$42,0))</f>
      </c>
      <c r="Q5" s="0" t="inlineStr">
        <is>
          <t xml:space="preserve">1</t>
        </is>
      </c>
    </row>
    <row r="6">
      <c r="A6" s="4" t="inlineStr">
        <is>
          <t xml:space="preserve">AN</t>
        </is>
      </c>
      <c r="B6" s="0" t="inlineStr">
        <is>
          <t xml:space="preserve">A-nouveaux</t>
        </is>
      </c>
      <c r="C6" s="0" t="inlineStr">
        <is>
          <t xml:space="preserve">AN00001</t>
        </is>
      </c>
      <c r="D6" s="10">
        <v>45292</v>
      </c>
      <c r="E6" s="4" t="inlineStr">
        <is>
          <t xml:space="preserve">215400</t>
        </is>
      </c>
      <c r="F6" s="0" t="inlineStr">
        <is>
          <t xml:space="preserve">Materiel industriel</t>
        </is>
      </c>
      <c r="G6" s="0" t="inlineStr">
        <is>
          <t xml:space="preserve">AN2024</t>
        </is>
      </c>
      <c r="H6" s="0" t="inlineStr">
        <is>
          <t xml:space="preserve">A-nouveaux 2024</t>
        </is>
      </c>
      <c r="I6" s="8">
        <v>180000</v>
      </c>
      <c r="J6" s="8">
        <v>0</v>
      </c>
      <c r="K6" s="0"/>
      <c r="L6" s="0"/>
      <c r="M6" s="8">
        <f>I6-J6</f>
      </c>
      <c r="N6" s="0" t="inlineStr">
        <is>
          <t xml:space="preserve">2024-01</t>
        </is>
      </c>
      <c r="O6" s="0">
        <f>INDEX(Journaux!$E$5:$E$18,MATCH("2024|"&amp;A6,Journaux!$A$5:$A$18,0))</f>
      </c>
      <c r="P6" s="0">
        <f>INDEX(Comptes!$H$5:$H$42,MATCH(E6,Comptes!$A$5:$A$42,0))</f>
      </c>
      <c r="Q6" s="0" t="inlineStr">
        <is>
          <t xml:space="preserve">2</t>
        </is>
      </c>
    </row>
    <row r="7">
      <c r="A7" s="4" t="inlineStr">
        <is>
          <t xml:space="preserve">AN</t>
        </is>
      </c>
      <c r="B7" s="0" t="inlineStr">
        <is>
          <t xml:space="preserve">A-nouveaux</t>
        </is>
      </c>
      <c r="C7" s="0" t="inlineStr">
        <is>
          <t xml:space="preserve">AN00001</t>
        </is>
      </c>
      <c r="D7" s="10">
        <v>45292</v>
      </c>
      <c r="E7" s="4" t="inlineStr">
        <is>
          <t xml:space="preserve">218300</t>
        </is>
      </c>
      <c r="F7" s="0" t="inlineStr">
        <is>
          <t xml:space="preserve">Materiel de bureau et informatique</t>
        </is>
      </c>
      <c r="G7" s="0" t="inlineStr">
        <is>
          <t xml:space="preserve">AN2024</t>
        </is>
      </c>
      <c r="H7" s="0" t="inlineStr">
        <is>
          <t xml:space="preserve">A-nouveaux 2024</t>
        </is>
      </c>
      <c r="I7" s="8">
        <v>25000</v>
      </c>
      <c r="J7" s="8">
        <v>0</v>
      </c>
      <c r="K7" s="0"/>
      <c r="L7" s="0"/>
      <c r="M7" s="8">
        <f>I7-J7</f>
      </c>
      <c r="N7" s="0" t="inlineStr">
        <is>
          <t xml:space="preserve">2024-01</t>
        </is>
      </c>
      <c r="O7" s="0">
        <f>INDEX(Journaux!$E$5:$E$18,MATCH("2024|"&amp;A7,Journaux!$A$5:$A$18,0))</f>
      </c>
      <c r="P7" s="0">
        <f>INDEX(Comptes!$H$5:$H$42,MATCH(E7,Comptes!$A$5:$A$42,0))</f>
      </c>
      <c r="Q7" s="0" t="inlineStr">
        <is>
          <t xml:space="preserve">2</t>
        </is>
      </c>
    </row>
    <row r="8">
      <c r="A8" s="4" t="inlineStr">
        <is>
          <t xml:space="preserve">AN</t>
        </is>
      </c>
      <c r="B8" s="0" t="inlineStr">
        <is>
          <t xml:space="preserve">A-nouveaux</t>
        </is>
      </c>
      <c r="C8" s="0" t="inlineStr">
        <is>
          <t xml:space="preserve">AN00001</t>
        </is>
      </c>
      <c r="D8" s="10">
        <v>45292</v>
      </c>
      <c r="E8" s="4" t="inlineStr">
        <is>
          <t xml:space="preserve">281540</t>
        </is>
      </c>
      <c r="F8" s="0" t="inlineStr">
        <is>
          <t xml:space="preserve">Amortissements materiel industriel</t>
        </is>
      </c>
      <c r="G8" s="0" t="inlineStr">
        <is>
          <t xml:space="preserve">AN2024</t>
        </is>
      </c>
      <c r="H8" s="0" t="inlineStr">
        <is>
          <t xml:space="preserve">A-nouveaux 2024</t>
        </is>
      </c>
      <c r="I8" s="8">
        <v>0</v>
      </c>
      <c r="J8" s="8">
        <v>70000</v>
      </c>
      <c r="K8" s="0"/>
      <c r="L8" s="0"/>
      <c r="M8" s="8">
        <f>I8-J8</f>
      </c>
      <c r="N8" s="0" t="inlineStr">
        <is>
          <t xml:space="preserve">2024-01</t>
        </is>
      </c>
      <c r="O8" s="0">
        <f>INDEX(Journaux!$E$5:$E$18,MATCH("2024|"&amp;A8,Journaux!$A$5:$A$18,0))</f>
      </c>
      <c r="P8" s="0">
        <f>INDEX(Comptes!$H$5:$H$42,MATCH(E8,Comptes!$A$5:$A$42,0))</f>
      </c>
      <c r="Q8" s="0" t="inlineStr">
        <is>
          <t xml:space="preserve">2</t>
        </is>
      </c>
    </row>
    <row r="9">
      <c r="A9" s="4" t="inlineStr">
        <is>
          <t xml:space="preserve">AN</t>
        </is>
      </c>
      <c r="B9" s="0" t="inlineStr">
        <is>
          <t xml:space="preserve">A-nouveaux</t>
        </is>
      </c>
      <c r="C9" s="0" t="inlineStr">
        <is>
          <t xml:space="preserve">AN00001</t>
        </is>
      </c>
      <c r="D9" s="10">
        <v>45292</v>
      </c>
      <c r="E9" s="4" t="inlineStr">
        <is>
          <t xml:space="preserve">281830</t>
        </is>
      </c>
      <c r="F9" s="0" t="inlineStr">
        <is>
          <t xml:space="preserve">Amortissements materiel de bureau</t>
        </is>
      </c>
      <c r="G9" s="0" t="inlineStr">
        <is>
          <t xml:space="preserve">AN2024</t>
        </is>
      </c>
      <c r="H9" s="0" t="inlineStr">
        <is>
          <t xml:space="preserve">A-nouveaux 2024</t>
        </is>
      </c>
      <c r="I9" s="8">
        <v>0</v>
      </c>
      <c r="J9" s="8">
        <v>12000</v>
      </c>
      <c r="K9" s="0"/>
      <c r="L9" s="0"/>
      <c r="M9" s="8">
        <f>I9-J9</f>
      </c>
      <c r="N9" s="0" t="inlineStr">
        <is>
          <t xml:space="preserve">2024-01</t>
        </is>
      </c>
      <c r="O9" s="0">
        <f>INDEX(Journaux!$E$5:$E$18,MATCH("2024|"&amp;A9,Journaux!$A$5:$A$18,0))</f>
      </c>
      <c r="P9" s="0">
        <f>INDEX(Comptes!$H$5:$H$42,MATCH(E9,Comptes!$A$5:$A$42,0))</f>
      </c>
      <c r="Q9" s="0" t="inlineStr">
        <is>
          <t xml:space="preserve">2</t>
        </is>
      </c>
    </row>
    <row r="10">
      <c r="A10" s="4" t="inlineStr">
        <is>
          <t xml:space="preserve">AN</t>
        </is>
      </c>
      <c r="B10" s="0" t="inlineStr">
        <is>
          <t xml:space="preserve">A-nouveaux</t>
        </is>
      </c>
      <c r="C10" s="0" t="inlineStr">
        <is>
          <t xml:space="preserve">AN00001</t>
        </is>
      </c>
      <c r="D10" s="10">
        <v>45292</v>
      </c>
      <c r="E10" s="4" t="inlineStr">
        <is>
          <t xml:space="preserve">310000</t>
        </is>
      </c>
      <c r="F10" s="0" t="inlineStr">
        <is>
          <t xml:space="preserve">Stocks de matieres premieres</t>
        </is>
      </c>
      <c r="G10" s="0" t="inlineStr">
        <is>
          <t xml:space="preserve">AN2024</t>
        </is>
      </c>
      <c r="H10" s="0" t="inlineStr">
        <is>
          <t xml:space="preserve">A-nouveaux 2024</t>
        </is>
      </c>
      <c r="I10" s="8">
        <v>45000</v>
      </c>
      <c r="J10" s="8">
        <v>0</v>
      </c>
      <c r="K10" s="0"/>
      <c r="L10" s="0"/>
      <c r="M10" s="8">
        <f>I10-J10</f>
      </c>
      <c r="N10" s="0" t="inlineStr">
        <is>
          <t xml:space="preserve">2024-01</t>
        </is>
      </c>
      <c r="O10" s="0">
        <f>INDEX(Journaux!$E$5:$E$18,MATCH("2024|"&amp;A10,Journaux!$A$5:$A$18,0))</f>
      </c>
      <c r="P10" s="0">
        <f>INDEX(Comptes!$H$5:$H$42,MATCH(E10,Comptes!$A$5:$A$42,0))</f>
      </c>
      <c r="Q10" s="0" t="inlineStr">
        <is>
          <t xml:space="preserve">3</t>
        </is>
      </c>
    </row>
    <row r="11">
      <c r="A11" s="4" t="inlineStr">
        <is>
          <t xml:space="preserve">AN</t>
        </is>
      </c>
      <c r="B11" s="0" t="inlineStr">
        <is>
          <t xml:space="preserve">A-nouveaux</t>
        </is>
      </c>
      <c r="C11" s="0" t="inlineStr">
        <is>
          <t xml:space="preserve">AN00001</t>
        </is>
      </c>
      <c r="D11" s="10">
        <v>45292</v>
      </c>
      <c r="E11" s="4" t="inlineStr">
        <is>
          <t xml:space="preserve">512000</t>
        </is>
      </c>
      <c r="F11" s="0" t="inlineStr">
        <is>
          <t xml:space="preserve">Banque Fictive</t>
        </is>
      </c>
      <c r="G11" s="0" t="inlineStr">
        <is>
          <t xml:space="preserve">AN2024</t>
        </is>
      </c>
      <c r="H11" s="0" t="inlineStr">
        <is>
          <t xml:space="preserve">A-nouveaux 2024</t>
        </is>
      </c>
      <c r="I11" s="8">
        <v>85000</v>
      </c>
      <c r="J11" s="8">
        <v>0</v>
      </c>
      <c r="K11" s="0"/>
      <c r="L11" s="0"/>
      <c r="M11" s="8">
        <f>I11-J11</f>
      </c>
      <c r="N11" s="0" t="inlineStr">
        <is>
          <t xml:space="preserve">2024-01</t>
        </is>
      </c>
      <c r="O11" s="0">
        <f>INDEX(Journaux!$E$5:$E$18,MATCH("2024|"&amp;A11,Journaux!$A$5:$A$18,0))</f>
      </c>
      <c r="P11" s="0">
        <f>INDEX(Comptes!$H$5:$H$42,MATCH(E11,Comptes!$A$5:$A$42,0))</f>
      </c>
      <c r="Q11" s="0" t="inlineStr">
        <is>
          <t xml:space="preserve">5</t>
        </is>
      </c>
    </row>
    <row r="12">
      <c r="A12" s="4" t="inlineStr">
        <is>
          <t xml:space="preserve">AN</t>
        </is>
      </c>
      <c r="B12" s="0" t="inlineStr">
        <is>
          <t xml:space="preserve">A-nouveaux</t>
        </is>
      </c>
      <c r="C12" s="0" t="inlineStr">
        <is>
          <t xml:space="preserve">AN00001</t>
        </is>
      </c>
      <c r="D12" s="10">
        <v>45292</v>
      </c>
      <c r="E12" s="4" t="inlineStr">
        <is>
          <t xml:space="preserve">455100</t>
        </is>
      </c>
      <c r="F12" s="0" t="inlineStr">
        <is>
          <t xml:space="preserve">Compte courant d'associe</t>
        </is>
      </c>
      <c r="G12" s="0" t="inlineStr">
        <is>
          <t xml:space="preserve">AN2024</t>
        </is>
      </c>
      <c r="H12" s="0" t="inlineStr">
        <is>
          <t xml:space="preserve">A-nouveaux 2024</t>
        </is>
      </c>
      <c r="I12" s="8">
        <v>0</v>
      </c>
      <c r="J12" s="8">
        <v>15000</v>
      </c>
      <c r="K12" s="0"/>
      <c r="L12" s="0"/>
      <c r="M12" s="8">
        <f>I12-J12</f>
      </c>
      <c r="N12" s="0" t="inlineStr">
        <is>
          <t xml:space="preserve">2024-01</t>
        </is>
      </c>
      <c r="O12" s="0">
        <f>INDEX(Journaux!$E$5:$E$18,MATCH("2024|"&amp;A12,Journaux!$A$5:$A$18,0))</f>
      </c>
      <c r="P12" s="0">
        <f>INDEX(Comptes!$H$5:$H$42,MATCH(E12,Comptes!$A$5:$A$42,0))</f>
      </c>
      <c r="Q12" s="0" t="inlineStr">
        <is>
          <t xml:space="preserve">4</t>
        </is>
      </c>
    </row>
    <row r="13">
      <c r="A13" s="4" t="inlineStr">
        <is>
          <t xml:space="preserve">AN</t>
        </is>
      </c>
      <c r="B13" s="0" t="inlineStr">
        <is>
          <t xml:space="preserve">A-nouveaux</t>
        </is>
      </c>
      <c r="C13" s="0" t="inlineStr">
        <is>
          <t xml:space="preserve">AN00001</t>
        </is>
      </c>
      <c r="D13" s="10">
        <v>45292</v>
      </c>
      <c r="E13" s="4" t="inlineStr">
        <is>
          <t xml:space="preserve">431000</t>
        </is>
      </c>
      <c r="F13" s="0" t="inlineStr">
        <is>
          <t xml:space="preserve">Securite sociale</t>
        </is>
      </c>
      <c r="G13" s="0" t="inlineStr">
        <is>
          <t xml:space="preserve">AN2024</t>
        </is>
      </c>
      <c r="H13" s="0" t="inlineStr">
        <is>
          <t xml:space="preserve">A-nouveaux 2024</t>
        </is>
      </c>
      <c r="I13" s="8">
        <v>0</v>
      </c>
      <c r="J13" s="8">
        <v>18000</v>
      </c>
      <c r="K13" s="0"/>
      <c r="L13" s="0"/>
      <c r="M13" s="8">
        <f>I13-J13</f>
      </c>
      <c r="N13" s="0" t="inlineStr">
        <is>
          <t xml:space="preserve">2024-01</t>
        </is>
      </c>
      <c r="O13" s="0">
        <f>INDEX(Journaux!$E$5:$E$18,MATCH("2024|"&amp;A13,Journaux!$A$5:$A$18,0))</f>
      </c>
      <c r="P13" s="0">
        <f>INDEX(Comptes!$H$5:$H$42,MATCH(E13,Comptes!$A$5:$A$42,0))</f>
      </c>
      <c r="Q13" s="0" t="inlineStr">
        <is>
          <t xml:space="preserve">4</t>
        </is>
      </c>
    </row>
    <row r="14">
      <c r="A14" s="4" t="inlineStr">
        <is>
          <t xml:space="preserve">AN</t>
        </is>
      </c>
      <c r="B14" s="0" t="inlineStr">
        <is>
          <t xml:space="preserve">A-nouveaux</t>
        </is>
      </c>
      <c r="C14" s="0" t="inlineStr">
        <is>
          <t xml:space="preserve">AN00001</t>
        </is>
      </c>
      <c r="D14" s="10">
        <v>45292</v>
      </c>
      <c r="E14" s="4" t="inlineStr">
        <is>
          <t xml:space="preserve">445510</t>
        </is>
      </c>
      <c r="F14" s="0" t="inlineStr">
        <is>
          <t xml:space="preserve">TVA a decaisser</t>
        </is>
      </c>
      <c r="G14" s="0" t="inlineStr">
        <is>
          <t xml:space="preserve">AN2024</t>
        </is>
      </c>
      <c r="H14" s="0" t="inlineStr">
        <is>
          <t xml:space="preserve">A-nouveaux 2024</t>
        </is>
      </c>
      <c r="I14" s="8">
        <v>0</v>
      </c>
      <c r="J14" s="8">
        <v>12000</v>
      </c>
      <c r="K14" s="0"/>
      <c r="L14" s="0"/>
      <c r="M14" s="8">
        <f>I14-J14</f>
      </c>
      <c r="N14" s="0" t="inlineStr">
        <is>
          <t xml:space="preserve">2024-01</t>
        </is>
      </c>
      <c r="O14" s="0">
        <f>INDEX(Journaux!$E$5:$E$18,MATCH("2024|"&amp;A14,Journaux!$A$5:$A$18,0))</f>
      </c>
      <c r="P14" s="0">
        <f>INDEX(Comptes!$H$5:$H$42,MATCH(E14,Comptes!$A$5:$A$42,0))</f>
      </c>
      <c r="Q14" s="0" t="inlineStr">
        <is>
          <t xml:space="preserve">4</t>
        </is>
      </c>
    </row>
    <row r="15">
      <c r="A15" s="4" t="inlineStr">
        <is>
          <t xml:space="preserve">AN</t>
        </is>
      </c>
      <c r="B15" s="0" t="inlineStr">
        <is>
          <t xml:space="preserve">A-nouveaux</t>
        </is>
      </c>
      <c r="C15" s="0" t="inlineStr">
        <is>
          <t xml:space="preserve">AN00001</t>
        </is>
      </c>
      <c r="D15" s="10">
        <v>45292</v>
      </c>
      <c r="E15" s="4" t="inlineStr">
        <is>
          <t xml:space="preserve">411000</t>
        </is>
      </c>
      <c r="F15" s="0" t="inlineStr">
        <is>
          <t xml:space="preserve">Clients</t>
        </is>
      </c>
      <c r="G15" s="0" t="inlineStr">
        <is>
          <t xml:space="preserve">AN2024</t>
        </is>
      </c>
      <c r="H15" s="0" t="inlineStr">
        <is>
          <t xml:space="preserve">A-nouveaux 2024</t>
        </is>
      </c>
      <c r="I15" s="8">
        <v>30000</v>
      </c>
      <c r="J15" s="8">
        <v>0</v>
      </c>
      <c r="K15" s="0" t="inlineStr">
        <is>
          <t xml:space="preserve">AAA</t>
        </is>
      </c>
      <c r="L15" s="0" t="inlineStr">
        <is>
          <t xml:space="preserve">Hotel Les Tilleuls</t>
        </is>
      </c>
      <c r="M15" s="8">
        <f>I15-J15</f>
      </c>
      <c r="N15" s="0" t="inlineStr">
        <is>
          <t xml:space="preserve">2024-01</t>
        </is>
      </c>
      <c r="O15" s="0">
        <f>INDEX(Journaux!$E$5:$E$18,MATCH("2024|"&amp;A15,Journaux!$A$5:$A$18,0))</f>
      </c>
      <c r="P15" s="0">
        <f>INDEX(Comptes!$H$5:$H$42,MATCH(E15,Comptes!$A$5:$A$42,0))</f>
      </c>
      <c r="Q15" s="0" t="inlineStr">
        <is>
          <t xml:space="preserve">4</t>
        </is>
      </c>
      <c r="R15" s="7" t="inlineStr">
        <is>
          <t xml:space="preserve">411000|C001</t>
        </is>
      </c>
    </row>
    <row r="16">
      <c r="A16" s="4" t="inlineStr">
        <is>
          <t xml:space="preserve">AN</t>
        </is>
      </c>
      <c r="B16" s="0" t="inlineStr">
        <is>
          <t xml:space="preserve">A-nouveaux</t>
        </is>
      </c>
      <c r="C16" s="0" t="inlineStr">
        <is>
          <t xml:space="preserve">AN00001</t>
        </is>
      </c>
      <c r="D16" s="10">
        <v>45292</v>
      </c>
      <c r="E16" s="4" t="inlineStr">
        <is>
          <t xml:space="preserve">411000</t>
        </is>
      </c>
      <c r="F16" s="0" t="inlineStr">
        <is>
          <t xml:space="preserve">Clients</t>
        </is>
      </c>
      <c r="G16" s="0" t="inlineStr">
        <is>
          <t xml:space="preserve">AN2024</t>
        </is>
      </c>
      <c r="H16" s="0" t="inlineStr">
        <is>
          <t xml:space="preserve">A-nouveaux 2024</t>
        </is>
      </c>
      <c r="I16" s="8">
        <v>26000</v>
      </c>
      <c r="J16" s="8">
        <v>0</v>
      </c>
      <c r="K16" s="0" t="inlineStr">
        <is>
          <t xml:space="preserve">AAB</t>
        </is>
      </c>
      <c r="L16" s="0" t="inlineStr">
        <is>
          <t xml:space="preserve">Residence Bel Air</t>
        </is>
      </c>
      <c r="M16" s="8">
        <f>I16-J16</f>
      </c>
      <c r="N16" s="0" t="inlineStr">
        <is>
          <t xml:space="preserve">2024-01</t>
        </is>
      </c>
      <c r="O16" s="0">
        <f>INDEX(Journaux!$E$5:$E$18,MATCH("2024|"&amp;A16,Journaux!$A$5:$A$18,0))</f>
      </c>
      <c r="P16" s="0">
        <f>INDEX(Comptes!$H$5:$H$42,MATCH(E16,Comptes!$A$5:$A$42,0))</f>
      </c>
      <c r="Q16" s="0" t="inlineStr">
        <is>
          <t xml:space="preserve">4</t>
        </is>
      </c>
      <c r="R16" s="7" t="inlineStr">
        <is>
          <t xml:space="preserve">411000|C003</t>
        </is>
      </c>
    </row>
    <row r="17">
      <c r="A17" s="4" t="inlineStr">
        <is>
          <t xml:space="preserve">AN</t>
        </is>
      </c>
      <c r="B17" s="0" t="inlineStr">
        <is>
          <t xml:space="preserve">A-nouveaux</t>
        </is>
      </c>
      <c r="C17" s="0" t="inlineStr">
        <is>
          <t xml:space="preserve">AN00001</t>
        </is>
      </c>
      <c r="D17" s="10">
        <v>45292</v>
      </c>
      <c r="E17" s="4" t="inlineStr">
        <is>
          <t xml:space="preserve">411000</t>
        </is>
      </c>
      <c r="F17" s="0" t="inlineStr">
        <is>
          <t xml:space="preserve">Clients</t>
        </is>
      </c>
      <c r="G17" s="0" t="inlineStr">
        <is>
          <t xml:space="preserve">AN2024</t>
        </is>
      </c>
      <c r="H17" s="0" t="inlineStr">
        <is>
          <t xml:space="preserve">A-nouveaux 2024</t>
        </is>
      </c>
      <c r="I17" s="8">
        <v>22000</v>
      </c>
      <c r="J17" s="8">
        <v>0</v>
      </c>
      <c r="K17" s="0" t="inlineStr">
        <is>
          <t xml:space="preserve">AAC</t>
        </is>
      </c>
      <c r="L17" s="0" t="inlineStr">
        <is>
          <t xml:space="preserve">Cabinet Varenne Associes</t>
        </is>
      </c>
      <c r="M17" s="8">
        <f>I17-J17</f>
      </c>
      <c r="N17" s="0" t="inlineStr">
        <is>
          <t xml:space="preserve">2024-01</t>
        </is>
      </c>
      <c r="O17" s="0">
        <f>INDEX(Journaux!$E$5:$E$18,MATCH("2024|"&amp;A17,Journaux!$A$5:$A$18,0))</f>
      </c>
      <c r="P17" s="0">
        <f>INDEX(Comptes!$H$5:$H$42,MATCH(E17,Comptes!$A$5:$A$42,0))</f>
      </c>
      <c r="Q17" s="0" t="inlineStr">
        <is>
          <t xml:space="preserve">4</t>
        </is>
      </c>
      <c r="R17" s="7" t="inlineStr">
        <is>
          <t xml:space="preserve">411000|C004</t>
        </is>
      </c>
    </row>
    <row r="18">
      <c r="A18" s="4" t="inlineStr">
        <is>
          <t xml:space="preserve">AN</t>
        </is>
      </c>
      <c r="B18" s="0" t="inlineStr">
        <is>
          <t xml:space="preserve">A-nouveaux</t>
        </is>
      </c>
      <c r="C18" s="0" t="inlineStr">
        <is>
          <t xml:space="preserve">AN00001</t>
        </is>
      </c>
      <c r="D18" s="10">
        <v>45292</v>
      </c>
      <c r="E18" s="4" t="inlineStr">
        <is>
          <t xml:space="preserve">411000</t>
        </is>
      </c>
      <c r="F18" s="0" t="inlineStr">
        <is>
          <t xml:space="preserve">Clients</t>
        </is>
      </c>
      <c r="G18" s="0" t="inlineStr">
        <is>
          <t xml:space="preserve">AN2024</t>
        </is>
      </c>
      <c r="H18" s="0" t="inlineStr">
        <is>
          <t xml:space="preserve">A-nouveaux 2024</t>
        </is>
      </c>
      <c r="I18" s="8">
        <v>24000</v>
      </c>
      <c r="J18" s="8">
        <v>0</v>
      </c>
      <c r="K18" s="0" t="inlineStr">
        <is>
          <t xml:space="preserve">AAD</t>
        </is>
      </c>
      <c r="L18" s="0" t="inlineStr">
        <is>
          <t xml:space="preserve">Clinique du Parc</t>
        </is>
      </c>
      <c r="M18" s="8">
        <f>I18-J18</f>
      </c>
      <c r="N18" s="0" t="inlineStr">
        <is>
          <t xml:space="preserve">2024-01</t>
        </is>
      </c>
      <c r="O18" s="0">
        <f>INDEX(Journaux!$E$5:$E$18,MATCH("2024|"&amp;A18,Journaux!$A$5:$A$18,0))</f>
      </c>
      <c r="P18" s="0">
        <f>INDEX(Comptes!$H$5:$H$42,MATCH(E18,Comptes!$A$5:$A$42,0))</f>
      </c>
      <c r="Q18" s="0" t="inlineStr">
        <is>
          <t xml:space="preserve">4</t>
        </is>
      </c>
      <c r="R18" s="7" t="inlineStr">
        <is>
          <t xml:space="preserve">411000|C006</t>
        </is>
      </c>
    </row>
    <row r="19">
      <c r="A19" s="4" t="inlineStr">
        <is>
          <t xml:space="preserve">AN</t>
        </is>
      </c>
      <c r="B19" s="0" t="inlineStr">
        <is>
          <t xml:space="preserve">A-nouveaux</t>
        </is>
      </c>
      <c r="C19" s="0" t="inlineStr">
        <is>
          <t xml:space="preserve">AN00001</t>
        </is>
      </c>
      <c r="D19" s="10">
        <v>45292</v>
      </c>
      <c r="E19" s="4" t="inlineStr">
        <is>
          <t xml:space="preserve">411000</t>
        </is>
      </c>
      <c r="F19" s="0" t="inlineStr">
        <is>
          <t xml:space="preserve">Clients</t>
        </is>
      </c>
      <c r="G19" s="0" t="inlineStr">
        <is>
          <t xml:space="preserve">AN2024</t>
        </is>
      </c>
      <c r="H19" s="0" t="inlineStr">
        <is>
          <t xml:space="preserve">A-nouveaux 2024</t>
        </is>
      </c>
      <c r="I19" s="8">
        <v>18000</v>
      </c>
      <c r="J19" s="8">
        <v>0</v>
      </c>
      <c r="K19" s="0" t="inlineStr">
        <is>
          <t xml:space="preserve">AAE</t>
        </is>
      </c>
      <c r="L19" s="0" t="inlineStr">
        <is>
          <t xml:space="preserve">Coworking Atelier 9</t>
        </is>
      </c>
      <c r="M19" s="8">
        <f>I19-J19</f>
      </c>
      <c r="N19" s="0" t="inlineStr">
        <is>
          <t xml:space="preserve">2024-01</t>
        </is>
      </c>
      <c r="O19" s="0">
        <f>INDEX(Journaux!$E$5:$E$18,MATCH("2024|"&amp;A19,Journaux!$A$5:$A$18,0))</f>
      </c>
      <c r="P19" s="0">
        <f>INDEX(Comptes!$H$5:$H$42,MATCH(E19,Comptes!$A$5:$A$42,0))</f>
      </c>
      <c r="Q19" s="0" t="inlineStr">
        <is>
          <t xml:space="preserve">4</t>
        </is>
      </c>
      <c r="R19" s="7" t="inlineStr">
        <is>
          <t xml:space="preserve">411000|C008</t>
        </is>
      </c>
    </row>
    <row r="20">
      <c r="A20" s="4" t="inlineStr">
        <is>
          <t xml:space="preserve">AN</t>
        </is>
      </c>
      <c r="B20" s="0" t="inlineStr">
        <is>
          <t xml:space="preserve">A-nouveaux</t>
        </is>
      </c>
      <c r="C20" s="0" t="inlineStr">
        <is>
          <t xml:space="preserve">AN00001</t>
        </is>
      </c>
      <c r="D20" s="10">
        <v>45292</v>
      </c>
      <c r="E20" s="4" t="inlineStr">
        <is>
          <t xml:space="preserve">401000</t>
        </is>
      </c>
      <c r="F20" s="0" t="inlineStr">
        <is>
          <t xml:space="preserve">Fournisseurs</t>
        </is>
      </c>
      <c r="G20" s="0" t="inlineStr">
        <is>
          <t xml:space="preserve">AN2024</t>
        </is>
      </c>
      <c r="H20" s="0" t="inlineStr">
        <is>
          <t xml:space="preserve">A-nouveaux 2024</t>
        </is>
      </c>
      <c r="I20" s="8">
        <v>0</v>
      </c>
      <c r="J20" s="8">
        <v>28000</v>
      </c>
      <c r="K20" s="0" t="inlineStr">
        <is>
          <t xml:space="preserve">ABH</t>
        </is>
      </c>
      <c r="L20" s="0" t="inlineStr">
        <is>
          <t xml:space="preserve">Scierie du Nord</t>
        </is>
      </c>
      <c r="M20" s="8">
        <f>I20-J20</f>
      </c>
      <c r="N20" s="0" t="inlineStr">
        <is>
          <t xml:space="preserve">2024-01</t>
        </is>
      </c>
      <c r="O20" s="0">
        <f>INDEX(Journaux!$E$5:$E$18,MATCH("2024|"&amp;A20,Journaux!$A$5:$A$18,0))</f>
      </c>
      <c r="P20" s="0">
        <f>INDEX(Comptes!$H$5:$H$42,MATCH(E20,Comptes!$A$5:$A$42,0))</f>
      </c>
      <c r="Q20" s="0" t="inlineStr">
        <is>
          <t xml:space="preserve">4</t>
        </is>
      </c>
      <c r="R20" s="7" t="inlineStr">
        <is>
          <t xml:space="preserve">401000|F001</t>
        </is>
      </c>
    </row>
    <row r="21">
      <c r="A21" s="4" t="inlineStr">
        <is>
          <t xml:space="preserve">AN</t>
        </is>
      </c>
      <c r="B21" s="0" t="inlineStr">
        <is>
          <t xml:space="preserve">A-nouveaux</t>
        </is>
      </c>
      <c r="C21" s="0" t="inlineStr">
        <is>
          <t xml:space="preserve">AN00001</t>
        </is>
      </c>
      <c r="D21" s="10">
        <v>45292</v>
      </c>
      <c r="E21" s="4" t="inlineStr">
        <is>
          <t xml:space="preserve">401000</t>
        </is>
      </c>
      <c r="F21" s="0" t="inlineStr">
        <is>
          <t xml:space="preserve">Fournisseurs</t>
        </is>
      </c>
      <c r="G21" s="0" t="inlineStr">
        <is>
          <t xml:space="preserve">AN2024</t>
        </is>
      </c>
      <c r="H21" s="0" t="inlineStr">
        <is>
          <t xml:space="preserve">A-nouveaux 2024</t>
        </is>
      </c>
      <c r="I21" s="8">
        <v>0</v>
      </c>
      <c r="J21" s="8">
        <v>12000</v>
      </c>
      <c r="K21" s="0" t="inlineStr">
        <is>
          <t xml:space="preserve">ABI</t>
        </is>
      </c>
      <c r="L21" s="0" t="inlineStr">
        <is>
          <t xml:space="preserve">Quincaillerie Pro Est</t>
        </is>
      </c>
      <c r="M21" s="8">
        <f>I21-J21</f>
      </c>
      <c r="N21" s="0" t="inlineStr">
        <is>
          <t xml:space="preserve">2024-01</t>
        </is>
      </c>
      <c r="O21" s="0">
        <f>INDEX(Journaux!$E$5:$E$18,MATCH("2024|"&amp;A21,Journaux!$A$5:$A$18,0))</f>
      </c>
      <c r="P21" s="0">
        <f>INDEX(Comptes!$H$5:$H$42,MATCH(E21,Comptes!$A$5:$A$42,0))</f>
      </c>
      <c r="Q21" s="0" t="inlineStr">
        <is>
          <t xml:space="preserve">4</t>
        </is>
      </c>
      <c r="R21" s="7" t="inlineStr">
        <is>
          <t xml:space="preserve">401000|F002</t>
        </is>
      </c>
    </row>
    <row r="22">
      <c r="A22" s="4" t="inlineStr">
        <is>
          <t xml:space="preserve">AN</t>
        </is>
      </c>
      <c r="B22" s="0" t="inlineStr">
        <is>
          <t xml:space="preserve">A-nouveaux</t>
        </is>
      </c>
      <c r="C22" s="0" t="inlineStr">
        <is>
          <t xml:space="preserve">AN00001</t>
        </is>
      </c>
      <c r="D22" s="10">
        <v>45292</v>
      </c>
      <c r="E22" s="4" t="inlineStr">
        <is>
          <t xml:space="preserve">401000</t>
        </is>
      </c>
      <c r="F22" s="0" t="inlineStr">
        <is>
          <t xml:space="preserve">Fournisseurs</t>
        </is>
      </c>
      <c r="G22" s="0" t="inlineStr">
        <is>
          <t xml:space="preserve">AN2024</t>
        </is>
      </c>
      <c r="H22" s="0" t="inlineStr">
        <is>
          <t xml:space="preserve">A-nouveaux 2024</t>
        </is>
      </c>
      <c r="I22" s="8">
        <v>0</v>
      </c>
      <c r="J22" s="8">
        <v>9000</v>
      </c>
      <c r="K22" s="0" t="inlineStr">
        <is>
          <t xml:space="preserve">ABJ</t>
        </is>
      </c>
      <c r="L22" s="0" t="inlineStr">
        <is>
          <t xml:space="preserve">Vernis et Finitions</t>
        </is>
      </c>
      <c r="M22" s="8">
        <f>I22-J22</f>
      </c>
      <c r="N22" s="0" t="inlineStr">
        <is>
          <t xml:space="preserve">2024-01</t>
        </is>
      </c>
      <c r="O22" s="0">
        <f>INDEX(Journaux!$E$5:$E$18,MATCH("2024|"&amp;A22,Journaux!$A$5:$A$18,0))</f>
      </c>
      <c r="P22" s="0">
        <f>INDEX(Comptes!$H$5:$H$42,MATCH(E22,Comptes!$A$5:$A$42,0))</f>
      </c>
      <c r="Q22" s="0" t="inlineStr">
        <is>
          <t xml:space="preserve">4</t>
        </is>
      </c>
      <c r="R22" s="7" t="inlineStr">
        <is>
          <t xml:space="preserve">401000|F003</t>
        </is>
      </c>
    </row>
    <row r="23">
      <c r="A23" s="4" t="inlineStr">
        <is>
          <t xml:space="preserve">AN</t>
        </is>
      </c>
      <c r="B23" s="0" t="inlineStr">
        <is>
          <t xml:space="preserve">A-nouveaux</t>
        </is>
      </c>
      <c r="C23" s="0" t="inlineStr">
        <is>
          <t xml:space="preserve">AN00001</t>
        </is>
      </c>
      <c r="D23" s="10">
        <v>45292</v>
      </c>
      <c r="E23" s="4" t="inlineStr">
        <is>
          <t xml:space="preserve">401000</t>
        </is>
      </c>
      <c r="F23" s="0" t="inlineStr">
        <is>
          <t xml:space="preserve">Fournisseurs</t>
        </is>
      </c>
      <c r="G23" s="0" t="inlineStr">
        <is>
          <t xml:space="preserve">AN2024</t>
        </is>
      </c>
      <c r="H23" s="0" t="inlineStr">
        <is>
          <t xml:space="preserve">A-nouveaux 2024</t>
        </is>
      </c>
      <c r="I23" s="8">
        <v>0</v>
      </c>
      <c r="J23" s="8">
        <v>4000</v>
      </c>
      <c r="K23" s="0" t="inlineStr">
        <is>
          <t xml:space="preserve">ABK</t>
        </is>
      </c>
      <c r="L23" s="0" t="inlineStr">
        <is>
          <t xml:space="preserve">Energie Plus</t>
        </is>
      </c>
      <c r="M23" s="8">
        <f>I23-J23</f>
      </c>
      <c r="N23" s="0" t="inlineStr">
        <is>
          <t xml:space="preserve">2024-01</t>
        </is>
      </c>
      <c r="O23" s="0">
        <f>INDEX(Journaux!$E$5:$E$18,MATCH("2024|"&amp;A23,Journaux!$A$5:$A$18,0))</f>
      </c>
      <c r="P23" s="0">
        <f>INDEX(Comptes!$H$5:$H$42,MATCH(E23,Comptes!$A$5:$A$42,0))</f>
      </c>
      <c r="Q23" s="0" t="inlineStr">
        <is>
          <t xml:space="preserve">4</t>
        </is>
      </c>
      <c r="R23" s="7" t="inlineStr">
        <is>
          <t xml:space="preserve">401000|F005</t>
        </is>
      </c>
    </row>
    <row r="24">
      <c r="A24" s="4" t="inlineStr">
        <is>
          <t xml:space="preserve">AN</t>
        </is>
      </c>
      <c r="B24" s="0" t="inlineStr">
        <is>
          <t xml:space="preserve">A-nouveaux</t>
        </is>
      </c>
      <c r="C24" s="0" t="inlineStr">
        <is>
          <t xml:space="preserve">AN00001</t>
        </is>
      </c>
      <c r="D24" s="10">
        <v>45292</v>
      </c>
      <c r="E24" s="4" t="inlineStr">
        <is>
          <t xml:space="preserve">401000</t>
        </is>
      </c>
      <c r="F24" s="0" t="inlineStr">
        <is>
          <t xml:space="preserve">Fournisseurs</t>
        </is>
      </c>
      <c r="G24" s="0" t="inlineStr">
        <is>
          <t xml:space="preserve">AN2024</t>
        </is>
      </c>
      <c r="H24" s="0" t="inlineStr">
        <is>
          <t xml:space="preserve">A-nouveaux 2024</t>
        </is>
      </c>
      <c r="I24" s="8">
        <v>0</v>
      </c>
      <c r="J24" s="8">
        <v>7000</v>
      </c>
      <c r="K24" s="0" t="inlineStr">
        <is>
          <t xml:space="preserve">ABL</t>
        </is>
      </c>
      <c r="L24" s="0" t="inlineStr">
        <is>
          <t xml:space="preserve">SCI Les Halles</t>
        </is>
      </c>
      <c r="M24" s="8">
        <f>I24-J24</f>
      </c>
      <c r="N24" s="0" t="inlineStr">
        <is>
          <t xml:space="preserve">2024-01</t>
        </is>
      </c>
      <c r="O24" s="0">
        <f>INDEX(Journaux!$E$5:$E$18,MATCH("2024|"&amp;A24,Journaux!$A$5:$A$18,0))</f>
      </c>
      <c r="P24" s="0">
        <f>INDEX(Comptes!$H$5:$H$42,MATCH(E24,Comptes!$A$5:$A$42,0))</f>
      </c>
      <c r="Q24" s="0" t="inlineStr">
        <is>
          <t xml:space="preserve">4</t>
        </is>
      </c>
      <c r="R24" s="7" t="inlineStr">
        <is>
          <t xml:space="preserve">401000|F004</t>
        </is>
      </c>
    </row>
    <row r="25">
      <c r="A25" s="4" t="inlineStr">
        <is>
          <t xml:space="preserve">VT</t>
        </is>
      </c>
      <c r="B25" s="0" t="inlineStr">
        <is>
          <t xml:space="preserve">Journal des ventes</t>
        </is>
      </c>
      <c r="C25" s="0" t="inlineStr">
        <is>
          <t xml:space="preserve">VT00002</t>
        </is>
      </c>
      <c r="D25" s="10">
        <v>45292</v>
      </c>
      <c r="E25" s="4" t="inlineStr">
        <is>
          <t xml:space="preserve">411000</t>
        </is>
      </c>
      <c r="F25" s="0" t="inlineStr">
        <is>
          <t xml:space="preserve">Clients</t>
        </is>
      </c>
      <c r="G25" s="0" t="inlineStr">
        <is>
          <t xml:space="preserve">FA2024-0002</t>
        </is>
      </c>
      <c r="H25" s="0" t="inlineStr">
        <is>
          <t xml:space="preserve">Facture FA2024-0002 Hotel Les Tilleuls</t>
        </is>
      </c>
      <c r="I25" s="8">
        <v>38532.72</v>
      </c>
      <c r="J25" s="8">
        <v>0</v>
      </c>
      <c r="K25" s="0" t="inlineStr">
        <is>
          <t xml:space="preserve">AAG</t>
        </is>
      </c>
      <c r="L25" s="0" t="inlineStr">
        <is>
          <t xml:space="preserve">Hotel Les Tilleuls</t>
        </is>
      </c>
      <c r="M25" s="8">
        <f>I25-J25</f>
      </c>
      <c r="N25" s="0" t="inlineStr">
        <is>
          <t xml:space="preserve">2024-01</t>
        </is>
      </c>
      <c r="O25" s="0">
        <f>INDEX(Journaux!$E$5:$E$18,MATCH("2024|"&amp;A25,Journaux!$A$5:$A$18,0))</f>
      </c>
      <c r="P25" s="0">
        <f>INDEX(Comptes!$H$5:$H$42,MATCH(E25,Comptes!$A$5:$A$42,0))</f>
      </c>
      <c r="Q25" s="0" t="inlineStr">
        <is>
          <t xml:space="preserve">4</t>
        </is>
      </c>
      <c r="R25" s="7" t="inlineStr">
        <is>
          <t xml:space="preserve">411000|C001</t>
        </is>
      </c>
    </row>
    <row r="26">
      <c r="A26" s="4" t="inlineStr">
        <is>
          <t xml:space="preserve">VT</t>
        </is>
      </c>
      <c r="B26" s="0" t="inlineStr">
        <is>
          <t xml:space="preserve">Journal des ventes</t>
        </is>
      </c>
      <c r="C26" s="0" t="inlineStr">
        <is>
          <t xml:space="preserve">VT00002</t>
        </is>
      </c>
      <c r="D26" s="10">
        <v>45292</v>
      </c>
      <c r="E26" s="4" t="inlineStr">
        <is>
          <t xml:space="preserve">701000</t>
        </is>
      </c>
      <c r="F26" s="0" t="inlineStr">
        <is>
          <t xml:space="preserve">Ventes de produits finis</t>
        </is>
      </c>
      <c r="G26" s="0" t="inlineStr">
        <is>
          <t xml:space="preserve">FA2024-0002</t>
        </is>
      </c>
      <c r="H26" s="0" t="inlineStr">
        <is>
          <t xml:space="preserve">Facture FA2024-0002 Hotel Les Tilleuls</t>
        </is>
      </c>
      <c r="I26" s="8">
        <v>0</v>
      </c>
      <c r="J26" s="8">
        <v>32110.6</v>
      </c>
      <c r="K26" s="0"/>
      <c r="L26" s="0"/>
      <c r="M26" s="8">
        <f>I26-J26</f>
      </c>
      <c r="N26" s="0" t="inlineStr">
        <is>
          <t xml:space="preserve">2024-01</t>
        </is>
      </c>
      <c r="O26" s="0">
        <f>INDEX(Journaux!$E$5:$E$18,MATCH("2024|"&amp;A26,Journaux!$A$5:$A$18,0))</f>
      </c>
      <c r="P26" s="0">
        <f>INDEX(Comptes!$H$5:$H$42,MATCH(E26,Comptes!$A$5:$A$42,0))</f>
      </c>
      <c r="Q26" s="0" t="inlineStr">
        <is>
          <t xml:space="preserve">7</t>
        </is>
      </c>
    </row>
    <row r="27">
      <c r="A27" s="4" t="inlineStr">
        <is>
          <t xml:space="preserve">VT</t>
        </is>
      </c>
      <c r="B27" s="0" t="inlineStr">
        <is>
          <t xml:space="preserve">Journal des ventes</t>
        </is>
      </c>
      <c r="C27" s="0" t="inlineStr">
        <is>
          <t xml:space="preserve">VT00002</t>
        </is>
      </c>
      <c r="D27" s="10">
        <v>45292</v>
      </c>
      <c r="E27" s="4" t="inlineStr">
        <is>
          <t xml:space="preserve">445710</t>
        </is>
      </c>
      <c r="F27" s="0" t="inlineStr">
        <is>
          <t xml:space="preserve">TVA collectee</t>
        </is>
      </c>
      <c r="G27" s="0" t="inlineStr">
        <is>
          <t xml:space="preserve">FA2024-0002</t>
        </is>
      </c>
      <c r="H27" s="0" t="inlineStr">
        <is>
          <t xml:space="preserve">Facture FA2024-0002 Hotel Les Tilleuls</t>
        </is>
      </c>
      <c r="I27" s="8">
        <v>0</v>
      </c>
      <c r="J27" s="8">
        <v>6422.12</v>
      </c>
      <c r="K27" s="0"/>
      <c r="L27" s="0"/>
      <c r="M27" s="8">
        <f>I27-J27</f>
      </c>
      <c r="N27" s="0" t="inlineStr">
        <is>
          <t xml:space="preserve">2024-01</t>
        </is>
      </c>
      <c r="O27" s="0">
        <f>INDEX(Journaux!$E$5:$E$18,MATCH("2024|"&amp;A27,Journaux!$A$5:$A$18,0))</f>
      </c>
      <c r="P27" s="0">
        <f>INDEX(Comptes!$H$5:$H$42,MATCH(E27,Comptes!$A$5:$A$42,0))</f>
      </c>
      <c r="Q27" s="0" t="inlineStr">
        <is>
          <t xml:space="preserve">4</t>
        </is>
      </c>
    </row>
    <row r="28">
      <c r="A28" s="4" t="inlineStr">
        <is>
          <t xml:space="preserve">AC</t>
        </is>
      </c>
      <c r="B28" s="0" t="inlineStr">
        <is>
          <t xml:space="preserve">Journal des achats</t>
        </is>
      </c>
      <c r="C28" s="0" t="inlineStr">
        <is>
          <t xml:space="preserve">AC00002</t>
        </is>
      </c>
      <c r="D28" s="10">
        <v>45294</v>
      </c>
      <c r="E28" s="4" t="inlineStr">
        <is>
          <t xml:space="preserve">601000</t>
        </is>
      </c>
      <c r="F28" s="0" t="inlineStr">
        <is>
          <t xml:space="preserve">Achats de matieres premieres</t>
        </is>
      </c>
      <c r="G28" s="0" t="inlineStr">
        <is>
          <t xml:space="preserve">F001-2024012</t>
        </is>
      </c>
      <c r="H28" s="0" t="inlineStr">
        <is>
          <t xml:space="preserve">Facture Scierie du Nord F001-2024012</t>
        </is>
      </c>
      <c r="I28" s="8">
        <v>26592.21</v>
      </c>
      <c r="J28" s="8">
        <v>0</v>
      </c>
      <c r="K28" s="0"/>
      <c r="L28" s="0"/>
      <c r="M28" s="8">
        <f>I28-J28</f>
      </c>
      <c r="N28" s="0" t="inlineStr">
        <is>
          <t xml:space="preserve">2024-01</t>
        </is>
      </c>
      <c r="O28" s="0">
        <f>INDEX(Journaux!$E$5:$E$18,MATCH("2024|"&amp;A28,Journaux!$A$5:$A$18,0))</f>
      </c>
      <c r="P28" s="0">
        <f>INDEX(Comptes!$H$5:$H$42,MATCH(E28,Comptes!$A$5:$A$42,0))</f>
      </c>
      <c r="Q28" s="0" t="inlineStr">
        <is>
          <t xml:space="preserve">6</t>
        </is>
      </c>
    </row>
    <row r="29">
      <c r="A29" s="4" t="inlineStr">
        <is>
          <t xml:space="preserve">AC</t>
        </is>
      </c>
      <c r="B29" s="0" t="inlineStr">
        <is>
          <t xml:space="preserve">Journal des achats</t>
        </is>
      </c>
      <c r="C29" s="0" t="inlineStr">
        <is>
          <t xml:space="preserve">AC00002</t>
        </is>
      </c>
      <c r="D29" s="10">
        <v>45294</v>
      </c>
      <c r="E29" s="4" t="inlineStr">
        <is>
          <t xml:space="preserve">445660</t>
        </is>
      </c>
      <c r="F29" s="0" t="inlineStr">
        <is>
          <t xml:space="preserve">TVA deductible sur ABS</t>
        </is>
      </c>
      <c r="G29" s="0" t="inlineStr">
        <is>
          <t xml:space="preserve">F001-2024012</t>
        </is>
      </c>
      <c r="H29" s="0" t="inlineStr">
        <is>
          <t xml:space="preserve">Facture Scierie du Nord F001-2024012</t>
        </is>
      </c>
      <c r="I29" s="8">
        <v>5318.44</v>
      </c>
      <c r="J29" s="8">
        <v>0</v>
      </c>
      <c r="K29" s="0"/>
      <c r="L29" s="0"/>
      <c r="M29" s="8">
        <f>I29-J29</f>
      </c>
      <c r="N29" s="0" t="inlineStr">
        <is>
          <t xml:space="preserve">2024-01</t>
        </is>
      </c>
      <c r="O29" s="0">
        <f>INDEX(Journaux!$E$5:$E$18,MATCH("2024|"&amp;A29,Journaux!$A$5:$A$18,0))</f>
      </c>
      <c r="P29" s="0">
        <f>INDEX(Comptes!$H$5:$H$42,MATCH(E29,Comptes!$A$5:$A$42,0))</f>
      </c>
      <c r="Q29" s="0" t="inlineStr">
        <is>
          <t xml:space="preserve">4</t>
        </is>
      </c>
    </row>
    <row r="30">
      <c r="A30" s="4" t="inlineStr">
        <is>
          <t xml:space="preserve">AC</t>
        </is>
      </c>
      <c r="B30" s="0" t="inlineStr">
        <is>
          <t xml:space="preserve">Journal des achats</t>
        </is>
      </c>
      <c r="C30" s="0" t="inlineStr">
        <is>
          <t xml:space="preserve">AC00002</t>
        </is>
      </c>
      <c r="D30" s="10">
        <v>45294</v>
      </c>
      <c r="E30" s="4" t="inlineStr">
        <is>
          <t xml:space="preserve">401000</t>
        </is>
      </c>
      <c r="F30" s="0" t="inlineStr">
        <is>
          <t xml:space="preserve">Fournisseurs</t>
        </is>
      </c>
      <c r="G30" s="0" t="inlineStr">
        <is>
          <t xml:space="preserve">F001-2024012</t>
        </is>
      </c>
      <c r="H30" s="0" t="inlineStr">
        <is>
          <t xml:space="preserve">Facture Scierie du Nord F001-2024012</t>
        </is>
      </c>
      <c r="I30" s="8">
        <v>0</v>
      </c>
      <c r="J30" s="8">
        <v>31910.65</v>
      </c>
      <c r="K30" s="0" t="inlineStr">
        <is>
          <t xml:space="preserve">ABN</t>
        </is>
      </c>
      <c r="L30" s="0" t="inlineStr">
        <is>
          <t xml:space="preserve">Scierie du Nord</t>
        </is>
      </c>
      <c r="M30" s="8">
        <f>I30-J30</f>
      </c>
      <c r="N30" s="0" t="inlineStr">
        <is>
          <t xml:space="preserve">2024-01</t>
        </is>
      </c>
      <c r="O30" s="0">
        <f>INDEX(Journaux!$E$5:$E$18,MATCH("2024|"&amp;A30,Journaux!$A$5:$A$18,0))</f>
      </c>
      <c r="P30" s="0">
        <f>INDEX(Comptes!$H$5:$H$42,MATCH(E30,Comptes!$A$5:$A$42,0))</f>
      </c>
      <c r="Q30" s="0" t="inlineStr">
        <is>
          <t xml:space="preserve">4</t>
        </is>
      </c>
      <c r="R30" s="7" t="inlineStr">
        <is>
          <t xml:space="preserve">401000|F001</t>
        </is>
      </c>
    </row>
    <row r="31">
      <c r="A31" s="4" t="inlineStr">
        <is>
          <t xml:space="preserve">AC</t>
        </is>
      </c>
      <c r="B31" s="0" t="inlineStr">
        <is>
          <t xml:space="preserve">Journal des achats</t>
        </is>
      </c>
      <c r="C31" s="0" t="inlineStr">
        <is>
          <t xml:space="preserve">AC00003</t>
        </is>
      </c>
      <c r="D31" s="10">
        <v>45296</v>
      </c>
      <c r="E31" s="4" t="inlineStr">
        <is>
          <t xml:space="preserve">613200</t>
        </is>
      </c>
      <c r="F31" s="0" t="inlineStr">
        <is>
          <t xml:space="preserve">Locations immobilieres</t>
        </is>
      </c>
      <c r="G31" s="0" t="inlineStr">
        <is>
          <t xml:space="preserve">F004-202401</t>
        </is>
      </c>
      <c r="H31" s="0" t="inlineStr">
        <is>
          <t xml:space="preserve">Facture SCI Les Halles 2024-01</t>
        </is>
      </c>
      <c r="I31" s="8">
        <v>8500</v>
      </c>
      <c r="J31" s="8">
        <v>0</v>
      </c>
      <c r="K31" s="0"/>
      <c r="L31" s="0"/>
      <c r="M31" s="8">
        <f>I31-J31</f>
      </c>
      <c r="N31" s="0" t="inlineStr">
        <is>
          <t xml:space="preserve">2024-01</t>
        </is>
      </c>
      <c r="O31" s="0">
        <f>INDEX(Journaux!$E$5:$E$18,MATCH("2024|"&amp;A31,Journaux!$A$5:$A$18,0))</f>
      </c>
      <c r="P31" s="0">
        <f>INDEX(Comptes!$H$5:$H$42,MATCH(E31,Comptes!$A$5:$A$42,0))</f>
      </c>
      <c r="Q31" s="0" t="inlineStr">
        <is>
          <t xml:space="preserve">6</t>
        </is>
      </c>
    </row>
    <row r="32">
      <c r="A32" s="4" t="inlineStr">
        <is>
          <t xml:space="preserve">AC</t>
        </is>
      </c>
      <c r="B32" s="0" t="inlineStr">
        <is>
          <t xml:space="preserve">Journal des achats</t>
        </is>
      </c>
      <c r="C32" s="0" t="inlineStr">
        <is>
          <t xml:space="preserve">AC00003</t>
        </is>
      </c>
      <c r="D32" s="10">
        <v>45296</v>
      </c>
      <c r="E32" s="4" t="inlineStr">
        <is>
          <t xml:space="preserve">445660</t>
        </is>
      </c>
      <c r="F32" s="0" t="inlineStr">
        <is>
          <t xml:space="preserve">TVA deductible sur ABS</t>
        </is>
      </c>
      <c r="G32" s="0" t="inlineStr">
        <is>
          <t xml:space="preserve">F004-202401</t>
        </is>
      </c>
      <c r="H32" s="0" t="inlineStr">
        <is>
          <t xml:space="preserve">Facture SCI Les Halles 2024-01</t>
        </is>
      </c>
      <c r="I32" s="8">
        <v>1700</v>
      </c>
      <c r="J32" s="8">
        <v>0</v>
      </c>
      <c r="K32" s="0"/>
      <c r="L32" s="0"/>
      <c r="M32" s="8">
        <f>I32-J32</f>
      </c>
      <c r="N32" s="0" t="inlineStr">
        <is>
          <t xml:space="preserve">2024-01</t>
        </is>
      </c>
      <c r="O32" s="0">
        <f>INDEX(Journaux!$E$5:$E$18,MATCH("2024|"&amp;A32,Journaux!$A$5:$A$18,0))</f>
      </c>
      <c r="P32" s="0">
        <f>INDEX(Comptes!$H$5:$H$42,MATCH(E32,Comptes!$A$5:$A$42,0))</f>
      </c>
      <c r="Q32" s="0" t="inlineStr">
        <is>
          <t xml:space="preserve">4</t>
        </is>
      </c>
    </row>
    <row r="33">
      <c r="A33" s="4" t="inlineStr">
        <is>
          <t xml:space="preserve">AC</t>
        </is>
      </c>
      <c r="B33" s="0" t="inlineStr">
        <is>
          <t xml:space="preserve">Journal des achats</t>
        </is>
      </c>
      <c r="C33" s="0" t="inlineStr">
        <is>
          <t xml:space="preserve">AC00003</t>
        </is>
      </c>
      <c r="D33" s="10">
        <v>45296</v>
      </c>
      <c r="E33" s="4" t="inlineStr">
        <is>
          <t xml:space="preserve">401000</t>
        </is>
      </c>
      <c r="F33" s="0" t="inlineStr">
        <is>
          <t xml:space="preserve">Fournisseurs</t>
        </is>
      </c>
      <c r="G33" s="0" t="inlineStr">
        <is>
          <t xml:space="preserve">F004-202401</t>
        </is>
      </c>
      <c r="H33" s="0" t="inlineStr">
        <is>
          <t xml:space="preserve">Facture SCI Les Halles 2024-01</t>
        </is>
      </c>
      <c r="I33" s="8">
        <v>0</v>
      </c>
      <c r="J33" s="8">
        <v>10200</v>
      </c>
      <c r="K33" s="0" t="inlineStr">
        <is>
          <t xml:space="preserve">ABO</t>
        </is>
      </c>
      <c r="L33" s="0" t="inlineStr">
        <is>
          <t xml:space="preserve">SCI Les Halles</t>
        </is>
      </c>
      <c r="M33" s="8">
        <f>I33-J33</f>
      </c>
      <c r="N33" s="0" t="inlineStr">
        <is>
          <t xml:space="preserve">2024-01</t>
        </is>
      </c>
      <c r="O33" s="0">
        <f>INDEX(Journaux!$E$5:$E$18,MATCH("2024|"&amp;A33,Journaux!$A$5:$A$18,0))</f>
      </c>
      <c r="P33" s="0">
        <f>INDEX(Comptes!$H$5:$H$42,MATCH(E33,Comptes!$A$5:$A$42,0))</f>
      </c>
      <c r="Q33" s="0" t="inlineStr">
        <is>
          <t xml:space="preserve">4</t>
        </is>
      </c>
      <c r="R33" s="7" t="inlineStr">
        <is>
          <t xml:space="preserve">401000|F004</t>
        </is>
      </c>
    </row>
    <row r="34">
      <c r="A34" s="4" t="inlineStr">
        <is>
          <t xml:space="preserve">AC</t>
        </is>
      </c>
      <c r="B34" s="0" t="inlineStr">
        <is>
          <t xml:space="preserve">Journal des achats</t>
        </is>
      </c>
      <c r="C34" s="0" t="inlineStr">
        <is>
          <t xml:space="preserve">AC00004</t>
        </is>
      </c>
      <c r="D34" s="10">
        <v>45296</v>
      </c>
      <c r="E34" s="4" t="inlineStr">
        <is>
          <t xml:space="preserve">606100</t>
        </is>
      </c>
      <c r="F34" s="0" t="inlineStr">
        <is>
          <t xml:space="preserve">Fournitures non stockables energie</t>
        </is>
      </c>
      <c r="G34" s="0" t="inlineStr">
        <is>
          <t xml:space="preserve">F005-202401</t>
        </is>
      </c>
      <c r="H34" s="0" t="inlineStr">
        <is>
          <t xml:space="preserve">Facture Energie Plus 2024-01</t>
        </is>
      </c>
      <c r="I34" s="8">
        <v>2530.57</v>
      </c>
      <c r="J34" s="8">
        <v>0</v>
      </c>
      <c r="K34" s="0"/>
      <c r="L34" s="0"/>
      <c r="M34" s="8">
        <f>I34-J34</f>
      </c>
      <c r="N34" s="0" t="inlineStr">
        <is>
          <t xml:space="preserve">2024-01</t>
        </is>
      </c>
      <c r="O34" s="0">
        <f>INDEX(Journaux!$E$5:$E$18,MATCH("2024|"&amp;A34,Journaux!$A$5:$A$18,0))</f>
      </c>
      <c r="P34" s="0">
        <f>INDEX(Comptes!$H$5:$H$42,MATCH(E34,Comptes!$A$5:$A$42,0))</f>
      </c>
      <c r="Q34" s="0" t="inlineStr">
        <is>
          <t xml:space="preserve">6</t>
        </is>
      </c>
    </row>
    <row r="35">
      <c r="A35" s="4" t="inlineStr">
        <is>
          <t xml:space="preserve">AC</t>
        </is>
      </c>
      <c r="B35" s="0" t="inlineStr">
        <is>
          <t xml:space="preserve">Journal des achats</t>
        </is>
      </c>
      <c r="C35" s="0" t="inlineStr">
        <is>
          <t xml:space="preserve">AC00004</t>
        </is>
      </c>
      <c r="D35" s="10">
        <v>45296</v>
      </c>
      <c r="E35" s="4" t="inlineStr">
        <is>
          <t xml:space="preserve">445660</t>
        </is>
      </c>
      <c r="F35" s="0" t="inlineStr">
        <is>
          <t xml:space="preserve">TVA deductible sur ABS</t>
        </is>
      </c>
      <c r="G35" s="0" t="inlineStr">
        <is>
          <t xml:space="preserve">F005-202401</t>
        </is>
      </c>
      <c r="H35" s="0" t="inlineStr">
        <is>
          <t xml:space="preserve">Facture Energie Plus 2024-01</t>
        </is>
      </c>
      <c r="I35" s="8">
        <v>506.11</v>
      </c>
      <c r="J35" s="8">
        <v>0</v>
      </c>
      <c r="K35" s="0"/>
      <c r="L35" s="0"/>
      <c r="M35" s="8">
        <f>I35-J35</f>
      </c>
      <c r="N35" s="0" t="inlineStr">
        <is>
          <t xml:space="preserve">2024-01</t>
        </is>
      </c>
      <c r="O35" s="0">
        <f>INDEX(Journaux!$E$5:$E$18,MATCH("2024|"&amp;A35,Journaux!$A$5:$A$18,0))</f>
      </c>
      <c r="P35" s="0">
        <f>INDEX(Comptes!$H$5:$H$42,MATCH(E35,Comptes!$A$5:$A$42,0))</f>
      </c>
      <c r="Q35" s="0" t="inlineStr">
        <is>
          <t xml:space="preserve">4</t>
        </is>
      </c>
    </row>
    <row r="36">
      <c r="A36" s="4" t="inlineStr">
        <is>
          <t xml:space="preserve">AC</t>
        </is>
      </c>
      <c r="B36" s="0" t="inlineStr">
        <is>
          <t xml:space="preserve">Journal des achats</t>
        </is>
      </c>
      <c r="C36" s="0" t="inlineStr">
        <is>
          <t xml:space="preserve">AC00004</t>
        </is>
      </c>
      <c r="D36" s="10">
        <v>45296</v>
      </c>
      <c r="E36" s="4" t="inlineStr">
        <is>
          <t xml:space="preserve">401000</t>
        </is>
      </c>
      <c r="F36" s="0" t="inlineStr">
        <is>
          <t xml:space="preserve">Fournisseurs</t>
        </is>
      </c>
      <c r="G36" s="0" t="inlineStr">
        <is>
          <t xml:space="preserve">F005-202401</t>
        </is>
      </c>
      <c r="H36" s="0" t="inlineStr">
        <is>
          <t xml:space="preserve">Facture Energie Plus 2024-01</t>
        </is>
      </c>
      <c r="I36" s="8">
        <v>0</v>
      </c>
      <c r="J36" s="8">
        <v>3036.68</v>
      </c>
      <c r="K36" s="0" t="inlineStr">
        <is>
          <t xml:space="preserve">ABP</t>
        </is>
      </c>
      <c r="L36" s="0" t="inlineStr">
        <is>
          <t xml:space="preserve">Energie Plus</t>
        </is>
      </c>
      <c r="M36" s="8">
        <f>I36-J36</f>
      </c>
      <c r="N36" s="0" t="inlineStr">
        <is>
          <t xml:space="preserve">2024-01</t>
        </is>
      </c>
      <c r="O36" s="0">
        <f>INDEX(Journaux!$E$5:$E$18,MATCH("2024|"&amp;A36,Journaux!$A$5:$A$18,0))</f>
      </c>
      <c r="P36" s="0">
        <f>INDEX(Comptes!$H$5:$H$42,MATCH(E36,Comptes!$A$5:$A$42,0))</f>
      </c>
      <c r="Q36" s="0" t="inlineStr">
        <is>
          <t xml:space="preserve">4</t>
        </is>
      </c>
      <c r="R36" s="7" t="inlineStr">
        <is>
          <t xml:space="preserve">401000|F005</t>
        </is>
      </c>
    </row>
    <row r="37">
      <c r="A37" s="4" t="inlineStr">
        <is>
          <t xml:space="preserve">AC</t>
        </is>
      </c>
      <c r="B37" s="0" t="inlineStr">
        <is>
          <t xml:space="preserve">Journal des achats</t>
        </is>
      </c>
      <c r="C37" s="0" t="inlineStr">
        <is>
          <t xml:space="preserve">AC00005</t>
        </is>
      </c>
      <c r="D37" s="10">
        <v>45296</v>
      </c>
      <c r="E37" s="4" t="inlineStr">
        <is>
          <t xml:space="preserve">626000</t>
        </is>
      </c>
      <c r="F37" s="0" t="inlineStr">
        <is>
          <t xml:space="preserve">Frais postaux et telecommunications</t>
        </is>
      </c>
      <c r="G37" s="0" t="inlineStr">
        <is>
          <t xml:space="preserve">F008-202401</t>
        </is>
      </c>
      <c r="H37" s="0" t="inlineStr">
        <is>
          <t xml:space="preserve">Facture Telecom Pro 2024-01</t>
        </is>
      </c>
      <c r="I37" s="8">
        <v>480</v>
      </c>
      <c r="J37" s="8">
        <v>0</v>
      </c>
      <c r="K37" s="0"/>
      <c r="L37" s="0"/>
      <c r="M37" s="8">
        <f>I37-J37</f>
      </c>
      <c r="N37" s="0" t="inlineStr">
        <is>
          <t xml:space="preserve">2024-01</t>
        </is>
      </c>
      <c r="O37" s="0">
        <f>INDEX(Journaux!$E$5:$E$18,MATCH("2024|"&amp;A37,Journaux!$A$5:$A$18,0))</f>
      </c>
      <c r="P37" s="0">
        <f>INDEX(Comptes!$H$5:$H$42,MATCH(E37,Comptes!$A$5:$A$42,0))</f>
      </c>
      <c r="Q37" s="0" t="inlineStr">
        <is>
          <t xml:space="preserve">6</t>
        </is>
      </c>
    </row>
    <row r="38">
      <c r="A38" s="4" t="inlineStr">
        <is>
          <t xml:space="preserve">AC</t>
        </is>
      </c>
      <c r="B38" s="0" t="inlineStr">
        <is>
          <t xml:space="preserve">Journal des achats</t>
        </is>
      </c>
      <c r="C38" s="0" t="inlineStr">
        <is>
          <t xml:space="preserve">AC00005</t>
        </is>
      </c>
      <c r="D38" s="10">
        <v>45296</v>
      </c>
      <c r="E38" s="4" t="inlineStr">
        <is>
          <t xml:space="preserve">445660</t>
        </is>
      </c>
      <c r="F38" s="0" t="inlineStr">
        <is>
          <t xml:space="preserve">TVA deductible sur ABS</t>
        </is>
      </c>
      <c r="G38" s="0" t="inlineStr">
        <is>
          <t xml:space="preserve">F008-202401</t>
        </is>
      </c>
      <c r="H38" s="0" t="inlineStr">
        <is>
          <t xml:space="preserve">Facture Telecom Pro 2024-01</t>
        </is>
      </c>
      <c r="I38" s="8">
        <v>96</v>
      </c>
      <c r="J38" s="8">
        <v>0</v>
      </c>
      <c r="K38" s="0"/>
      <c r="L38" s="0"/>
      <c r="M38" s="8">
        <f>I38-J38</f>
      </c>
      <c r="N38" s="0" t="inlineStr">
        <is>
          <t xml:space="preserve">2024-01</t>
        </is>
      </c>
      <c r="O38" s="0">
        <f>INDEX(Journaux!$E$5:$E$18,MATCH("2024|"&amp;A38,Journaux!$A$5:$A$18,0))</f>
      </c>
      <c r="P38" s="0">
        <f>INDEX(Comptes!$H$5:$H$42,MATCH(E38,Comptes!$A$5:$A$42,0))</f>
      </c>
      <c r="Q38" s="0" t="inlineStr">
        <is>
          <t xml:space="preserve">4</t>
        </is>
      </c>
    </row>
    <row r="39">
      <c r="A39" s="4" t="inlineStr">
        <is>
          <t xml:space="preserve">AC</t>
        </is>
      </c>
      <c r="B39" s="0" t="inlineStr">
        <is>
          <t xml:space="preserve">Journal des achats</t>
        </is>
      </c>
      <c r="C39" s="0" t="inlineStr">
        <is>
          <t xml:space="preserve">AC00005</t>
        </is>
      </c>
      <c r="D39" s="10">
        <v>45296</v>
      </c>
      <c r="E39" s="4" t="inlineStr">
        <is>
          <t xml:space="preserve">401000</t>
        </is>
      </c>
      <c r="F39" s="0" t="inlineStr">
        <is>
          <t xml:space="preserve">Fournisseurs</t>
        </is>
      </c>
      <c r="G39" s="0" t="inlineStr">
        <is>
          <t xml:space="preserve">F008-202401</t>
        </is>
      </c>
      <c r="H39" s="0" t="inlineStr">
        <is>
          <t xml:space="preserve">Facture Telecom Pro 2024-01</t>
        </is>
      </c>
      <c r="I39" s="8">
        <v>0</v>
      </c>
      <c r="J39" s="8">
        <v>576</v>
      </c>
      <c r="K39" s="0" t="inlineStr">
        <is>
          <t xml:space="preserve">ABQ</t>
        </is>
      </c>
      <c r="L39" s="0" t="inlineStr">
        <is>
          <t xml:space="preserve">Telecom Pro</t>
        </is>
      </c>
      <c r="M39" s="8">
        <f>I39-J39</f>
      </c>
      <c r="N39" s="0" t="inlineStr">
        <is>
          <t xml:space="preserve">2024-01</t>
        </is>
      </c>
      <c r="O39" s="0">
        <f>INDEX(Journaux!$E$5:$E$18,MATCH("2024|"&amp;A39,Journaux!$A$5:$A$18,0))</f>
      </c>
      <c r="P39" s="0">
        <f>INDEX(Comptes!$H$5:$H$42,MATCH(E39,Comptes!$A$5:$A$42,0))</f>
      </c>
      <c r="Q39" s="0" t="inlineStr">
        <is>
          <t xml:space="preserve">4</t>
        </is>
      </c>
      <c r="R39" s="7" t="inlineStr">
        <is>
          <t xml:space="preserve">401000|F008</t>
        </is>
      </c>
    </row>
    <row r="40">
      <c r="A40" s="4" t="inlineStr">
        <is>
          <t xml:space="preserve">AC</t>
        </is>
      </c>
      <c r="B40" s="0" t="inlineStr">
        <is>
          <t xml:space="preserve">Journal des achats</t>
        </is>
      </c>
      <c r="C40" s="0" t="inlineStr">
        <is>
          <t xml:space="preserve">AC00006</t>
        </is>
      </c>
      <c r="D40" s="10">
        <v>45296</v>
      </c>
      <c r="E40" s="4" t="inlineStr">
        <is>
          <t xml:space="preserve">616000</t>
        </is>
      </c>
      <c r="F40" s="0" t="inlineStr">
        <is>
          <t xml:space="preserve">Primes d'assurance</t>
        </is>
      </c>
      <c r="G40" s="0" t="inlineStr">
        <is>
          <t xml:space="preserve">F006-202401</t>
        </is>
      </c>
      <c r="H40" s="0" t="inlineStr">
        <is>
          <t xml:space="preserve">Facture Assurances Mutuelles Exemple 2024-01</t>
        </is>
      </c>
      <c r="I40" s="8">
        <v>3000</v>
      </c>
      <c r="J40" s="8">
        <v>0</v>
      </c>
      <c r="K40" s="0"/>
      <c r="L40" s="0"/>
      <c r="M40" s="8">
        <f>I40-J40</f>
      </c>
      <c r="N40" s="0" t="inlineStr">
        <is>
          <t xml:space="preserve">2024-01</t>
        </is>
      </c>
      <c r="O40" s="0">
        <f>INDEX(Journaux!$E$5:$E$18,MATCH("2024|"&amp;A40,Journaux!$A$5:$A$18,0))</f>
      </c>
      <c r="P40" s="0">
        <f>INDEX(Comptes!$H$5:$H$42,MATCH(E40,Comptes!$A$5:$A$42,0))</f>
      </c>
      <c r="Q40" s="0" t="inlineStr">
        <is>
          <t xml:space="preserve">6</t>
        </is>
      </c>
    </row>
    <row r="41">
      <c r="A41" s="4" t="inlineStr">
        <is>
          <t xml:space="preserve">AC</t>
        </is>
      </c>
      <c r="B41" s="0" t="inlineStr">
        <is>
          <t xml:space="preserve">Journal des achats</t>
        </is>
      </c>
      <c r="C41" s="0" t="inlineStr">
        <is>
          <t xml:space="preserve">AC00006</t>
        </is>
      </c>
      <c r="D41" s="10">
        <v>45296</v>
      </c>
      <c r="E41" s="4" t="inlineStr">
        <is>
          <t xml:space="preserve">401000</t>
        </is>
      </c>
      <c r="F41" s="0" t="inlineStr">
        <is>
          <t xml:space="preserve">Fournisseurs</t>
        </is>
      </c>
      <c r="G41" s="0" t="inlineStr">
        <is>
          <t xml:space="preserve">F006-202401</t>
        </is>
      </c>
      <c r="H41" s="0" t="inlineStr">
        <is>
          <t xml:space="preserve">Facture Assurances Mutuelles Exemple 2024-01</t>
        </is>
      </c>
      <c r="I41" s="8">
        <v>0</v>
      </c>
      <c r="J41" s="8">
        <v>3000</v>
      </c>
      <c r="K41" s="0" t="inlineStr">
        <is>
          <t xml:space="preserve">ABR</t>
        </is>
      </c>
      <c r="L41" s="0" t="inlineStr">
        <is>
          <t xml:space="preserve">Assurances Mutuelles Exemple</t>
        </is>
      </c>
      <c r="M41" s="8">
        <f>I41-J41</f>
      </c>
      <c r="N41" s="0" t="inlineStr">
        <is>
          <t xml:space="preserve">2024-01</t>
        </is>
      </c>
      <c r="O41" s="0">
        <f>INDEX(Journaux!$E$5:$E$18,MATCH("2024|"&amp;A41,Journaux!$A$5:$A$18,0))</f>
      </c>
      <c r="P41" s="0">
        <f>INDEX(Comptes!$H$5:$H$42,MATCH(E41,Comptes!$A$5:$A$42,0))</f>
      </c>
      <c r="Q41" s="0" t="inlineStr">
        <is>
          <t xml:space="preserve">4</t>
        </is>
      </c>
      <c r="R41" s="7" t="inlineStr">
        <is>
          <t xml:space="preserve">401000|F006</t>
        </is>
      </c>
    </row>
    <row r="42">
      <c r="A42" s="4" t="inlineStr">
        <is>
          <t xml:space="preserve">VT</t>
        </is>
      </c>
      <c r="B42" s="0" t="inlineStr">
        <is>
          <t xml:space="preserve">Journal des ventes</t>
        </is>
      </c>
      <c r="C42" s="0" t="inlineStr">
        <is>
          <t xml:space="preserve">VT00003</t>
        </is>
      </c>
      <c r="D42" s="10">
        <v>45299</v>
      </c>
      <c r="E42" s="4" t="inlineStr">
        <is>
          <t xml:space="preserve">411000</t>
        </is>
      </c>
      <c r="F42" s="0" t="inlineStr">
        <is>
          <t xml:space="preserve">Clients</t>
        </is>
      </c>
      <c r="G42" s="0" t="inlineStr">
        <is>
          <t xml:space="preserve">FA2024-0003</t>
        </is>
      </c>
      <c r="H42" s="0" t="inlineStr">
        <is>
          <t xml:space="preserve">Facture FA2024-0003 Cabinet Varenne Associes</t>
        </is>
      </c>
      <c r="I42" s="8">
        <v>25702.04</v>
      </c>
      <c r="J42" s="8">
        <v>0</v>
      </c>
      <c r="K42" s="0" t="inlineStr">
        <is>
          <t xml:space="preserve">AAH</t>
        </is>
      </c>
      <c r="L42" s="0" t="inlineStr">
        <is>
          <t xml:space="preserve">Cabinet Varenne Associes</t>
        </is>
      </c>
      <c r="M42" s="8">
        <f>I42-J42</f>
      </c>
      <c r="N42" s="0" t="inlineStr">
        <is>
          <t xml:space="preserve">2024-01</t>
        </is>
      </c>
      <c r="O42" s="0">
        <f>INDEX(Journaux!$E$5:$E$18,MATCH("2024|"&amp;A42,Journaux!$A$5:$A$18,0))</f>
      </c>
      <c r="P42" s="0">
        <f>INDEX(Comptes!$H$5:$H$42,MATCH(E42,Comptes!$A$5:$A$42,0))</f>
      </c>
      <c r="Q42" s="0" t="inlineStr">
        <is>
          <t xml:space="preserve">4</t>
        </is>
      </c>
      <c r="R42" s="7" t="inlineStr">
        <is>
          <t xml:space="preserve">411000|C004</t>
        </is>
      </c>
    </row>
    <row r="43">
      <c r="A43" s="4" t="inlineStr">
        <is>
          <t xml:space="preserve">VT</t>
        </is>
      </c>
      <c r="B43" s="0" t="inlineStr">
        <is>
          <t xml:space="preserve">Journal des ventes</t>
        </is>
      </c>
      <c r="C43" s="0" t="inlineStr">
        <is>
          <t xml:space="preserve">VT00003</t>
        </is>
      </c>
      <c r="D43" s="10">
        <v>45299</v>
      </c>
      <c r="E43" s="4" t="inlineStr">
        <is>
          <t xml:space="preserve">701000</t>
        </is>
      </c>
      <c r="F43" s="0" t="inlineStr">
        <is>
          <t xml:space="preserve">Ventes de produits finis</t>
        </is>
      </c>
      <c r="G43" s="0" t="inlineStr">
        <is>
          <t xml:space="preserve">FA2024-0003</t>
        </is>
      </c>
      <c r="H43" s="0" t="inlineStr">
        <is>
          <t xml:space="preserve">Facture FA2024-0003 Cabinet Varenne Associes</t>
        </is>
      </c>
      <c r="I43" s="8">
        <v>0</v>
      </c>
      <c r="J43" s="8">
        <v>21418.37</v>
      </c>
      <c r="K43" s="0"/>
      <c r="L43" s="0"/>
      <c r="M43" s="8">
        <f>I43-J43</f>
      </c>
      <c r="N43" s="0" t="inlineStr">
        <is>
          <t xml:space="preserve">2024-01</t>
        </is>
      </c>
      <c r="O43" s="0">
        <f>INDEX(Journaux!$E$5:$E$18,MATCH("2024|"&amp;A43,Journaux!$A$5:$A$18,0))</f>
      </c>
      <c r="P43" s="0">
        <f>INDEX(Comptes!$H$5:$H$42,MATCH(E43,Comptes!$A$5:$A$42,0))</f>
      </c>
      <c r="Q43" s="0" t="inlineStr">
        <is>
          <t xml:space="preserve">7</t>
        </is>
      </c>
    </row>
    <row r="44">
      <c r="A44" s="4" t="inlineStr">
        <is>
          <t xml:space="preserve">VT</t>
        </is>
      </c>
      <c r="B44" s="0" t="inlineStr">
        <is>
          <t xml:space="preserve">Journal des ventes</t>
        </is>
      </c>
      <c r="C44" s="0" t="inlineStr">
        <is>
          <t xml:space="preserve">VT00003</t>
        </is>
      </c>
      <c r="D44" s="10">
        <v>45299</v>
      </c>
      <c r="E44" s="4" t="inlineStr">
        <is>
          <t xml:space="preserve">445710</t>
        </is>
      </c>
      <c r="F44" s="0" t="inlineStr">
        <is>
          <t xml:space="preserve">TVA collectee</t>
        </is>
      </c>
      <c r="G44" s="0" t="inlineStr">
        <is>
          <t xml:space="preserve">FA2024-0003</t>
        </is>
      </c>
      <c r="H44" s="0" t="inlineStr">
        <is>
          <t xml:space="preserve">Facture FA2024-0003 Cabinet Varenne Associes</t>
        </is>
      </c>
      <c r="I44" s="8">
        <v>0</v>
      </c>
      <c r="J44" s="8">
        <v>4283.67</v>
      </c>
      <c r="K44" s="0"/>
      <c r="L44" s="0"/>
      <c r="M44" s="8">
        <f>I44-J44</f>
      </c>
      <c r="N44" s="0" t="inlineStr">
        <is>
          <t xml:space="preserve">2024-01</t>
        </is>
      </c>
      <c r="O44" s="0">
        <f>INDEX(Journaux!$E$5:$E$18,MATCH("2024|"&amp;A44,Journaux!$A$5:$A$18,0))</f>
      </c>
      <c r="P44" s="0">
        <f>INDEX(Comptes!$H$5:$H$42,MATCH(E44,Comptes!$A$5:$A$42,0))</f>
      </c>
      <c r="Q44" s="0" t="inlineStr">
        <is>
          <t xml:space="preserve">4</t>
        </is>
      </c>
    </row>
    <row r="45">
      <c r="A45" s="4" t="inlineStr">
        <is>
          <t xml:space="preserve">VT</t>
        </is>
      </c>
      <c r="B45" s="0" t="inlineStr">
        <is>
          <t xml:space="preserve">Journal des ventes</t>
        </is>
      </c>
      <c r="C45" s="0" t="inlineStr">
        <is>
          <t xml:space="preserve">VT00005</t>
        </is>
      </c>
      <c r="D45" s="10">
        <v>45299</v>
      </c>
      <c r="E45" s="4" t="inlineStr">
        <is>
          <t xml:space="preserve">411000</t>
        </is>
      </c>
      <c r="F45" s="0" t="inlineStr">
        <is>
          <t xml:space="preserve">Clients</t>
        </is>
      </c>
      <c r="G45" s="0" t="inlineStr">
        <is>
          <t xml:space="preserve">FA2024-0005</t>
        </is>
      </c>
      <c r="H45" s="0" t="inlineStr">
        <is>
          <t xml:space="preserve">Facture FA2024-0005 Boutique Hetre et Chene</t>
        </is>
      </c>
      <c r="I45" s="8">
        <v>22023.36</v>
      </c>
      <c r="J45" s="8">
        <v>0</v>
      </c>
      <c r="K45" s="0" t="inlineStr">
        <is>
          <t xml:space="preserve">AAJ</t>
        </is>
      </c>
      <c r="L45" s="0" t="inlineStr">
        <is>
          <t xml:space="preserve">Boutique Hetre et Chene</t>
        </is>
      </c>
      <c r="M45" s="8">
        <f>I45-J45</f>
      </c>
      <c r="N45" s="0" t="inlineStr">
        <is>
          <t xml:space="preserve">2024-01</t>
        </is>
      </c>
      <c r="O45" s="0">
        <f>INDEX(Journaux!$E$5:$E$18,MATCH("2024|"&amp;A45,Journaux!$A$5:$A$18,0))</f>
      </c>
      <c r="P45" s="0">
        <f>INDEX(Comptes!$H$5:$H$42,MATCH(E45,Comptes!$A$5:$A$42,0))</f>
      </c>
      <c r="Q45" s="0" t="inlineStr">
        <is>
          <t xml:space="preserve">4</t>
        </is>
      </c>
      <c r="R45" s="7" t="inlineStr">
        <is>
          <t xml:space="preserve">411000|C007</t>
        </is>
      </c>
    </row>
    <row r="46">
      <c r="A46" s="4" t="inlineStr">
        <is>
          <t xml:space="preserve">VT</t>
        </is>
      </c>
      <c r="B46" s="0" t="inlineStr">
        <is>
          <t xml:space="preserve">Journal des ventes</t>
        </is>
      </c>
      <c r="C46" s="0" t="inlineStr">
        <is>
          <t xml:space="preserve">VT00005</t>
        </is>
      </c>
      <c r="D46" s="10">
        <v>45299</v>
      </c>
      <c r="E46" s="4" t="inlineStr">
        <is>
          <t xml:space="preserve">701000</t>
        </is>
      </c>
      <c r="F46" s="0" t="inlineStr">
        <is>
          <t xml:space="preserve">Ventes de produits finis</t>
        </is>
      </c>
      <c r="G46" s="0" t="inlineStr">
        <is>
          <t xml:space="preserve">FA2024-0005</t>
        </is>
      </c>
      <c r="H46" s="0" t="inlineStr">
        <is>
          <t xml:space="preserve">Facture FA2024-0005 Boutique Hetre et Chene</t>
        </is>
      </c>
      <c r="I46" s="8">
        <v>0</v>
      </c>
      <c r="J46" s="8">
        <v>18352.8</v>
      </c>
      <c r="K46" s="0"/>
      <c r="L46" s="0"/>
      <c r="M46" s="8">
        <f>I46-J46</f>
      </c>
      <c r="N46" s="0" t="inlineStr">
        <is>
          <t xml:space="preserve">2024-01</t>
        </is>
      </c>
      <c r="O46" s="0">
        <f>INDEX(Journaux!$E$5:$E$18,MATCH("2024|"&amp;A46,Journaux!$A$5:$A$18,0))</f>
      </c>
      <c r="P46" s="0">
        <f>INDEX(Comptes!$H$5:$H$42,MATCH(E46,Comptes!$A$5:$A$42,0))</f>
      </c>
      <c r="Q46" s="0" t="inlineStr">
        <is>
          <t xml:space="preserve">7</t>
        </is>
      </c>
    </row>
    <row r="47">
      <c r="A47" s="4" t="inlineStr">
        <is>
          <t xml:space="preserve">VT</t>
        </is>
      </c>
      <c r="B47" s="0" t="inlineStr">
        <is>
          <t xml:space="preserve">Journal des ventes</t>
        </is>
      </c>
      <c r="C47" s="0" t="inlineStr">
        <is>
          <t xml:space="preserve">VT00005</t>
        </is>
      </c>
      <c r="D47" s="10">
        <v>45299</v>
      </c>
      <c r="E47" s="4" t="inlineStr">
        <is>
          <t xml:space="preserve">445710</t>
        </is>
      </c>
      <c r="F47" s="0" t="inlineStr">
        <is>
          <t xml:space="preserve">TVA collectee</t>
        </is>
      </c>
      <c r="G47" s="0" t="inlineStr">
        <is>
          <t xml:space="preserve">FA2024-0005</t>
        </is>
      </c>
      <c r="H47" s="0" t="inlineStr">
        <is>
          <t xml:space="preserve">Facture FA2024-0005 Boutique Hetre et Chene</t>
        </is>
      </c>
      <c r="I47" s="8">
        <v>0</v>
      </c>
      <c r="J47" s="8">
        <v>3670.56</v>
      </c>
      <c r="K47" s="0"/>
      <c r="L47" s="0"/>
      <c r="M47" s="8">
        <f>I47-J47</f>
      </c>
      <c r="N47" s="0" t="inlineStr">
        <is>
          <t xml:space="preserve">2024-01</t>
        </is>
      </c>
      <c r="O47" s="0">
        <f>INDEX(Journaux!$E$5:$E$18,MATCH("2024|"&amp;A47,Journaux!$A$5:$A$18,0))</f>
      </c>
      <c r="P47" s="0">
        <f>INDEX(Comptes!$H$5:$H$42,MATCH(E47,Comptes!$A$5:$A$42,0))</f>
      </c>
      <c r="Q47" s="0" t="inlineStr">
        <is>
          <t xml:space="preserve">4</t>
        </is>
      </c>
    </row>
    <row r="48">
      <c r="A48" s="4" t="inlineStr">
        <is>
          <t xml:space="preserve">BQ</t>
        </is>
      </c>
      <c r="B48" s="0" t="inlineStr">
        <is>
          <t xml:space="preserve">Banque Fictive</t>
        </is>
      </c>
      <c r="C48" s="0" t="inlineStr">
        <is>
          <t xml:space="preserve">BQ00002</t>
        </is>
      </c>
      <c r="D48" s="10">
        <v>45301</v>
      </c>
      <c r="E48" s="4" t="inlineStr">
        <is>
          <t xml:space="preserve">164000</t>
        </is>
      </c>
      <c r="F48" s="0" t="inlineStr">
        <is>
          <t xml:space="preserve">Emprunts aupres des etablissements de credit</t>
        </is>
      </c>
      <c r="G48" s="0" t="inlineStr">
        <is>
          <t xml:space="preserve">ECH202401</t>
        </is>
      </c>
      <c r="H48" s="0" t="inlineStr">
        <is>
          <t xml:space="preserve">Echeance emprunt 01/2024</t>
        </is>
      </c>
      <c r="I48" s="8">
        <v>2000</v>
      </c>
      <c r="J48" s="8">
        <v>0</v>
      </c>
      <c r="K48" s="0"/>
      <c r="L48" s="0"/>
      <c r="M48" s="8">
        <f>I48-J48</f>
      </c>
      <c r="N48" s="0" t="inlineStr">
        <is>
          <t xml:space="preserve">2024-01</t>
        </is>
      </c>
      <c r="O48" s="0">
        <f>INDEX(Journaux!$E$5:$E$18,MATCH("2024|"&amp;A48,Journaux!$A$5:$A$18,0))</f>
      </c>
      <c r="P48" s="0">
        <f>INDEX(Comptes!$H$5:$H$42,MATCH(E48,Comptes!$A$5:$A$42,0))</f>
      </c>
      <c r="Q48" s="0" t="inlineStr">
        <is>
          <t xml:space="preserve">1</t>
        </is>
      </c>
    </row>
    <row r="49">
      <c r="A49" s="4" t="inlineStr">
        <is>
          <t xml:space="preserve">BQ</t>
        </is>
      </c>
      <c r="B49" s="0" t="inlineStr">
        <is>
          <t xml:space="preserve">Banque Fictive</t>
        </is>
      </c>
      <c r="C49" s="0" t="inlineStr">
        <is>
          <t xml:space="preserve">BQ00002</t>
        </is>
      </c>
      <c r="D49" s="10">
        <v>45301</v>
      </c>
      <c r="E49" s="4" t="inlineStr">
        <is>
          <t xml:space="preserve">661100</t>
        </is>
      </c>
      <c r="F49" s="0" t="inlineStr">
        <is>
          <t xml:space="preserve">Interets des emprunts</t>
        </is>
      </c>
      <c r="G49" s="0" t="inlineStr">
        <is>
          <t xml:space="preserve">ECH202401</t>
        </is>
      </c>
      <c r="H49" s="0" t="inlineStr">
        <is>
          <t xml:space="preserve">Echeance emprunt 01/2024</t>
        </is>
      </c>
      <c r="I49" s="8">
        <v>300</v>
      </c>
      <c r="J49" s="8">
        <v>0</v>
      </c>
      <c r="K49" s="0"/>
      <c r="L49" s="0"/>
      <c r="M49" s="8">
        <f>I49-J49</f>
      </c>
      <c r="N49" s="0" t="inlineStr">
        <is>
          <t xml:space="preserve">2024-01</t>
        </is>
      </c>
      <c r="O49" s="0">
        <f>INDEX(Journaux!$E$5:$E$18,MATCH("2024|"&amp;A49,Journaux!$A$5:$A$18,0))</f>
      </c>
      <c r="P49" s="0">
        <f>INDEX(Comptes!$H$5:$H$42,MATCH(E49,Comptes!$A$5:$A$42,0))</f>
      </c>
      <c r="Q49" s="0" t="inlineStr">
        <is>
          <t xml:space="preserve">6</t>
        </is>
      </c>
    </row>
    <row r="50">
      <c r="A50" s="4" t="inlineStr">
        <is>
          <t xml:space="preserve">BQ</t>
        </is>
      </c>
      <c r="B50" s="0" t="inlineStr">
        <is>
          <t xml:space="preserve">Banque Fictive</t>
        </is>
      </c>
      <c r="C50" s="0" t="inlineStr">
        <is>
          <t xml:space="preserve">BQ00002</t>
        </is>
      </c>
      <c r="D50" s="10">
        <v>45301</v>
      </c>
      <c r="E50" s="4" t="inlineStr">
        <is>
          <t xml:space="preserve">512000</t>
        </is>
      </c>
      <c r="F50" s="0" t="inlineStr">
        <is>
          <t xml:space="preserve">Banque Fictive</t>
        </is>
      </c>
      <c r="G50" s="0" t="inlineStr">
        <is>
          <t xml:space="preserve">ECH202401</t>
        </is>
      </c>
      <c r="H50" s="0" t="inlineStr">
        <is>
          <t xml:space="preserve">Echeance emprunt 01/2024</t>
        </is>
      </c>
      <c r="I50" s="8">
        <v>0</v>
      </c>
      <c r="J50" s="8">
        <v>2300</v>
      </c>
      <c r="K50" s="0"/>
      <c r="L50" s="0"/>
      <c r="M50" s="8">
        <f>I50-J50</f>
      </c>
      <c r="N50" s="0" t="inlineStr">
        <is>
          <t xml:space="preserve">2024-01</t>
        </is>
      </c>
      <c r="O50" s="0">
        <f>INDEX(Journaux!$E$5:$E$18,MATCH("2024|"&amp;A50,Journaux!$A$5:$A$18,0))</f>
      </c>
      <c r="P50" s="0">
        <f>INDEX(Comptes!$H$5:$H$42,MATCH(E50,Comptes!$A$5:$A$42,0))</f>
      </c>
      <c r="Q50" s="0" t="inlineStr">
        <is>
          <t xml:space="preserve">5</t>
        </is>
      </c>
    </row>
    <row r="51">
      <c r="A51" s="4" t="inlineStr">
        <is>
          <t xml:space="preserve">BQ</t>
        </is>
      </c>
      <c r="B51" s="0" t="inlineStr">
        <is>
          <t xml:space="preserve">Banque Fictive</t>
        </is>
      </c>
      <c r="C51" s="0" t="inlineStr">
        <is>
          <t xml:space="preserve">BQ00120</t>
        </is>
      </c>
      <c r="D51" s="10">
        <v>45301</v>
      </c>
      <c r="E51" s="4" t="inlineStr">
        <is>
          <t xml:space="preserve">401000</t>
        </is>
      </c>
      <c r="F51" s="0" t="inlineStr">
        <is>
          <t xml:space="preserve">Fournisseurs</t>
        </is>
      </c>
      <c r="G51" s="0" t="inlineStr">
        <is>
          <t xml:space="preserve">DEC-AN2024</t>
        </is>
      </c>
      <c r="H51" s="0" t="inlineStr">
        <is>
          <t xml:space="preserve">Reglement fournisseur Scierie du Nord AN2024</t>
        </is>
      </c>
      <c r="I51" s="8">
        <v>28000</v>
      </c>
      <c r="J51" s="8">
        <v>0</v>
      </c>
      <c r="K51" s="0" t="inlineStr">
        <is>
          <t xml:space="preserve">ABH</t>
        </is>
      </c>
      <c r="L51" s="0" t="inlineStr">
        <is>
          <t xml:space="preserve">Scierie du Nord</t>
        </is>
      </c>
      <c r="M51" s="8">
        <f>I51-J51</f>
      </c>
      <c r="N51" s="0" t="inlineStr">
        <is>
          <t xml:space="preserve">2024-01</t>
        </is>
      </c>
      <c r="O51" s="0">
        <f>INDEX(Journaux!$E$5:$E$18,MATCH("2024|"&amp;A51,Journaux!$A$5:$A$18,0))</f>
      </c>
      <c r="P51" s="0">
        <f>INDEX(Comptes!$H$5:$H$42,MATCH(E51,Comptes!$A$5:$A$42,0))</f>
      </c>
      <c r="Q51" s="0" t="inlineStr">
        <is>
          <t xml:space="preserve">4</t>
        </is>
      </c>
      <c r="R51" s="7" t="inlineStr">
        <is>
          <t xml:space="preserve">401000|F001</t>
        </is>
      </c>
    </row>
    <row r="52">
      <c r="A52" s="4" t="inlineStr">
        <is>
          <t xml:space="preserve">BQ</t>
        </is>
      </c>
      <c r="B52" s="0" t="inlineStr">
        <is>
          <t xml:space="preserve">Banque Fictive</t>
        </is>
      </c>
      <c r="C52" s="0" t="inlineStr">
        <is>
          <t xml:space="preserve">BQ00120</t>
        </is>
      </c>
      <c r="D52" s="10">
        <v>45301</v>
      </c>
      <c r="E52" s="4" t="inlineStr">
        <is>
          <t xml:space="preserve">512000</t>
        </is>
      </c>
      <c r="F52" s="0" t="inlineStr">
        <is>
          <t xml:space="preserve">Banque Fictive</t>
        </is>
      </c>
      <c r="G52" s="0" t="inlineStr">
        <is>
          <t xml:space="preserve">DEC-AN2024</t>
        </is>
      </c>
      <c r="H52" s="0" t="inlineStr">
        <is>
          <t xml:space="preserve">Reglement fournisseur Scierie du Nord AN2024</t>
        </is>
      </c>
      <c r="I52" s="8">
        <v>0</v>
      </c>
      <c r="J52" s="8">
        <v>28000</v>
      </c>
      <c r="K52" s="0"/>
      <c r="L52" s="0"/>
      <c r="M52" s="8">
        <f>I52-J52</f>
      </c>
      <c r="N52" s="0" t="inlineStr">
        <is>
          <t xml:space="preserve">2024-01</t>
        </is>
      </c>
      <c r="O52" s="0">
        <f>INDEX(Journaux!$E$5:$E$18,MATCH("2024|"&amp;A52,Journaux!$A$5:$A$18,0))</f>
      </c>
      <c r="P52" s="0">
        <f>INDEX(Comptes!$H$5:$H$42,MATCH(E52,Comptes!$A$5:$A$42,0))</f>
      </c>
      <c r="Q52" s="0" t="inlineStr">
        <is>
          <t xml:space="preserve">5</t>
        </is>
      </c>
    </row>
    <row r="53">
      <c r="A53" s="4" t="inlineStr">
        <is>
          <t xml:space="preserve">BQ</t>
        </is>
      </c>
      <c r="B53" s="0" t="inlineStr">
        <is>
          <t xml:space="preserve">Banque Fictive</t>
        </is>
      </c>
      <c r="C53" s="0" t="inlineStr">
        <is>
          <t xml:space="preserve">BQ00037</t>
        </is>
      </c>
      <c r="D53" s="10">
        <v>45306</v>
      </c>
      <c r="E53" s="4" t="inlineStr">
        <is>
          <t xml:space="preserve">431000</t>
        </is>
      </c>
      <c r="F53" s="0" t="inlineStr">
        <is>
          <t xml:space="preserve">Securite sociale</t>
        </is>
      </c>
      <c r="G53" s="0" t="inlineStr">
        <is>
          <t xml:space="preserve">URSSAF202312</t>
        </is>
      </c>
      <c r="H53" s="0" t="inlineStr">
        <is>
          <t xml:space="preserve">Reglement URSSAF 12/2023</t>
        </is>
      </c>
      <c r="I53" s="8">
        <v>18000</v>
      </c>
      <c r="J53" s="8">
        <v>0</v>
      </c>
      <c r="K53" s="0"/>
      <c r="L53" s="0"/>
      <c r="M53" s="8">
        <f>I53-J53</f>
      </c>
      <c r="N53" s="0" t="inlineStr">
        <is>
          <t xml:space="preserve">2024-01</t>
        </is>
      </c>
      <c r="O53" s="0">
        <f>INDEX(Journaux!$E$5:$E$18,MATCH("2024|"&amp;A53,Journaux!$A$5:$A$18,0))</f>
      </c>
      <c r="P53" s="0">
        <f>INDEX(Comptes!$H$5:$H$42,MATCH(E53,Comptes!$A$5:$A$42,0))</f>
      </c>
      <c r="Q53" s="0" t="inlineStr">
        <is>
          <t xml:space="preserve">4</t>
        </is>
      </c>
    </row>
    <row r="54">
      <c r="A54" s="4" t="inlineStr">
        <is>
          <t xml:space="preserve">BQ</t>
        </is>
      </c>
      <c r="B54" s="0" t="inlineStr">
        <is>
          <t xml:space="preserve">Banque Fictive</t>
        </is>
      </c>
      <c r="C54" s="0" t="inlineStr">
        <is>
          <t xml:space="preserve">BQ00037</t>
        </is>
      </c>
      <c r="D54" s="10">
        <v>45306</v>
      </c>
      <c r="E54" s="4" t="inlineStr">
        <is>
          <t xml:space="preserve">512000</t>
        </is>
      </c>
      <c r="F54" s="0" t="inlineStr">
        <is>
          <t xml:space="preserve">Banque Fictive</t>
        </is>
      </c>
      <c r="G54" s="0" t="inlineStr">
        <is>
          <t xml:space="preserve">URSSAF202312</t>
        </is>
      </c>
      <c r="H54" s="0" t="inlineStr">
        <is>
          <t xml:space="preserve">Reglement URSSAF 12/2023</t>
        </is>
      </c>
      <c r="I54" s="8">
        <v>0</v>
      </c>
      <c r="J54" s="8">
        <v>18000</v>
      </c>
      <c r="K54" s="0"/>
      <c r="L54" s="0"/>
      <c r="M54" s="8">
        <f>I54-J54</f>
      </c>
      <c r="N54" s="0" t="inlineStr">
        <is>
          <t xml:space="preserve">2024-01</t>
        </is>
      </c>
      <c r="O54" s="0">
        <f>INDEX(Journaux!$E$5:$E$18,MATCH("2024|"&amp;A54,Journaux!$A$5:$A$18,0))</f>
      </c>
      <c r="P54" s="0">
        <f>INDEX(Comptes!$H$5:$H$42,MATCH(E54,Comptes!$A$5:$A$42,0))</f>
      </c>
      <c r="Q54" s="0" t="inlineStr">
        <is>
          <t xml:space="preserve">5</t>
        </is>
      </c>
    </row>
    <row r="55">
      <c r="A55" s="4" t="inlineStr">
        <is>
          <t xml:space="preserve">BQ</t>
        </is>
      </c>
      <c r="B55" s="0" t="inlineStr">
        <is>
          <t xml:space="preserve">Banque Fictive</t>
        </is>
      </c>
      <c r="C55" s="0" t="inlineStr">
        <is>
          <t xml:space="preserve">BQ00061</t>
        </is>
      </c>
      <c r="D55" s="10">
        <v>45306</v>
      </c>
      <c r="E55" s="4" t="inlineStr">
        <is>
          <t xml:space="preserve">512000</t>
        </is>
      </c>
      <c r="F55" s="0" t="inlineStr">
        <is>
          <t xml:space="preserve">Banque Fictive</t>
        </is>
      </c>
      <c r="G55" s="0" t="inlineStr">
        <is>
          <t xml:space="preserve">ENC-AN2024</t>
        </is>
      </c>
      <c r="H55" s="0" t="inlineStr">
        <is>
          <t xml:space="preserve">Reglement client Hotel Les Tilleuls AN2024</t>
        </is>
      </c>
      <c r="I55" s="8">
        <v>30000</v>
      </c>
      <c r="J55" s="8">
        <v>0</v>
      </c>
      <c r="K55" s="0"/>
      <c r="L55" s="0"/>
      <c r="M55" s="8">
        <f>I55-J55</f>
      </c>
      <c r="N55" s="0" t="inlineStr">
        <is>
          <t xml:space="preserve">2024-01</t>
        </is>
      </c>
      <c r="O55" s="0">
        <f>INDEX(Journaux!$E$5:$E$18,MATCH("2024|"&amp;A55,Journaux!$A$5:$A$18,0))</f>
      </c>
      <c r="P55" s="0">
        <f>INDEX(Comptes!$H$5:$H$42,MATCH(E55,Comptes!$A$5:$A$42,0))</f>
      </c>
      <c r="Q55" s="0" t="inlineStr">
        <is>
          <t xml:space="preserve">5</t>
        </is>
      </c>
    </row>
    <row r="56">
      <c r="A56" s="4" t="inlineStr">
        <is>
          <t xml:space="preserve">BQ</t>
        </is>
      </c>
      <c r="B56" s="0" t="inlineStr">
        <is>
          <t xml:space="preserve">Banque Fictive</t>
        </is>
      </c>
      <c r="C56" s="0" t="inlineStr">
        <is>
          <t xml:space="preserve">BQ00061</t>
        </is>
      </c>
      <c r="D56" s="10">
        <v>45306</v>
      </c>
      <c r="E56" s="4" t="inlineStr">
        <is>
          <t xml:space="preserve">411000</t>
        </is>
      </c>
      <c r="F56" s="0" t="inlineStr">
        <is>
          <t xml:space="preserve">Clients</t>
        </is>
      </c>
      <c r="G56" s="0" t="inlineStr">
        <is>
          <t xml:space="preserve">ENC-AN2024</t>
        </is>
      </c>
      <c r="H56" s="0" t="inlineStr">
        <is>
          <t xml:space="preserve">Reglement client Hotel Les Tilleuls AN2024</t>
        </is>
      </c>
      <c r="I56" s="8">
        <v>0</v>
      </c>
      <c r="J56" s="8">
        <v>30000</v>
      </c>
      <c r="K56" s="0" t="inlineStr">
        <is>
          <t xml:space="preserve">AAA</t>
        </is>
      </c>
      <c r="L56" s="0" t="inlineStr">
        <is>
          <t xml:space="preserve">Hotel Les Tilleuls</t>
        </is>
      </c>
      <c r="M56" s="8">
        <f>I56-J56</f>
      </c>
      <c r="N56" s="0" t="inlineStr">
        <is>
          <t xml:space="preserve">2024-01</t>
        </is>
      </c>
      <c r="O56" s="0">
        <f>INDEX(Journaux!$E$5:$E$18,MATCH("2024|"&amp;A56,Journaux!$A$5:$A$18,0))</f>
      </c>
      <c r="P56" s="0">
        <f>INDEX(Comptes!$H$5:$H$42,MATCH(E56,Comptes!$A$5:$A$42,0))</f>
      </c>
      <c r="Q56" s="0" t="inlineStr">
        <is>
          <t xml:space="preserve">4</t>
        </is>
      </c>
      <c r="R56" s="7" t="inlineStr">
        <is>
          <t xml:space="preserve">411000|C001</t>
        </is>
      </c>
    </row>
    <row r="57">
      <c r="A57" s="4" t="inlineStr">
        <is>
          <t xml:space="preserve">BQ</t>
        </is>
      </c>
      <c r="B57" s="0" t="inlineStr">
        <is>
          <t xml:space="preserve">Banque Fictive</t>
        </is>
      </c>
      <c r="C57" s="0" t="inlineStr">
        <is>
          <t xml:space="preserve">BQ00121</t>
        </is>
      </c>
      <c r="D57" s="10">
        <v>45306</v>
      </c>
      <c r="E57" s="4" t="inlineStr">
        <is>
          <t xml:space="preserve">401000</t>
        </is>
      </c>
      <c r="F57" s="0" t="inlineStr">
        <is>
          <t xml:space="preserve">Fournisseurs</t>
        </is>
      </c>
      <c r="G57" s="0" t="inlineStr">
        <is>
          <t xml:space="preserve">DEC-AN2024</t>
        </is>
      </c>
      <c r="H57" s="0" t="inlineStr">
        <is>
          <t xml:space="preserve">Reglement fournisseur Quincaillerie Pro Est AN2024</t>
        </is>
      </c>
      <c r="I57" s="8">
        <v>12000</v>
      </c>
      <c r="J57" s="8">
        <v>0</v>
      </c>
      <c r="K57" s="0" t="inlineStr">
        <is>
          <t xml:space="preserve">ABI</t>
        </is>
      </c>
      <c r="L57" s="0" t="inlineStr">
        <is>
          <t xml:space="preserve">Quincaillerie Pro Est</t>
        </is>
      </c>
      <c r="M57" s="8">
        <f>I57-J57</f>
      </c>
      <c r="N57" s="0" t="inlineStr">
        <is>
          <t xml:space="preserve">2024-01</t>
        </is>
      </c>
      <c r="O57" s="0">
        <f>INDEX(Journaux!$E$5:$E$18,MATCH("2024|"&amp;A57,Journaux!$A$5:$A$18,0))</f>
      </c>
      <c r="P57" s="0">
        <f>INDEX(Comptes!$H$5:$H$42,MATCH(E57,Comptes!$A$5:$A$42,0))</f>
      </c>
      <c r="Q57" s="0" t="inlineStr">
        <is>
          <t xml:space="preserve">4</t>
        </is>
      </c>
      <c r="R57" s="7" t="inlineStr">
        <is>
          <t xml:space="preserve">401000|F002</t>
        </is>
      </c>
    </row>
    <row r="58">
      <c r="A58" s="4" t="inlineStr">
        <is>
          <t xml:space="preserve">BQ</t>
        </is>
      </c>
      <c r="B58" s="0" t="inlineStr">
        <is>
          <t xml:space="preserve">Banque Fictive</t>
        </is>
      </c>
      <c r="C58" s="0" t="inlineStr">
        <is>
          <t xml:space="preserve">BQ00121</t>
        </is>
      </c>
      <c r="D58" s="10">
        <v>45306</v>
      </c>
      <c r="E58" s="4" t="inlineStr">
        <is>
          <t xml:space="preserve">512000</t>
        </is>
      </c>
      <c r="F58" s="0" t="inlineStr">
        <is>
          <t xml:space="preserve">Banque Fictive</t>
        </is>
      </c>
      <c r="G58" s="0" t="inlineStr">
        <is>
          <t xml:space="preserve">DEC-AN2024</t>
        </is>
      </c>
      <c r="H58" s="0" t="inlineStr">
        <is>
          <t xml:space="preserve">Reglement fournisseur Quincaillerie Pro Est AN2024</t>
        </is>
      </c>
      <c r="I58" s="8">
        <v>0</v>
      </c>
      <c r="J58" s="8">
        <v>12000</v>
      </c>
      <c r="K58" s="0"/>
      <c r="L58" s="0"/>
      <c r="M58" s="8">
        <f>I58-J58</f>
      </c>
      <c r="N58" s="0" t="inlineStr">
        <is>
          <t xml:space="preserve">2024-01</t>
        </is>
      </c>
      <c r="O58" s="0">
        <f>INDEX(Journaux!$E$5:$E$18,MATCH("2024|"&amp;A58,Journaux!$A$5:$A$18,0))</f>
      </c>
      <c r="P58" s="0">
        <f>INDEX(Comptes!$H$5:$H$42,MATCH(E58,Comptes!$A$5:$A$42,0))</f>
      </c>
      <c r="Q58" s="0" t="inlineStr">
        <is>
          <t xml:space="preserve">5</t>
        </is>
      </c>
    </row>
    <row r="59">
      <c r="A59" s="4" t="inlineStr">
        <is>
          <t xml:space="preserve">BQ</t>
        </is>
      </c>
      <c r="B59" s="0" t="inlineStr">
        <is>
          <t xml:space="preserve">Banque Fictive</t>
        </is>
      </c>
      <c r="C59" s="0" t="inlineStr">
        <is>
          <t xml:space="preserve">BQ00062</t>
        </is>
      </c>
      <c r="D59" s="10">
        <v>45309</v>
      </c>
      <c r="E59" s="4" t="inlineStr">
        <is>
          <t xml:space="preserve">512000</t>
        </is>
      </c>
      <c r="F59" s="0" t="inlineStr">
        <is>
          <t xml:space="preserve">Banque Fictive</t>
        </is>
      </c>
      <c r="G59" s="0" t="inlineStr">
        <is>
          <t xml:space="preserve">ENC-AN2024</t>
        </is>
      </c>
      <c r="H59" s="0" t="inlineStr">
        <is>
          <t xml:space="preserve">Reglement client Residence Bel Air AN2024</t>
        </is>
      </c>
      <c r="I59" s="8">
        <v>26000</v>
      </c>
      <c r="J59" s="8">
        <v>0</v>
      </c>
      <c r="K59" s="0"/>
      <c r="L59" s="0"/>
      <c r="M59" s="8">
        <f>I59-J59</f>
      </c>
      <c r="N59" s="0" t="inlineStr">
        <is>
          <t xml:space="preserve">2024-01</t>
        </is>
      </c>
      <c r="O59" s="0">
        <f>INDEX(Journaux!$E$5:$E$18,MATCH("2024|"&amp;A59,Journaux!$A$5:$A$18,0))</f>
      </c>
      <c r="P59" s="0">
        <f>INDEX(Comptes!$H$5:$H$42,MATCH(E59,Comptes!$A$5:$A$42,0))</f>
      </c>
      <c r="Q59" s="0" t="inlineStr">
        <is>
          <t xml:space="preserve">5</t>
        </is>
      </c>
    </row>
    <row r="60">
      <c r="A60" s="4" t="inlineStr">
        <is>
          <t xml:space="preserve">BQ</t>
        </is>
      </c>
      <c r="B60" s="0" t="inlineStr">
        <is>
          <t xml:space="preserve">Banque Fictive</t>
        </is>
      </c>
      <c r="C60" s="0" t="inlineStr">
        <is>
          <t xml:space="preserve">BQ00062</t>
        </is>
      </c>
      <c r="D60" s="10">
        <v>45309</v>
      </c>
      <c r="E60" s="4" t="inlineStr">
        <is>
          <t xml:space="preserve">411000</t>
        </is>
      </c>
      <c r="F60" s="0" t="inlineStr">
        <is>
          <t xml:space="preserve">Clients</t>
        </is>
      </c>
      <c r="G60" s="0" t="inlineStr">
        <is>
          <t xml:space="preserve">ENC-AN2024</t>
        </is>
      </c>
      <c r="H60" s="0" t="inlineStr">
        <is>
          <t xml:space="preserve">Reglement client Residence Bel Air AN2024</t>
        </is>
      </c>
      <c r="I60" s="8">
        <v>0</v>
      </c>
      <c r="J60" s="8">
        <v>26000</v>
      </c>
      <c r="K60" s="0" t="inlineStr">
        <is>
          <t xml:space="preserve">AAB</t>
        </is>
      </c>
      <c r="L60" s="0" t="inlineStr">
        <is>
          <t xml:space="preserve">Residence Bel Air</t>
        </is>
      </c>
      <c r="M60" s="8">
        <f>I60-J60</f>
      </c>
      <c r="N60" s="0" t="inlineStr">
        <is>
          <t xml:space="preserve">2024-01</t>
        </is>
      </c>
      <c r="O60" s="0">
        <f>INDEX(Journaux!$E$5:$E$18,MATCH("2024|"&amp;A60,Journaux!$A$5:$A$18,0))</f>
      </c>
      <c r="P60" s="0">
        <f>INDEX(Comptes!$H$5:$H$42,MATCH(E60,Comptes!$A$5:$A$42,0))</f>
      </c>
      <c r="Q60" s="0" t="inlineStr">
        <is>
          <t xml:space="preserve">4</t>
        </is>
      </c>
      <c r="R60" s="7" t="inlineStr">
        <is>
          <t xml:space="preserve">411000|C003</t>
        </is>
      </c>
    </row>
    <row r="61">
      <c r="A61" s="4" t="inlineStr">
        <is>
          <t xml:space="preserve">BQ</t>
        </is>
      </c>
      <c r="B61" s="0" t="inlineStr">
        <is>
          <t xml:space="preserve">Banque Fictive</t>
        </is>
      </c>
      <c r="C61" s="0" t="inlineStr">
        <is>
          <t xml:space="preserve">BQ00122</t>
        </is>
      </c>
      <c r="D61" s="10">
        <v>45309</v>
      </c>
      <c r="E61" s="4" t="inlineStr">
        <is>
          <t xml:space="preserve">401000</t>
        </is>
      </c>
      <c r="F61" s="0" t="inlineStr">
        <is>
          <t xml:space="preserve">Fournisseurs</t>
        </is>
      </c>
      <c r="G61" s="0" t="inlineStr">
        <is>
          <t xml:space="preserve">DEC-AN2024</t>
        </is>
      </c>
      <c r="H61" s="0" t="inlineStr">
        <is>
          <t xml:space="preserve">Reglement fournisseur Vernis et Finitions AN2024</t>
        </is>
      </c>
      <c r="I61" s="8">
        <v>9000</v>
      </c>
      <c r="J61" s="8">
        <v>0</v>
      </c>
      <c r="K61" s="0" t="inlineStr">
        <is>
          <t xml:space="preserve">ABJ</t>
        </is>
      </c>
      <c r="L61" s="0" t="inlineStr">
        <is>
          <t xml:space="preserve">Vernis et Finitions</t>
        </is>
      </c>
      <c r="M61" s="8">
        <f>I61-J61</f>
      </c>
      <c r="N61" s="0" t="inlineStr">
        <is>
          <t xml:space="preserve">2024-01</t>
        </is>
      </c>
      <c r="O61" s="0">
        <f>INDEX(Journaux!$E$5:$E$18,MATCH("2024|"&amp;A61,Journaux!$A$5:$A$18,0))</f>
      </c>
      <c r="P61" s="0">
        <f>INDEX(Comptes!$H$5:$H$42,MATCH(E61,Comptes!$A$5:$A$42,0))</f>
      </c>
      <c r="Q61" s="0" t="inlineStr">
        <is>
          <t xml:space="preserve">4</t>
        </is>
      </c>
      <c r="R61" s="7" t="inlineStr">
        <is>
          <t xml:space="preserve">401000|F003</t>
        </is>
      </c>
    </row>
    <row r="62">
      <c r="A62" s="4" t="inlineStr">
        <is>
          <t xml:space="preserve">BQ</t>
        </is>
      </c>
      <c r="B62" s="0" t="inlineStr">
        <is>
          <t xml:space="preserve">Banque Fictive</t>
        </is>
      </c>
      <c r="C62" s="0" t="inlineStr">
        <is>
          <t xml:space="preserve">BQ00122</t>
        </is>
      </c>
      <c r="D62" s="10">
        <v>45309</v>
      </c>
      <c r="E62" s="4" t="inlineStr">
        <is>
          <t xml:space="preserve">512000</t>
        </is>
      </c>
      <c r="F62" s="0" t="inlineStr">
        <is>
          <t xml:space="preserve">Banque Fictive</t>
        </is>
      </c>
      <c r="G62" s="0" t="inlineStr">
        <is>
          <t xml:space="preserve">DEC-AN2024</t>
        </is>
      </c>
      <c r="H62" s="0" t="inlineStr">
        <is>
          <t xml:space="preserve">Reglement fournisseur Vernis et Finitions AN2024</t>
        </is>
      </c>
      <c r="I62" s="8">
        <v>0</v>
      </c>
      <c r="J62" s="8">
        <v>9000</v>
      </c>
      <c r="K62" s="0"/>
      <c r="L62" s="0"/>
      <c r="M62" s="8">
        <f>I62-J62</f>
      </c>
      <c r="N62" s="0" t="inlineStr">
        <is>
          <t xml:space="preserve">2024-01</t>
        </is>
      </c>
      <c r="O62" s="0">
        <f>INDEX(Journaux!$E$5:$E$18,MATCH("2024|"&amp;A62,Journaux!$A$5:$A$18,0))</f>
      </c>
      <c r="P62" s="0">
        <f>INDEX(Comptes!$H$5:$H$42,MATCH(E62,Comptes!$A$5:$A$42,0))</f>
      </c>
      <c r="Q62" s="0" t="inlineStr">
        <is>
          <t xml:space="preserve">5</t>
        </is>
      </c>
    </row>
    <row r="63">
      <c r="A63" s="4" t="inlineStr">
        <is>
          <t xml:space="preserve">VT</t>
        </is>
      </c>
      <c r="B63" s="0" t="inlineStr">
        <is>
          <t xml:space="preserve">Journal des ventes</t>
        </is>
      </c>
      <c r="C63" s="0" t="inlineStr">
        <is>
          <t xml:space="preserve">VT00004</t>
        </is>
      </c>
      <c r="D63" s="10">
        <v>45309</v>
      </c>
      <c r="E63" s="4" t="inlineStr">
        <is>
          <t xml:space="preserve">411000</t>
        </is>
      </c>
      <c r="F63" s="0" t="inlineStr">
        <is>
          <t xml:space="preserve">Clients</t>
        </is>
      </c>
      <c r="G63" s="0" t="inlineStr">
        <is>
          <t xml:space="preserve">FA2024-0004</t>
        </is>
      </c>
      <c r="H63" s="0" t="inlineStr">
        <is>
          <t xml:space="preserve">Facture FA2024-0004 Hotel Les Tilleuls</t>
        </is>
      </c>
      <c r="I63" s="8">
        <v>22980.32</v>
      </c>
      <c r="J63" s="8">
        <v>0</v>
      </c>
      <c r="K63" s="0" t="inlineStr">
        <is>
          <t xml:space="preserve">AAI</t>
        </is>
      </c>
      <c r="L63" s="0" t="inlineStr">
        <is>
          <t xml:space="preserve">Hotel Les Tilleuls</t>
        </is>
      </c>
      <c r="M63" s="8">
        <f>I63-J63</f>
      </c>
      <c r="N63" s="0" t="inlineStr">
        <is>
          <t xml:space="preserve">2024-01</t>
        </is>
      </c>
      <c r="O63" s="0">
        <f>INDEX(Journaux!$E$5:$E$18,MATCH("2024|"&amp;A63,Journaux!$A$5:$A$18,0))</f>
      </c>
      <c r="P63" s="0">
        <f>INDEX(Comptes!$H$5:$H$42,MATCH(E63,Comptes!$A$5:$A$42,0))</f>
      </c>
      <c r="Q63" s="0" t="inlineStr">
        <is>
          <t xml:space="preserve">4</t>
        </is>
      </c>
      <c r="R63" s="7" t="inlineStr">
        <is>
          <t xml:space="preserve">411000|C001</t>
        </is>
      </c>
    </row>
    <row r="64">
      <c r="A64" s="4" t="inlineStr">
        <is>
          <t xml:space="preserve">VT</t>
        </is>
      </c>
      <c r="B64" s="0" t="inlineStr">
        <is>
          <t xml:space="preserve">Journal des ventes</t>
        </is>
      </c>
      <c r="C64" s="0" t="inlineStr">
        <is>
          <t xml:space="preserve">VT00004</t>
        </is>
      </c>
      <c r="D64" s="10">
        <v>45309</v>
      </c>
      <c r="E64" s="4" t="inlineStr">
        <is>
          <t xml:space="preserve">701000</t>
        </is>
      </c>
      <c r="F64" s="0" t="inlineStr">
        <is>
          <t xml:space="preserve">Ventes de produits finis</t>
        </is>
      </c>
      <c r="G64" s="0" t="inlineStr">
        <is>
          <t xml:space="preserve">FA2024-0004</t>
        </is>
      </c>
      <c r="H64" s="0" t="inlineStr">
        <is>
          <t xml:space="preserve">Facture FA2024-0004 Hotel Les Tilleuls</t>
        </is>
      </c>
      <c r="I64" s="8">
        <v>0</v>
      </c>
      <c r="J64" s="8">
        <v>19150.27</v>
      </c>
      <c r="K64" s="0"/>
      <c r="L64" s="0"/>
      <c r="M64" s="8">
        <f>I64-J64</f>
      </c>
      <c r="N64" s="0" t="inlineStr">
        <is>
          <t xml:space="preserve">2024-01</t>
        </is>
      </c>
      <c r="O64" s="0">
        <f>INDEX(Journaux!$E$5:$E$18,MATCH("2024|"&amp;A64,Journaux!$A$5:$A$18,0))</f>
      </c>
      <c r="P64" s="0">
        <f>INDEX(Comptes!$H$5:$H$42,MATCH(E64,Comptes!$A$5:$A$42,0))</f>
      </c>
      <c r="Q64" s="0" t="inlineStr">
        <is>
          <t xml:space="preserve">7</t>
        </is>
      </c>
    </row>
    <row r="65">
      <c r="A65" s="4" t="inlineStr">
        <is>
          <t xml:space="preserve">VT</t>
        </is>
      </c>
      <c r="B65" s="0" t="inlineStr">
        <is>
          <t xml:space="preserve">Journal des ventes</t>
        </is>
      </c>
      <c r="C65" s="0" t="inlineStr">
        <is>
          <t xml:space="preserve">VT00004</t>
        </is>
      </c>
      <c r="D65" s="10">
        <v>45309</v>
      </c>
      <c r="E65" s="4" t="inlineStr">
        <is>
          <t xml:space="preserve">445710</t>
        </is>
      </c>
      <c r="F65" s="0" t="inlineStr">
        <is>
          <t xml:space="preserve">TVA collectee</t>
        </is>
      </c>
      <c r="G65" s="0" t="inlineStr">
        <is>
          <t xml:space="preserve">FA2024-0004</t>
        </is>
      </c>
      <c r="H65" s="0" t="inlineStr">
        <is>
          <t xml:space="preserve">Facture FA2024-0004 Hotel Les Tilleuls</t>
        </is>
      </c>
      <c r="I65" s="8">
        <v>0</v>
      </c>
      <c r="J65" s="8">
        <v>3830.05</v>
      </c>
      <c r="K65" s="0"/>
      <c r="L65" s="0"/>
      <c r="M65" s="8">
        <f>I65-J65</f>
      </c>
      <c r="N65" s="0" t="inlineStr">
        <is>
          <t xml:space="preserve">2024-01</t>
        </is>
      </c>
      <c r="O65" s="0">
        <f>INDEX(Journaux!$E$5:$E$18,MATCH("2024|"&amp;A65,Journaux!$A$5:$A$18,0))</f>
      </c>
      <c r="P65" s="0">
        <f>INDEX(Comptes!$H$5:$H$42,MATCH(E65,Comptes!$A$5:$A$42,0))</f>
      </c>
      <c r="Q65" s="0" t="inlineStr">
        <is>
          <t xml:space="preserve">4</t>
        </is>
      </c>
    </row>
    <row r="66">
      <c r="A66" s="4" t="inlineStr">
        <is>
          <t xml:space="preserve">VT</t>
        </is>
      </c>
      <c r="B66" s="0" t="inlineStr">
        <is>
          <t xml:space="preserve">Journal des ventes</t>
        </is>
      </c>
      <c r="C66" s="0" t="inlineStr">
        <is>
          <t xml:space="preserve">VT00001</t>
        </is>
      </c>
      <c r="D66" s="10">
        <v>45310</v>
      </c>
      <c r="E66" s="4" t="inlineStr">
        <is>
          <t xml:space="preserve">411000</t>
        </is>
      </c>
      <c r="F66" s="0" t="inlineStr">
        <is>
          <t xml:space="preserve">Clients</t>
        </is>
      </c>
      <c r="G66" s="0" t="inlineStr">
        <is>
          <t xml:space="preserve">FA2024-0001</t>
        </is>
      </c>
      <c r="H66" s="0" t="inlineStr">
        <is>
          <t xml:space="preserve">Facture FA2024-0001 Agence Mobilis</t>
        </is>
      </c>
      <c r="I66" s="8">
        <v>22251.64</v>
      </c>
      <c r="J66" s="8">
        <v>0</v>
      </c>
      <c r="K66" s="0" t="inlineStr">
        <is>
          <t xml:space="preserve">AAF</t>
        </is>
      </c>
      <c r="L66" s="0" t="inlineStr">
        <is>
          <t xml:space="preserve">Agence Mobilis</t>
        </is>
      </c>
      <c r="M66" s="8">
        <f>I66-J66</f>
      </c>
      <c r="N66" s="0" t="inlineStr">
        <is>
          <t xml:space="preserve">2024-01</t>
        </is>
      </c>
      <c r="O66" s="0">
        <f>INDEX(Journaux!$E$5:$E$18,MATCH("2024|"&amp;A66,Journaux!$A$5:$A$18,0))</f>
      </c>
      <c r="P66" s="0">
        <f>INDEX(Comptes!$H$5:$H$42,MATCH(E66,Comptes!$A$5:$A$42,0))</f>
      </c>
      <c r="Q66" s="0" t="inlineStr">
        <is>
          <t xml:space="preserve">4</t>
        </is>
      </c>
      <c r="R66" s="7" t="inlineStr">
        <is>
          <t xml:space="preserve">411000|C002</t>
        </is>
      </c>
    </row>
    <row r="67">
      <c r="A67" s="4" t="inlineStr">
        <is>
          <t xml:space="preserve">VT</t>
        </is>
      </c>
      <c r="B67" s="0" t="inlineStr">
        <is>
          <t xml:space="preserve">Journal des ventes</t>
        </is>
      </c>
      <c r="C67" s="0" t="inlineStr">
        <is>
          <t xml:space="preserve">VT00001</t>
        </is>
      </c>
      <c r="D67" s="10">
        <v>45310</v>
      </c>
      <c r="E67" s="4" t="inlineStr">
        <is>
          <t xml:space="preserve">701000</t>
        </is>
      </c>
      <c r="F67" s="0" t="inlineStr">
        <is>
          <t xml:space="preserve">Ventes de produits finis</t>
        </is>
      </c>
      <c r="G67" s="0" t="inlineStr">
        <is>
          <t xml:space="preserve">FA2024-0001</t>
        </is>
      </c>
      <c r="H67" s="0" t="inlineStr">
        <is>
          <t xml:space="preserve">Facture FA2024-0001 Agence Mobilis</t>
        </is>
      </c>
      <c r="I67" s="8">
        <v>0</v>
      </c>
      <c r="J67" s="8">
        <v>18543.03</v>
      </c>
      <c r="K67" s="0"/>
      <c r="L67" s="0"/>
      <c r="M67" s="8">
        <f>I67-J67</f>
      </c>
      <c r="N67" s="0" t="inlineStr">
        <is>
          <t xml:space="preserve">2024-01</t>
        </is>
      </c>
      <c r="O67" s="0">
        <f>INDEX(Journaux!$E$5:$E$18,MATCH("2024|"&amp;A67,Journaux!$A$5:$A$18,0))</f>
      </c>
      <c r="P67" s="0">
        <f>INDEX(Comptes!$H$5:$H$42,MATCH(E67,Comptes!$A$5:$A$42,0))</f>
      </c>
      <c r="Q67" s="0" t="inlineStr">
        <is>
          <t xml:space="preserve">7</t>
        </is>
      </c>
    </row>
    <row r="68">
      <c r="A68" s="4" t="inlineStr">
        <is>
          <t xml:space="preserve">VT</t>
        </is>
      </c>
      <c r="B68" s="0" t="inlineStr">
        <is>
          <t xml:space="preserve">Journal des ventes</t>
        </is>
      </c>
      <c r="C68" s="0" t="inlineStr">
        <is>
          <t xml:space="preserve">VT00001</t>
        </is>
      </c>
      <c r="D68" s="10">
        <v>45310</v>
      </c>
      <c r="E68" s="4" t="inlineStr">
        <is>
          <t xml:space="preserve">445710</t>
        </is>
      </c>
      <c r="F68" s="0" t="inlineStr">
        <is>
          <t xml:space="preserve">TVA collectee</t>
        </is>
      </c>
      <c r="G68" s="0" t="inlineStr">
        <is>
          <t xml:space="preserve">FA2024-0001</t>
        </is>
      </c>
      <c r="H68" s="0" t="inlineStr">
        <is>
          <t xml:space="preserve">Facture FA2024-0001 Agence Mobilis</t>
        </is>
      </c>
      <c r="I68" s="8">
        <v>0</v>
      </c>
      <c r="J68" s="8">
        <v>3708.61</v>
      </c>
      <c r="K68" s="0"/>
      <c r="L68" s="0"/>
      <c r="M68" s="8">
        <f>I68-J68</f>
      </c>
      <c r="N68" s="0" t="inlineStr">
        <is>
          <t xml:space="preserve">2024-01</t>
        </is>
      </c>
      <c r="O68" s="0">
        <f>INDEX(Journaux!$E$5:$E$18,MATCH("2024|"&amp;A68,Journaux!$A$5:$A$18,0))</f>
      </c>
      <c r="P68" s="0">
        <f>INDEX(Comptes!$H$5:$H$42,MATCH(E68,Comptes!$A$5:$A$42,0))</f>
      </c>
      <c r="Q68" s="0" t="inlineStr">
        <is>
          <t xml:space="preserve">4</t>
        </is>
      </c>
    </row>
    <row r="69">
      <c r="A69" s="4" t="inlineStr">
        <is>
          <t xml:space="preserve">BQ</t>
        </is>
      </c>
      <c r="B69" s="0" t="inlineStr">
        <is>
          <t xml:space="preserve">Banque Fictive</t>
        </is>
      </c>
      <c r="C69" s="0" t="inlineStr">
        <is>
          <t xml:space="preserve">BQ00038</t>
        </is>
      </c>
      <c r="D69" s="10">
        <v>45311</v>
      </c>
      <c r="E69" s="4" t="inlineStr">
        <is>
          <t xml:space="preserve">445510</t>
        </is>
      </c>
      <c r="F69" s="0" t="inlineStr">
        <is>
          <t xml:space="preserve">TVA a decaisser</t>
        </is>
      </c>
      <c r="G69" s="0" t="inlineStr">
        <is>
          <t xml:space="preserve">TVA202312</t>
        </is>
      </c>
      <c r="H69" s="0" t="inlineStr">
        <is>
          <t xml:space="preserve">Reglement TVA 12/2023</t>
        </is>
      </c>
      <c r="I69" s="8">
        <v>12000</v>
      </c>
      <c r="J69" s="8">
        <v>0</v>
      </c>
      <c r="K69" s="0"/>
      <c r="L69" s="0"/>
      <c r="M69" s="8">
        <f>I69-J69</f>
      </c>
      <c r="N69" s="0" t="inlineStr">
        <is>
          <t xml:space="preserve">2024-01</t>
        </is>
      </c>
      <c r="O69" s="0">
        <f>INDEX(Journaux!$E$5:$E$18,MATCH("2024|"&amp;A69,Journaux!$A$5:$A$18,0))</f>
      </c>
      <c r="P69" s="0">
        <f>INDEX(Comptes!$H$5:$H$42,MATCH(E69,Comptes!$A$5:$A$42,0))</f>
      </c>
      <c r="Q69" s="0" t="inlineStr">
        <is>
          <t xml:space="preserve">4</t>
        </is>
      </c>
    </row>
    <row r="70">
      <c r="A70" s="4" t="inlineStr">
        <is>
          <t xml:space="preserve">BQ</t>
        </is>
      </c>
      <c r="B70" s="0" t="inlineStr">
        <is>
          <t xml:space="preserve">Banque Fictive</t>
        </is>
      </c>
      <c r="C70" s="0" t="inlineStr">
        <is>
          <t xml:space="preserve">BQ00038</t>
        </is>
      </c>
      <c r="D70" s="10">
        <v>45311</v>
      </c>
      <c r="E70" s="4" t="inlineStr">
        <is>
          <t xml:space="preserve">512000</t>
        </is>
      </c>
      <c r="F70" s="0" t="inlineStr">
        <is>
          <t xml:space="preserve">Banque Fictive</t>
        </is>
      </c>
      <c r="G70" s="0" t="inlineStr">
        <is>
          <t xml:space="preserve">TVA202312</t>
        </is>
      </c>
      <c r="H70" s="0" t="inlineStr">
        <is>
          <t xml:space="preserve">Reglement TVA 12/2023</t>
        </is>
      </c>
      <c r="I70" s="8">
        <v>0</v>
      </c>
      <c r="J70" s="8">
        <v>12000</v>
      </c>
      <c r="K70" s="0"/>
      <c r="L70" s="0"/>
      <c r="M70" s="8">
        <f>I70-J70</f>
      </c>
      <c r="N70" s="0" t="inlineStr">
        <is>
          <t xml:space="preserve">2024-01</t>
        </is>
      </c>
      <c r="O70" s="0">
        <f>INDEX(Journaux!$E$5:$E$18,MATCH("2024|"&amp;A70,Journaux!$A$5:$A$18,0))</f>
      </c>
      <c r="P70" s="0">
        <f>INDEX(Comptes!$H$5:$H$42,MATCH(E70,Comptes!$A$5:$A$42,0))</f>
      </c>
      <c r="Q70" s="0" t="inlineStr">
        <is>
          <t xml:space="preserve">5</t>
        </is>
      </c>
    </row>
    <row r="71">
      <c r="A71" s="4" t="inlineStr">
        <is>
          <t xml:space="preserve">BQ</t>
        </is>
      </c>
      <c r="B71" s="0" t="inlineStr">
        <is>
          <t xml:space="preserve">Banque Fictive</t>
        </is>
      </c>
      <c r="C71" s="0" t="inlineStr">
        <is>
          <t xml:space="preserve">BQ00063</t>
        </is>
      </c>
      <c r="D71" s="10">
        <v>45313</v>
      </c>
      <c r="E71" s="4" t="inlineStr">
        <is>
          <t xml:space="preserve">512000</t>
        </is>
      </c>
      <c r="F71" s="0" t="inlineStr">
        <is>
          <t xml:space="preserve">Banque Fictive</t>
        </is>
      </c>
      <c r="G71" s="0" t="inlineStr">
        <is>
          <t xml:space="preserve">ENC-AN2024</t>
        </is>
      </c>
      <c r="H71" s="0" t="inlineStr">
        <is>
          <t xml:space="preserve">Reglement client Cabinet Varenne Associes AN2024</t>
        </is>
      </c>
      <c r="I71" s="8">
        <v>22000</v>
      </c>
      <c r="J71" s="8">
        <v>0</v>
      </c>
      <c r="K71" s="0"/>
      <c r="L71" s="0"/>
      <c r="M71" s="8">
        <f>I71-J71</f>
      </c>
      <c r="N71" s="0" t="inlineStr">
        <is>
          <t xml:space="preserve">2024-01</t>
        </is>
      </c>
      <c r="O71" s="0">
        <f>INDEX(Journaux!$E$5:$E$18,MATCH("2024|"&amp;A71,Journaux!$A$5:$A$18,0))</f>
      </c>
      <c r="P71" s="0">
        <f>INDEX(Comptes!$H$5:$H$42,MATCH(E71,Comptes!$A$5:$A$42,0))</f>
      </c>
      <c r="Q71" s="0" t="inlineStr">
        <is>
          <t xml:space="preserve">5</t>
        </is>
      </c>
    </row>
    <row r="72">
      <c r="A72" s="4" t="inlineStr">
        <is>
          <t xml:space="preserve">BQ</t>
        </is>
      </c>
      <c r="B72" s="0" t="inlineStr">
        <is>
          <t xml:space="preserve">Banque Fictive</t>
        </is>
      </c>
      <c r="C72" s="0" t="inlineStr">
        <is>
          <t xml:space="preserve">BQ00063</t>
        </is>
      </c>
      <c r="D72" s="10">
        <v>45313</v>
      </c>
      <c r="E72" s="4" t="inlineStr">
        <is>
          <t xml:space="preserve">411000</t>
        </is>
      </c>
      <c r="F72" s="0" t="inlineStr">
        <is>
          <t xml:space="preserve">Clients</t>
        </is>
      </c>
      <c r="G72" s="0" t="inlineStr">
        <is>
          <t xml:space="preserve">ENC-AN2024</t>
        </is>
      </c>
      <c r="H72" s="0" t="inlineStr">
        <is>
          <t xml:space="preserve">Reglement client Cabinet Varenne Associes AN2024</t>
        </is>
      </c>
      <c r="I72" s="8">
        <v>0</v>
      </c>
      <c r="J72" s="8">
        <v>22000</v>
      </c>
      <c r="K72" s="0" t="inlineStr">
        <is>
          <t xml:space="preserve">AAC</t>
        </is>
      </c>
      <c r="L72" s="0" t="inlineStr">
        <is>
          <t xml:space="preserve">Cabinet Varenne Associes</t>
        </is>
      </c>
      <c r="M72" s="8">
        <f>I72-J72</f>
      </c>
      <c r="N72" s="0" t="inlineStr">
        <is>
          <t xml:space="preserve">2024-01</t>
        </is>
      </c>
      <c r="O72" s="0">
        <f>INDEX(Journaux!$E$5:$E$18,MATCH("2024|"&amp;A72,Journaux!$A$5:$A$18,0))</f>
      </c>
      <c r="P72" s="0">
        <f>INDEX(Comptes!$H$5:$H$42,MATCH(E72,Comptes!$A$5:$A$42,0))</f>
      </c>
      <c r="Q72" s="0" t="inlineStr">
        <is>
          <t xml:space="preserve">4</t>
        </is>
      </c>
      <c r="R72" s="7" t="inlineStr">
        <is>
          <t xml:space="preserve">411000|C004</t>
        </is>
      </c>
    </row>
    <row r="73">
      <c r="A73" s="4" t="inlineStr">
        <is>
          <t xml:space="preserve">BQ</t>
        </is>
      </c>
      <c r="B73" s="0" t="inlineStr">
        <is>
          <t xml:space="preserve">Banque Fictive</t>
        </is>
      </c>
      <c r="C73" s="0" t="inlineStr">
        <is>
          <t xml:space="preserve">BQ00123</t>
        </is>
      </c>
      <c r="D73" s="10">
        <v>45313</v>
      </c>
      <c r="E73" s="4" t="inlineStr">
        <is>
          <t xml:space="preserve">401000</t>
        </is>
      </c>
      <c r="F73" s="0" t="inlineStr">
        <is>
          <t xml:space="preserve">Fournisseurs</t>
        </is>
      </c>
      <c r="G73" s="0" t="inlineStr">
        <is>
          <t xml:space="preserve">DEC-AN2024</t>
        </is>
      </c>
      <c r="H73" s="0" t="inlineStr">
        <is>
          <t xml:space="preserve">Reglement fournisseur Energie Plus AN2024</t>
        </is>
      </c>
      <c r="I73" s="8">
        <v>4000</v>
      </c>
      <c r="J73" s="8">
        <v>0</v>
      </c>
      <c r="K73" s="0" t="inlineStr">
        <is>
          <t xml:space="preserve">ABK</t>
        </is>
      </c>
      <c r="L73" s="0" t="inlineStr">
        <is>
          <t xml:space="preserve">Energie Plus</t>
        </is>
      </c>
      <c r="M73" s="8">
        <f>I73-J73</f>
      </c>
      <c r="N73" s="0" t="inlineStr">
        <is>
          <t xml:space="preserve">2024-01</t>
        </is>
      </c>
      <c r="O73" s="0">
        <f>INDEX(Journaux!$E$5:$E$18,MATCH("2024|"&amp;A73,Journaux!$A$5:$A$18,0))</f>
      </c>
      <c r="P73" s="0">
        <f>INDEX(Comptes!$H$5:$H$42,MATCH(E73,Comptes!$A$5:$A$42,0))</f>
      </c>
      <c r="Q73" s="0" t="inlineStr">
        <is>
          <t xml:space="preserve">4</t>
        </is>
      </c>
      <c r="R73" s="7" t="inlineStr">
        <is>
          <t xml:space="preserve">401000|F005</t>
        </is>
      </c>
    </row>
    <row r="74">
      <c r="A74" s="4" t="inlineStr">
        <is>
          <t xml:space="preserve">BQ</t>
        </is>
      </c>
      <c r="B74" s="0" t="inlineStr">
        <is>
          <t xml:space="preserve">Banque Fictive</t>
        </is>
      </c>
      <c r="C74" s="0" t="inlineStr">
        <is>
          <t xml:space="preserve">BQ00123</t>
        </is>
      </c>
      <c r="D74" s="10">
        <v>45313</v>
      </c>
      <c r="E74" s="4" t="inlineStr">
        <is>
          <t xml:space="preserve">512000</t>
        </is>
      </c>
      <c r="F74" s="0" t="inlineStr">
        <is>
          <t xml:space="preserve">Banque Fictive</t>
        </is>
      </c>
      <c r="G74" s="0" t="inlineStr">
        <is>
          <t xml:space="preserve">DEC-AN2024</t>
        </is>
      </c>
      <c r="H74" s="0" t="inlineStr">
        <is>
          <t xml:space="preserve">Reglement fournisseur Energie Plus AN2024</t>
        </is>
      </c>
      <c r="I74" s="8">
        <v>0</v>
      </c>
      <c r="J74" s="8">
        <v>4000</v>
      </c>
      <c r="K74" s="0"/>
      <c r="L74" s="0"/>
      <c r="M74" s="8">
        <f>I74-J74</f>
      </c>
      <c r="N74" s="0" t="inlineStr">
        <is>
          <t xml:space="preserve">2024-01</t>
        </is>
      </c>
      <c r="O74" s="0">
        <f>INDEX(Journaux!$E$5:$E$18,MATCH("2024|"&amp;A74,Journaux!$A$5:$A$18,0))</f>
      </c>
      <c r="P74" s="0">
        <f>INDEX(Comptes!$H$5:$H$42,MATCH(E74,Comptes!$A$5:$A$42,0))</f>
      </c>
      <c r="Q74" s="0" t="inlineStr">
        <is>
          <t xml:space="preserve">5</t>
        </is>
      </c>
    </row>
    <row r="75">
      <c r="A75" s="4" t="inlineStr">
        <is>
          <t xml:space="preserve">BQ</t>
        </is>
      </c>
      <c r="B75" s="0" t="inlineStr">
        <is>
          <t xml:space="preserve">Banque Fictive</t>
        </is>
      </c>
      <c r="C75" s="0" t="inlineStr">
        <is>
          <t xml:space="preserve">BQ00064</t>
        </is>
      </c>
      <c r="D75" s="10">
        <v>45315</v>
      </c>
      <c r="E75" s="4" t="inlineStr">
        <is>
          <t xml:space="preserve">512000</t>
        </is>
      </c>
      <c r="F75" s="0" t="inlineStr">
        <is>
          <t xml:space="preserve">Banque Fictive</t>
        </is>
      </c>
      <c r="G75" s="0" t="inlineStr">
        <is>
          <t xml:space="preserve">ENC-AN2024</t>
        </is>
      </c>
      <c r="H75" s="0" t="inlineStr">
        <is>
          <t xml:space="preserve">Reglement client Clinique du Parc AN2024</t>
        </is>
      </c>
      <c r="I75" s="8">
        <v>24000</v>
      </c>
      <c r="J75" s="8">
        <v>0</v>
      </c>
      <c r="K75" s="0"/>
      <c r="L75" s="0"/>
      <c r="M75" s="8">
        <f>I75-J75</f>
      </c>
      <c r="N75" s="0" t="inlineStr">
        <is>
          <t xml:space="preserve">2024-01</t>
        </is>
      </c>
      <c r="O75" s="0">
        <f>INDEX(Journaux!$E$5:$E$18,MATCH("2024|"&amp;A75,Journaux!$A$5:$A$18,0))</f>
      </c>
      <c r="P75" s="0">
        <f>INDEX(Comptes!$H$5:$H$42,MATCH(E75,Comptes!$A$5:$A$42,0))</f>
      </c>
      <c r="Q75" s="0" t="inlineStr">
        <is>
          <t xml:space="preserve">5</t>
        </is>
      </c>
    </row>
    <row r="76">
      <c r="A76" s="4" t="inlineStr">
        <is>
          <t xml:space="preserve">BQ</t>
        </is>
      </c>
      <c r="B76" s="0" t="inlineStr">
        <is>
          <t xml:space="preserve">Banque Fictive</t>
        </is>
      </c>
      <c r="C76" s="0" t="inlineStr">
        <is>
          <t xml:space="preserve">BQ00064</t>
        </is>
      </c>
      <c r="D76" s="10">
        <v>45315</v>
      </c>
      <c r="E76" s="4" t="inlineStr">
        <is>
          <t xml:space="preserve">411000</t>
        </is>
      </c>
      <c r="F76" s="0" t="inlineStr">
        <is>
          <t xml:space="preserve">Clients</t>
        </is>
      </c>
      <c r="G76" s="0" t="inlineStr">
        <is>
          <t xml:space="preserve">ENC-AN2024</t>
        </is>
      </c>
      <c r="H76" s="0" t="inlineStr">
        <is>
          <t xml:space="preserve">Reglement client Clinique du Parc AN2024</t>
        </is>
      </c>
      <c r="I76" s="8">
        <v>0</v>
      </c>
      <c r="J76" s="8">
        <v>24000</v>
      </c>
      <c r="K76" s="0" t="inlineStr">
        <is>
          <t xml:space="preserve">AAD</t>
        </is>
      </c>
      <c r="L76" s="0" t="inlineStr">
        <is>
          <t xml:space="preserve">Clinique du Parc</t>
        </is>
      </c>
      <c r="M76" s="8">
        <f>I76-J76</f>
      </c>
      <c r="N76" s="0" t="inlineStr">
        <is>
          <t xml:space="preserve">2024-01</t>
        </is>
      </c>
      <c r="O76" s="0">
        <f>INDEX(Journaux!$E$5:$E$18,MATCH("2024|"&amp;A76,Journaux!$A$5:$A$18,0))</f>
      </c>
      <c r="P76" s="0">
        <f>INDEX(Comptes!$H$5:$H$42,MATCH(E76,Comptes!$A$5:$A$42,0))</f>
      </c>
      <c r="Q76" s="0" t="inlineStr">
        <is>
          <t xml:space="preserve">4</t>
        </is>
      </c>
      <c r="R76" s="7" t="inlineStr">
        <is>
          <t xml:space="preserve">411000|C006</t>
        </is>
      </c>
    </row>
    <row r="77">
      <c r="A77" s="4" t="inlineStr">
        <is>
          <t xml:space="preserve">BQ</t>
        </is>
      </c>
      <c r="B77" s="0" t="inlineStr">
        <is>
          <t xml:space="preserve">Banque Fictive</t>
        </is>
      </c>
      <c r="C77" s="0" t="inlineStr">
        <is>
          <t xml:space="preserve">BQ00124</t>
        </is>
      </c>
      <c r="D77" s="10">
        <v>45317</v>
      </c>
      <c r="E77" s="4" t="inlineStr">
        <is>
          <t xml:space="preserve">401000</t>
        </is>
      </c>
      <c r="F77" s="0" t="inlineStr">
        <is>
          <t xml:space="preserve">Fournisseurs</t>
        </is>
      </c>
      <c r="G77" s="0" t="inlineStr">
        <is>
          <t xml:space="preserve">DEC-AN2024</t>
        </is>
      </c>
      <c r="H77" s="0" t="inlineStr">
        <is>
          <t xml:space="preserve">Reglement fournisseur SCI Les Halles AN2024</t>
        </is>
      </c>
      <c r="I77" s="8">
        <v>7000</v>
      </c>
      <c r="J77" s="8">
        <v>0</v>
      </c>
      <c r="K77" s="0" t="inlineStr">
        <is>
          <t xml:space="preserve">ABL</t>
        </is>
      </c>
      <c r="L77" s="0" t="inlineStr">
        <is>
          <t xml:space="preserve">SCI Les Halles</t>
        </is>
      </c>
      <c r="M77" s="8">
        <f>I77-J77</f>
      </c>
      <c r="N77" s="0" t="inlineStr">
        <is>
          <t xml:space="preserve">2024-01</t>
        </is>
      </c>
      <c r="O77" s="0">
        <f>INDEX(Journaux!$E$5:$E$18,MATCH("2024|"&amp;A77,Journaux!$A$5:$A$18,0))</f>
      </c>
      <c r="P77" s="0">
        <f>INDEX(Comptes!$H$5:$H$42,MATCH(E77,Comptes!$A$5:$A$42,0))</f>
      </c>
      <c r="Q77" s="0" t="inlineStr">
        <is>
          <t xml:space="preserve">4</t>
        </is>
      </c>
      <c r="R77" s="7" t="inlineStr">
        <is>
          <t xml:space="preserve">401000|F004</t>
        </is>
      </c>
    </row>
    <row r="78">
      <c r="A78" s="4" t="inlineStr">
        <is>
          <t xml:space="preserve">BQ</t>
        </is>
      </c>
      <c r="B78" s="0" t="inlineStr">
        <is>
          <t xml:space="preserve">Banque Fictive</t>
        </is>
      </c>
      <c r="C78" s="0" t="inlineStr">
        <is>
          <t xml:space="preserve">BQ00124</t>
        </is>
      </c>
      <c r="D78" s="10">
        <v>45317</v>
      </c>
      <c r="E78" s="4" t="inlineStr">
        <is>
          <t xml:space="preserve">512000</t>
        </is>
      </c>
      <c r="F78" s="0" t="inlineStr">
        <is>
          <t xml:space="preserve">Banque Fictive</t>
        </is>
      </c>
      <c r="G78" s="0" t="inlineStr">
        <is>
          <t xml:space="preserve">DEC-AN2024</t>
        </is>
      </c>
      <c r="H78" s="0" t="inlineStr">
        <is>
          <t xml:space="preserve">Reglement fournisseur SCI Les Halles AN2024</t>
        </is>
      </c>
      <c r="I78" s="8">
        <v>0</v>
      </c>
      <c r="J78" s="8">
        <v>7000</v>
      </c>
      <c r="K78" s="0"/>
      <c r="L78" s="0"/>
      <c r="M78" s="8">
        <f>I78-J78</f>
      </c>
      <c r="N78" s="0" t="inlineStr">
        <is>
          <t xml:space="preserve">2024-01</t>
        </is>
      </c>
      <c r="O78" s="0">
        <f>INDEX(Journaux!$E$5:$E$18,MATCH("2024|"&amp;A78,Journaux!$A$5:$A$18,0))</f>
      </c>
      <c r="P78" s="0">
        <f>INDEX(Comptes!$H$5:$H$42,MATCH(E78,Comptes!$A$5:$A$42,0))</f>
      </c>
      <c r="Q78" s="0" t="inlineStr">
        <is>
          <t xml:space="preserve">5</t>
        </is>
      </c>
    </row>
    <row r="79">
      <c r="A79" s="4" t="inlineStr">
        <is>
          <t xml:space="preserve">VT</t>
        </is>
      </c>
      <c r="B79" s="0" t="inlineStr">
        <is>
          <t xml:space="preserve">Journal des ventes</t>
        </is>
      </c>
      <c r="C79" s="0" t="inlineStr">
        <is>
          <t xml:space="preserve">VT00006</t>
        </is>
      </c>
      <c r="D79" s="10">
        <v>45317</v>
      </c>
      <c r="E79" s="4" t="inlineStr">
        <is>
          <t xml:space="preserve">411000</t>
        </is>
      </c>
      <c r="F79" s="0" t="inlineStr">
        <is>
          <t xml:space="preserve">Clients</t>
        </is>
      </c>
      <c r="G79" s="0" t="inlineStr">
        <is>
          <t xml:space="preserve">FA2024-0006</t>
        </is>
      </c>
      <c r="H79" s="0" t="inlineStr">
        <is>
          <t xml:space="preserve">Facture FA2024-0006 Restaurant Le Comptoir</t>
        </is>
      </c>
      <c r="I79" s="8">
        <v>38509.92</v>
      </c>
      <c r="J79" s="8">
        <v>0</v>
      </c>
      <c r="K79" s="0" t="inlineStr">
        <is>
          <t xml:space="preserve">AAK</t>
        </is>
      </c>
      <c r="L79" s="0" t="inlineStr">
        <is>
          <t xml:space="preserve">Restaurant Le Comptoir</t>
        </is>
      </c>
      <c r="M79" s="8">
        <f>I79-J79</f>
      </c>
      <c r="N79" s="0" t="inlineStr">
        <is>
          <t xml:space="preserve">2024-01</t>
        </is>
      </c>
      <c r="O79" s="0">
        <f>INDEX(Journaux!$E$5:$E$18,MATCH("2024|"&amp;A79,Journaux!$A$5:$A$18,0))</f>
      </c>
      <c r="P79" s="0">
        <f>INDEX(Comptes!$H$5:$H$42,MATCH(E79,Comptes!$A$5:$A$42,0))</f>
      </c>
      <c r="Q79" s="0" t="inlineStr">
        <is>
          <t xml:space="preserve">4</t>
        </is>
      </c>
      <c r="R79" s="7" t="inlineStr">
        <is>
          <t xml:space="preserve">411000|C005</t>
        </is>
      </c>
    </row>
    <row r="80">
      <c r="A80" s="4" t="inlineStr">
        <is>
          <t xml:space="preserve">VT</t>
        </is>
      </c>
      <c r="B80" s="0" t="inlineStr">
        <is>
          <t xml:space="preserve">Journal des ventes</t>
        </is>
      </c>
      <c r="C80" s="0" t="inlineStr">
        <is>
          <t xml:space="preserve">VT00006</t>
        </is>
      </c>
      <c r="D80" s="10">
        <v>45317</v>
      </c>
      <c r="E80" s="4" t="inlineStr">
        <is>
          <t xml:space="preserve">701000</t>
        </is>
      </c>
      <c r="F80" s="0" t="inlineStr">
        <is>
          <t xml:space="preserve">Ventes de produits finis</t>
        </is>
      </c>
      <c r="G80" s="0" t="inlineStr">
        <is>
          <t xml:space="preserve">FA2024-0006</t>
        </is>
      </c>
      <c r="H80" s="0" t="inlineStr">
        <is>
          <t xml:space="preserve">Facture FA2024-0006 Restaurant Le Comptoir</t>
        </is>
      </c>
      <c r="I80" s="8">
        <v>0</v>
      </c>
      <c r="J80" s="8">
        <v>32091.6</v>
      </c>
      <c r="K80" s="0"/>
      <c r="L80" s="0"/>
      <c r="M80" s="8">
        <f>I80-J80</f>
      </c>
      <c r="N80" s="0" t="inlineStr">
        <is>
          <t xml:space="preserve">2024-01</t>
        </is>
      </c>
      <c r="O80" s="0">
        <f>INDEX(Journaux!$E$5:$E$18,MATCH("2024|"&amp;A80,Journaux!$A$5:$A$18,0))</f>
      </c>
      <c r="P80" s="0">
        <f>INDEX(Comptes!$H$5:$H$42,MATCH(E80,Comptes!$A$5:$A$42,0))</f>
      </c>
      <c r="Q80" s="0" t="inlineStr">
        <is>
          <t xml:space="preserve">7</t>
        </is>
      </c>
    </row>
    <row r="81">
      <c r="A81" s="4" t="inlineStr">
        <is>
          <t xml:space="preserve">VT</t>
        </is>
      </c>
      <c r="B81" s="0" t="inlineStr">
        <is>
          <t xml:space="preserve">Journal des ventes</t>
        </is>
      </c>
      <c r="C81" s="0" t="inlineStr">
        <is>
          <t xml:space="preserve">VT00006</t>
        </is>
      </c>
      <c r="D81" s="10">
        <v>45317</v>
      </c>
      <c r="E81" s="4" t="inlineStr">
        <is>
          <t xml:space="preserve">445710</t>
        </is>
      </c>
      <c r="F81" s="0" t="inlineStr">
        <is>
          <t xml:space="preserve">TVA collectee</t>
        </is>
      </c>
      <c r="G81" s="0" t="inlineStr">
        <is>
          <t xml:space="preserve">FA2024-0006</t>
        </is>
      </c>
      <c r="H81" s="0" t="inlineStr">
        <is>
          <t xml:space="preserve">Facture FA2024-0006 Restaurant Le Comptoir</t>
        </is>
      </c>
      <c r="I81" s="8">
        <v>0</v>
      </c>
      <c r="J81" s="8">
        <v>6418.32</v>
      </c>
      <c r="K81" s="0"/>
      <c r="L81" s="0"/>
      <c r="M81" s="8">
        <f>I81-J81</f>
      </c>
      <c r="N81" s="0" t="inlineStr">
        <is>
          <t xml:space="preserve">2024-01</t>
        </is>
      </c>
      <c r="O81" s="0">
        <f>INDEX(Journaux!$E$5:$E$18,MATCH("2024|"&amp;A81,Journaux!$A$5:$A$18,0))</f>
      </c>
      <c r="P81" s="0">
        <f>INDEX(Comptes!$H$5:$H$42,MATCH(E81,Comptes!$A$5:$A$42,0))</f>
      </c>
      <c r="Q81" s="0" t="inlineStr">
        <is>
          <t xml:space="preserve">4</t>
        </is>
      </c>
    </row>
    <row r="82">
      <c r="A82" s="4" t="inlineStr">
        <is>
          <t xml:space="preserve">BQ</t>
        </is>
      </c>
      <c r="B82" s="0" t="inlineStr">
        <is>
          <t xml:space="preserve">Banque Fictive</t>
        </is>
      </c>
      <c r="C82" s="0" t="inlineStr">
        <is>
          <t xml:space="preserve">BQ00065</t>
        </is>
      </c>
      <c r="D82" s="10">
        <v>45320</v>
      </c>
      <c r="E82" s="4" t="inlineStr">
        <is>
          <t xml:space="preserve">512000</t>
        </is>
      </c>
      <c r="F82" s="0" t="inlineStr">
        <is>
          <t xml:space="preserve">Banque Fictive</t>
        </is>
      </c>
      <c r="G82" s="0" t="inlineStr">
        <is>
          <t xml:space="preserve">ENC-AN2024</t>
        </is>
      </c>
      <c r="H82" s="0" t="inlineStr">
        <is>
          <t xml:space="preserve">Reglement client Coworking Atelier 9 AN2024</t>
        </is>
      </c>
      <c r="I82" s="8">
        <v>18000</v>
      </c>
      <c r="J82" s="8">
        <v>0</v>
      </c>
      <c r="K82" s="0"/>
      <c r="L82" s="0"/>
      <c r="M82" s="8">
        <f>I82-J82</f>
      </c>
      <c r="N82" s="0" t="inlineStr">
        <is>
          <t xml:space="preserve">2024-01</t>
        </is>
      </c>
      <c r="O82" s="0">
        <f>INDEX(Journaux!$E$5:$E$18,MATCH("2024|"&amp;A82,Journaux!$A$5:$A$18,0))</f>
      </c>
      <c r="P82" s="0">
        <f>INDEX(Comptes!$H$5:$H$42,MATCH(E82,Comptes!$A$5:$A$42,0))</f>
      </c>
      <c r="Q82" s="0" t="inlineStr">
        <is>
          <t xml:space="preserve">5</t>
        </is>
      </c>
    </row>
    <row r="83">
      <c r="A83" s="4" t="inlineStr">
        <is>
          <t xml:space="preserve">BQ</t>
        </is>
      </c>
      <c r="B83" s="0" t="inlineStr">
        <is>
          <t xml:space="preserve">Banque Fictive</t>
        </is>
      </c>
      <c r="C83" s="0" t="inlineStr">
        <is>
          <t xml:space="preserve">BQ00065</t>
        </is>
      </c>
      <c r="D83" s="10">
        <v>45320</v>
      </c>
      <c r="E83" s="4" t="inlineStr">
        <is>
          <t xml:space="preserve">411000</t>
        </is>
      </c>
      <c r="F83" s="0" t="inlineStr">
        <is>
          <t xml:space="preserve">Clients</t>
        </is>
      </c>
      <c r="G83" s="0" t="inlineStr">
        <is>
          <t xml:space="preserve">ENC-AN2024</t>
        </is>
      </c>
      <c r="H83" s="0" t="inlineStr">
        <is>
          <t xml:space="preserve">Reglement client Coworking Atelier 9 AN2024</t>
        </is>
      </c>
      <c r="I83" s="8">
        <v>0</v>
      </c>
      <c r="J83" s="8">
        <v>18000</v>
      </c>
      <c r="K83" s="0" t="inlineStr">
        <is>
          <t xml:space="preserve">AAE</t>
        </is>
      </c>
      <c r="L83" s="0" t="inlineStr">
        <is>
          <t xml:space="preserve">Coworking Atelier 9</t>
        </is>
      </c>
      <c r="M83" s="8">
        <f>I83-J83</f>
      </c>
      <c r="N83" s="0" t="inlineStr">
        <is>
          <t xml:space="preserve">2024-01</t>
        </is>
      </c>
      <c r="O83" s="0">
        <f>INDEX(Journaux!$E$5:$E$18,MATCH("2024|"&amp;A83,Journaux!$A$5:$A$18,0))</f>
      </c>
      <c r="P83" s="0">
        <f>INDEX(Comptes!$H$5:$H$42,MATCH(E83,Comptes!$A$5:$A$42,0))</f>
      </c>
      <c r="Q83" s="0" t="inlineStr">
        <is>
          <t xml:space="preserve">4</t>
        </is>
      </c>
      <c r="R83" s="7" t="inlineStr">
        <is>
          <t xml:space="preserve">411000|C008</t>
        </is>
      </c>
    </row>
    <row r="84">
      <c r="A84" s="4" t="inlineStr">
        <is>
          <t xml:space="preserve">BQ</t>
        </is>
      </c>
      <c r="B84" s="0" t="inlineStr">
        <is>
          <t xml:space="preserve">Banque Fictive</t>
        </is>
      </c>
      <c r="C84" s="0" t="inlineStr">
        <is>
          <t xml:space="preserve">BQ00067</t>
        </is>
      </c>
      <c r="D84" s="10">
        <v>45320</v>
      </c>
      <c r="E84" s="4" t="inlineStr">
        <is>
          <t xml:space="preserve">512000</t>
        </is>
      </c>
      <c r="F84" s="0" t="inlineStr">
        <is>
          <t xml:space="preserve">Banque Fictive</t>
        </is>
      </c>
      <c r="G84" s="0" t="inlineStr">
        <is>
          <t xml:space="preserve">ENC-FA2024-0002</t>
        </is>
      </c>
      <c r="H84" s="0" t="inlineStr">
        <is>
          <t xml:space="preserve">Reglement client Hotel Les Tilleuls FA2024-0002</t>
        </is>
      </c>
      <c r="I84" s="8">
        <v>38532.72</v>
      </c>
      <c r="J84" s="8">
        <v>0</v>
      </c>
      <c r="K84" s="0"/>
      <c r="L84" s="0"/>
      <c r="M84" s="8">
        <f>I84-J84</f>
      </c>
      <c r="N84" s="0" t="inlineStr">
        <is>
          <t xml:space="preserve">2024-01</t>
        </is>
      </c>
      <c r="O84" s="0">
        <f>INDEX(Journaux!$E$5:$E$18,MATCH("2024|"&amp;A84,Journaux!$A$5:$A$18,0))</f>
      </c>
      <c r="P84" s="0">
        <f>INDEX(Comptes!$H$5:$H$42,MATCH(E84,Comptes!$A$5:$A$42,0))</f>
      </c>
      <c r="Q84" s="0" t="inlineStr">
        <is>
          <t xml:space="preserve">5</t>
        </is>
      </c>
    </row>
    <row r="85">
      <c r="A85" s="4" t="inlineStr">
        <is>
          <t xml:space="preserve">BQ</t>
        </is>
      </c>
      <c r="B85" s="0" t="inlineStr">
        <is>
          <t xml:space="preserve">Banque Fictive</t>
        </is>
      </c>
      <c r="C85" s="0" t="inlineStr">
        <is>
          <t xml:space="preserve">BQ00067</t>
        </is>
      </c>
      <c r="D85" s="10">
        <v>45320</v>
      </c>
      <c r="E85" s="4" t="inlineStr">
        <is>
          <t xml:space="preserve">411000</t>
        </is>
      </c>
      <c r="F85" s="0" t="inlineStr">
        <is>
          <t xml:space="preserve">Clients</t>
        </is>
      </c>
      <c r="G85" s="0" t="inlineStr">
        <is>
          <t xml:space="preserve">ENC-FA2024-0002</t>
        </is>
      </c>
      <c r="H85" s="0" t="inlineStr">
        <is>
          <t xml:space="preserve">Reglement client Hotel Les Tilleuls FA2024-0002</t>
        </is>
      </c>
      <c r="I85" s="8">
        <v>0</v>
      </c>
      <c r="J85" s="8">
        <v>38532.72</v>
      </c>
      <c r="K85" s="0" t="inlineStr">
        <is>
          <t xml:space="preserve">AAG</t>
        </is>
      </c>
      <c r="L85" s="0" t="inlineStr">
        <is>
          <t xml:space="preserve">Hotel Les Tilleuls</t>
        </is>
      </c>
      <c r="M85" s="8">
        <f>I85-J85</f>
      </c>
      <c r="N85" s="0" t="inlineStr">
        <is>
          <t xml:space="preserve">2024-01</t>
        </is>
      </c>
      <c r="O85" s="0">
        <f>INDEX(Journaux!$E$5:$E$18,MATCH("2024|"&amp;A85,Journaux!$A$5:$A$18,0))</f>
      </c>
      <c r="P85" s="0">
        <f>INDEX(Comptes!$H$5:$H$42,MATCH(E85,Comptes!$A$5:$A$42,0))</f>
      </c>
      <c r="Q85" s="0" t="inlineStr">
        <is>
          <t xml:space="preserve">4</t>
        </is>
      </c>
      <c r="R85" s="7" t="inlineStr">
        <is>
          <t xml:space="preserve">411000|C001</t>
        </is>
      </c>
    </row>
    <row r="86">
      <c r="A86" s="4" t="inlineStr">
        <is>
          <t xml:space="preserve">AC</t>
        </is>
      </c>
      <c r="B86" s="0" t="inlineStr">
        <is>
          <t xml:space="preserve">Journal des achats</t>
        </is>
      </c>
      <c r="C86" s="0" t="inlineStr">
        <is>
          <t xml:space="preserve">AC00001</t>
        </is>
      </c>
      <c r="D86" s="10">
        <v>45322</v>
      </c>
      <c r="E86" s="4" t="inlineStr">
        <is>
          <t xml:space="preserve">601000</t>
        </is>
      </c>
      <c r="F86" s="0" t="inlineStr">
        <is>
          <t xml:space="preserve">Achats de matieres premieres</t>
        </is>
      </c>
      <c r="G86" s="0" t="inlineStr">
        <is>
          <t xml:space="preserve">F001-2024011</t>
        </is>
      </c>
      <c r="H86" s="0" t="inlineStr">
        <is>
          <t xml:space="preserve">Facture Scierie du Nord F001-2024011</t>
        </is>
      </c>
      <c r="I86" s="8">
        <v>32907.79</v>
      </c>
      <c r="J86" s="8">
        <v>0</v>
      </c>
      <c r="K86" s="0"/>
      <c r="L86" s="0"/>
      <c r="M86" s="8">
        <f>I86-J86</f>
      </c>
      <c r="N86" s="0" t="inlineStr">
        <is>
          <t xml:space="preserve">2024-01</t>
        </is>
      </c>
      <c r="O86" s="0">
        <f>INDEX(Journaux!$E$5:$E$18,MATCH("2024|"&amp;A86,Journaux!$A$5:$A$18,0))</f>
      </c>
      <c r="P86" s="0">
        <f>INDEX(Comptes!$H$5:$H$42,MATCH(E86,Comptes!$A$5:$A$42,0))</f>
      </c>
      <c r="Q86" s="0" t="inlineStr">
        <is>
          <t xml:space="preserve">6</t>
        </is>
      </c>
    </row>
    <row r="87">
      <c r="A87" s="4" t="inlineStr">
        <is>
          <t xml:space="preserve">AC</t>
        </is>
      </c>
      <c r="B87" s="0" t="inlineStr">
        <is>
          <t xml:space="preserve">Journal des achats</t>
        </is>
      </c>
      <c r="C87" s="0" t="inlineStr">
        <is>
          <t xml:space="preserve">AC00001</t>
        </is>
      </c>
      <c r="D87" s="10">
        <v>45322</v>
      </c>
      <c r="E87" s="4" t="inlineStr">
        <is>
          <t xml:space="preserve">445660</t>
        </is>
      </c>
      <c r="F87" s="0" t="inlineStr">
        <is>
          <t xml:space="preserve">TVA deductible sur ABS</t>
        </is>
      </c>
      <c r="G87" s="0" t="inlineStr">
        <is>
          <t xml:space="preserve">F001-2024011</t>
        </is>
      </c>
      <c r="H87" s="0" t="inlineStr">
        <is>
          <t xml:space="preserve">Facture Scierie du Nord F001-2024011</t>
        </is>
      </c>
      <c r="I87" s="8">
        <v>6581.56</v>
      </c>
      <c r="J87" s="8">
        <v>0</v>
      </c>
      <c r="K87" s="0"/>
      <c r="L87" s="0"/>
      <c r="M87" s="8">
        <f>I87-J87</f>
      </c>
      <c r="N87" s="0" t="inlineStr">
        <is>
          <t xml:space="preserve">2024-01</t>
        </is>
      </c>
      <c r="O87" s="0">
        <f>INDEX(Journaux!$E$5:$E$18,MATCH("2024|"&amp;A87,Journaux!$A$5:$A$18,0))</f>
      </c>
      <c r="P87" s="0">
        <f>INDEX(Comptes!$H$5:$H$42,MATCH(E87,Comptes!$A$5:$A$42,0))</f>
      </c>
      <c r="Q87" s="0" t="inlineStr">
        <is>
          <t xml:space="preserve">4</t>
        </is>
      </c>
    </row>
    <row r="88">
      <c r="A88" s="4" t="inlineStr">
        <is>
          <t xml:space="preserve">AC</t>
        </is>
      </c>
      <c r="B88" s="0" t="inlineStr">
        <is>
          <t xml:space="preserve">Journal des achats</t>
        </is>
      </c>
      <c r="C88" s="0" t="inlineStr">
        <is>
          <t xml:space="preserve">AC00001</t>
        </is>
      </c>
      <c r="D88" s="10">
        <v>45322</v>
      </c>
      <c r="E88" s="4" t="inlineStr">
        <is>
          <t xml:space="preserve">401000</t>
        </is>
      </c>
      <c r="F88" s="0" t="inlineStr">
        <is>
          <t xml:space="preserve">Fournisseurs</t>
        </is>
      </c>
      <c r="G88" s="0" t="inlineStr">
        <is>
          <t xml:space="preserve">F001-2024011</t>
        </is>
      </c>
      <c r="H88" s="0" t="inlineStr">
        <is>
          <t xml:space="preserve">Facture Scierie du Nord F001-2024011</t>
        </is>
      </c>
      <c r="I88" s="8">
        <v>0</v>
      </c>
      <c r="J88" s="8">
        <v>39489.35</v>
      </c>
      <c r="K88" s="0" t="inlineStr">
        <is>
          <t xml:space="preserve">ABM</t>
        </is>
      </c>
      <c r="L88" s="0" t="inlineStr">
        <is>
          <t xml:space="preserve">Scierie du Nord</t>
        </is>
      </c>
      <c r="M88" s="8">
        <f>I88-J88</f>
      </c>
      <c r="N88" s="0" t="inlineStr">
        <is>
          <t xml:space="preserve">2024-01</t>
        </is>
      </c>
      <c r="O88" s="0">
        <f>INDEX(Journaux!$E$5:$E$18,MATCH("2024|"&amp;A88,Journaux!$A$5:$A$18,0))</f>
      </c>
      <c r="P88" s="0">
        <f>INDEX(Comptes!$H$5:$H$42,MATCH(E88,Comptes!$A$5:$A$42,0))</f>
      </c>
      <c r="Q88" s="0" t="inlineStr">
        <is>
          <t xml:space="preserve">4</t>
        </is>
      </c>
      <c r="R88" s="7" t="inlineStr">
        <is>
          <t xml:space="preserve">401000|F001</t>
        </is>
      </c>
    </row>
    <row r="89">
      <c r="A89" s="4" t="inlineStr">
        <is>
          <t xml:space="preserve">BQ</t>
        </is>
      </c>
      <c r="B89" s="0" t="inlineStr">
        <is>
          <t xml:space="preserve">Banque Fictive</t>
        </is>
      </c>
      <c r="C89" s="0" t="inlineStr">
        <is>
          <t xml:space="preserve">BQ00001</t>
        </is>
      </c>
      <c r="D89" s="10">
        <v>45322</v>
      </c>
      <c r="E89" s="4" t="inlineStr">
        <is>
          <t xml:space="preserve">421000</t>
        </is>
      </c>
      <c r="F89" s="0" t="inlineStr">
        <is>
          <t xml:space="preserve">Personnel remunerations dues</t>
        </is>
      </c>
      <c r="G89" s="0" t="inlineStr">
        <is>
          <t xml:space="preserve">VIRSAL202401</t>
        </is>
      </c>
      <c r="H89" s="0" t="inlineStr">
        <is>
          <t xml:space="preserve">Virement salaires 01/2024</t>
        </is>
      </c>
      <c r="I89" s="8">
        <v>41123.78</v>
      </c>
      <c r="J89" s="8">
        <v>0</v>
      </c>
      <c r="K89" s="0"/>
      <c r="L89" s="0"/>
      <c r="M89" s="8">
        <f>I89-J89</f>
      </c>
      <c r="N89" s="0" t="inlineStr">
        <is>
          <t xml:space="preserve">2024-01</t>
        </is>
      </c>
      <c r="O89" s="0">
        <f>INDEX(Journaux!$E$5:$E$18,MATCH("2024|"&amp;A89,Journaux!$A$5:$A$18,0))</f>
      </c>
      <c r="P89" s="0">
        <f>INDEX(Comptes!$H$5:$H$42,MATCH(E89,Comptes!$A$5:$A$42,0))</f>
      </c>
      <c r="Q89" s="0" t="inlineStr">
        <is>
          <t xml:space="preserve">4</t>
        </is>
      </c>
    </row>
    <row r="90">
      <c r="A90" s="4" t="inlineStr">
        <is>
          <t xml:space="preserve">BQ</t>
        </is>
      </c>
      <c r="B90" s="0" t="inlineStr">
        <is>
          <t xml:space="preserve">Banque Fictive</t>
        </is>
      </c>
      <c r="C90" s="0" t="inlineStr">
        <is>
          <t xml:space="preserve">BQ00001</t>
        </is>
      </c>
      <c r="D90" s="10">
        <v>45322</v>
      </c>
      <c r="E90" s="4" t="inlineStr">
        <is>
          <t xml:space="preserve">512000</t>
        </is>
      </c>
      <c r="F90" s="0" t="inlineStr">
        <is>
          <t xml:space="preserve">Banque Fictive</t>
        </is>
      </c>
      <c r="G90" s="0" t="inlineStr">
        <is>
          <t xml:space="preserve">VIRSAL202401</t>
        </is>
      </c>
      <c r="H90" s="0" t="inlineStr">
        <is>
          <t xml:space="preserve">Virement salaires 01/2024</t>
        </is>
      </c>
      <c r="I90" s="8">
        <v>0</v>
      </c>
      <c r="J90" s="8">
        <v>41123.78</v>
      </c>
      <c r="K90" s="0"/>
      <c r="L90" s="0"/>
      <c r="M90" s="8">
        <f>I90-J90</f>
      </c>
      <c r="N90" s="0" t="inlineStr">
        <is>
          <t xml:space="preserve">2024-01</t>
        </is>
      </c>
      <c r="O90" s="0">
        <f>INDEX(Journaux!$E$5:$E$18,MATCH("2024|"&amp;A90,Journaux!$A$5:$A$18,0))</f>
      </c>
      <c r="P90" s="0">
        <f>INDEX(Comptes!$H$5:$H$42,MATCH(E90,Comptes!$A$5:$A$42,0))</f>
      </c>
      <c r="Q90" s="0" t="inlineStr">
        <is>
          <t xml:space="preserve">5</t>
        </is>
      </c>
    </row>
    <row r="91">
      <c r="A91" s="4" t="inlineStr">
        <is>
          <t xml:space="preserve">BQ</t>
        </is>
      </c>
      <c r="B91" s="0" t="inlineStr">
        <is>
          <t xml:space="preserve">Banque Fictive</t>
        </is>
      </c>
      <c r="C91" s="0" t="inlineStr">
        <is>
          <t xml:space="preserve">BQ00003</t>
        </is>
      </c>
      <c r="D91" s="10">
        <v>45322</v>
      </c>
      <c r="E91" s="4" t="inlineStr">
        <is>
          <t xml:space="preserve">627000</t>
        </is>
      </c>
      <c r="F91" s="0" t="inlineStr">
        <is>
          <t xml:space="preserve">Services bancaires</t>
        </is>
      </c>
      <c r="G91" s="0" t="inlineStr">
        <is>
          <t xml:space="preserve">FRB202401</t>
        </is>
      </c>
      <c r="H91" s="0" t="inlineStr">
        <is>
          <t xml:space="preserve">Frais bancaires 01/2024</t>
        </is>
      </c>
      <c r="I91" s="8">
        <v>85</v>
      </c>
      <c r="J91" s="8">
        <v>0</v>
      </c>
      <c r="K91" s="0"/>
      <c r="L91" s="0"/>
      <c r="M91" s="8">
        <f>I91-J91</f>
      </c>
      <c r="N91" s="0" t="inlineStr">
        <is>
          <t xml:space="preserve">2024-01</t>
        </is>
      </c>
      <c r="O91" s="0">
        <f>INDEX(Journaux!$E$5:$E$18,MATCH("2024|"&amp;A91,Journaux!$A$5:$A$18,0))</f>
      </c>
      <c r="P91" s="0">
        <f>INDEX(Comptes!$H$5:$H$42,MATCH(E91,Comptes!$A$5:$A$42,0))</f>
      </c>
      <c r="Q91" s="0" t="inlineStr">
        <is>
          <t xml:space="preserve">6</t>
        </is>
      </c>
    </row>
    <row r="92">
      <c r="A92" s="4" t="inlineStr">
        <is>
          <t xml:space="preserve">BQ</t>
        </is>
      </c>
      <c r="B92" s="0" t="inlineStr">
        <is>
          <t xml:space="preserve">Banque Fictive</t>
        </is>
      </c>
      <c r="C92" s="0" t="inlineStr">
        <is>
          <t xml:space="preserve">BQ00003</t>
        </is>
      </c>
      <c r="D92" s="10">
        <v>45322</v>
      </c>
      <c r="E92" s="4" t="inlineStr">
        <is>
          <t xml:space="preserve">512000</t>
        </is>
      </c>
      <c r="F92" s="0" t="inlineStr">
        <is>
          <t xml:space="preserve">Banque Fictive</t>
        </is>
      </c>
      <c r="G92" s="0" t="inlineStr">
        <is>
          <t xml:space="preserve">FRB202401</t>
        </is>
      </c>
      <c r="H92" s="0" t="inlineStr">
        <is>
          <t xml:space="preserve">Frais bancaires 01/2024</t>
        </is>
      </c>
      <c r="I92" s="8">
        <v>0</v>
      </c>
      <c r="J92" s="8">
        <v>85</v>
      </c>
      <c r="K92" s="0"/>
      <c r="L92" s="0"/>
      <c r="M92" s="8">
        <f>I92-J92</f>
      </c>
      <c r="N92" s="0" t="inlineStr">
        <is>
          <t xml:space="preserve">2024-01</t>
        </is>
      </c>
      <c r="O92" s="0">
        <f>INDEX(Journaux!$E$5:$E$18,MATCH("2024|"&amp;A92,Journaux!$A$5:$A$18,0))</f>
      </c>
      <c r="P92" s="0">
        <f>INDEX(Comptes!$H$5:$H$42,MATCH(E92,Comptes!$A$5:$A$42,0))</f>
      </c>
      <c r="Q92" s="0" t="inlineStr">
        <is>
          <t xml:space="preserve">5</t>
        </is>
      </c>
    </row>
    <row r="93">
      <c r="A93" s="4" t="inlineStr">
        <is>
          <t xml:space="preserve">OD</t>
        </is>
      </c>
      <c r="B93" s="0" t="inlineStr">
        <is>
          <t xml:space="preserve">Operations diverses</t>
        </is>
      </c>
      <c r="C93" s="0" t="inlineStr">
        <is>
          <t xml:space="preserve">OD00001</t>
        </is>
      </c>
      <c r="D93" s="10">
        <v>45322</v>
      </c>
      <c r="E93" s="4" t="inlineStr">
        <is>
          <t xml:space="preserve">445710</t>
        </is>
      </c>
      <c r="F93" s="0" t="inlineStr">
        <is>
          <t xml:space="preserve">TVA collectee</t>
        </is>
      </c>
      <c r="G93" s="0" t="inlineStr">
        <is>
          <t xml:space="preserve">CA3-202401</t>
        </is>
      </c>
      <c r="H93" s="0" t="inlineStr">
        <is>
          <t xml:space="preserve">Declaration TVA 01/2024</t>
        </is>
      </c>
      <c r="I93" s="8">
        <v>28333.33</v>
      </c>
      <c r="J93" s="8">
        <v>0</v>
      </c>
      <c r="K93" s="0"/>
      <c r="L93" s="0"/>
      <c r="M93" s="8">
        <f>I93-J93</f>
      </c>
      <c r="N93" s="0" t="inlineStr">
        <is>
          <t xml:space="preserve">2024-01</t>
        </is>
      </c>
      <c r="O93" s="0">
        <f>INDEX(Journaux!$E$5:$E$18,MATCH("2024|"&amp;A93,Journaux!$A$5:$A$18,0))</f>
      </c>
      <c r="P93" s="0">
        <f>INDEX(Comptes!$H$5:$H$42,MATCH(E93,Comptes!$A$5:$A$42,0))</f>
      </c>
      <c r="Q93" s="0" t="inlineStr">
        <is>
          <t xml:space="preserve">4</t>
        </is>
      </c>
    </row>
    <row r="94">
      <c r="A94" s="4" t="inlineStr">
        <is>
          <t xml:space="preserve">OD</t>
        </is>
      </c>
      <c r="B94" s="0" t="inlineStr">
        <is>
          <t xml:space="preserve">Operations diverses</t>
        </is>
      </c>
      <c r="C94" s="0" t="inlineStr">
        <is>
          <t xml:space="preserve">OD00001</t>
        </is>
      </c>
      <c r="D94" s="10">
        <v>45322</v>
      </c>
      <c r="E94" s="4" t="inlineStr">
        <is>
          <t xml:space="preserve">445660</t>
        </is>
      </c>
      <c r="F94" s="0" t="inlineStr">
        <is>
          <t xml:space="preserve">TVA deductible sur ABS</t>
        </is>
      </c>
      <c r="G94" s="0" t="inlineStr">
        <is>
          <t xml:space="preserve">CA3-202401</t>
        </is>
      </c>
      <c r="H94" s="0" t="inlineStr">
        <is>
          <t xml:space="preserve">Declaration TVA 01/2024</t>
        </is>
      </c>
      <c r="I94" s="8">
        <v>0</v>
      </c>
      <c r="J94" s="8">
        <v>14202.11</v>
      </c>
      <c r="K94" s="0"/>
      <c r="L94" s="0"/>
      <c r="M94" s="8">
        <f>I94-J94</f>
      </c>
      <c r="N94" s="0" t="inlineStr">
        <is>
          <t xml:space="preserve">2024-01</t>
        </is>
      </c>
      <c r="O94" s="0">
        <f>INDEX(Journaux!$E$5:$E$18,MATCH("2024|"&amp;A94,Journaux!$A$5:$A$18,0))</f>
      </c>
      <c r="P94" s="0">
        <f>INDEX(Comptes!$H$5:$H$42,MATCH(E94,Comptes!$A$5:$A$42,0))</f>
      </c>
      <c r="Q94" s="0" t="inlineStr">
        <is>
          <t xml:space="preserve">4</t>
        </is>
      </c>
    </row>
    <row r="95">
      <c r="A95" s="4" t="inlineStr">
        <is>
          <t xml:space="preserve">OD</t>
        </is>
      </c>
      <c r="B95" s="0" t="inlineStr">
        <is>
          <t xml:space="preserve">Operations diverses</t>
        </is>
      </c>
      <c r="C95" s="0" t="inlineStr">
        <is>
          <t xml:space="preserve">OD00001</t>
        </is>
      </c>
      <c r="D95" s="10">
        <v>45322</v>
      </c>
      <c r="E95" s="4" t="inlineStr">
        <is>
          <t xml:space="preserve">445510</t>
        </is>
      </c>
      <c r="F95" s="0" t="inlineStr">
        <is>
          <t xml:space="preserve">TVA a decaisser</t>
        </is>
      </c>
      <c r="G95" s="0" t="inlineStr">
        <is>
          <t xml:space="preserve">CA3-202401</t>
        </is>
      </c>
      <c r="H95" s="0" t="inlineStr">
        <is>
          <t xml:space="preserve">Declaration TVA 01/2024</t>
        </is>
      </c>
      <c r="I95" s="8">
        <v>0</v>
      </c>
      <c r="J95" s="8">
        <v>14131.22</v>
      </c>
      <c r="K95" s="0"/>
      <c r="L95" s="0"/>
      <c r="M95" s="8">
        <f>I95-J95</f>
      </c>
      <c r="N95" s="0" t="inlineStr">
        <is>
          <t xml:space="preserve">2024-01</t>
        </is>
      </c>
      <c r="O95" s="0">
        <f>INDEX(Journaux!$E$5:$E$18,MATCH("2024|"&amp;A95,Journaux!$A$5:$A$18,0))</f>
      </c>
      <c r="P95" s="0">
        <f>INDEX(Comptes!$H$5:$H$42,MATCH(E95,Comptes!$A$5:$A$42,0))</f>
      </c>
      <c r="Q95" s="0" t="inlineStr">
        <is>
          <t xml:space="preserve">4</t>
        </is>
      </c>
    </row>
    <row r="96">
      <c r="A96" s="4" t="inlineStr">
        <is>
          <t xml:space="preserve">SA</t>
        </is>
      </c>
      <c r="B96" s="0" t="inlineStr">
        <is>
          <t xml:space="preserve">Salaires</t>
        </is>
      </c>
      <c r="C96" s="0" t="inlineStr">
        <is>
          <t xml:space="preserve">SA00001</t>
        </is>
      </c>
      <c r="D96" s="10">
        <v>45322</v>
      </c>
      <c r="E96" s="4" t="inlineStr">
        <is>
          <t xml:space="preserve">641000</t>
        </is>
      </c>
      <c r="F96" s="0" t="inlineStr">
        <is>
          <t xml:space="preserve">Remunerations du personnel</t>
        </is>
      </c>
      <c r="G96" s="0" t="inlineStr">
        <is>
          <t xml:space="preserve">PAIE202401</t>
        </is>
      </c>
      <c r="H96" s="0" t="inlineStr">
        <is>
          <t xml:space="preserve">Paie 01/2024</t>
        </is>
      </c>
      <c r="I96" s="8">
        <v>52722.79</v>
      </c>
      <c r="J96" s="8">
        <v>0</v>
      </c>
      <c r="K96" s="0"/>
      <c r="L96" s="0"/>
      <c r="M96" s="8">
        <f>I96-J96</f>
      </c>
      <c r="N96" s="0" t="inlineStr">
        <is>
          <t xml:space="preserve">2024-01</t>
        </is>
      </c>
      <c r="O96" s="0">
        <f>INDEX(Journaux!$E$5:$E$18,MATCH("2024|"&amp;A96,Journaux!$A$5:$A$18,0))</f>
      </c>
      <c r="P96" s="0">
        <f>INDEX(Comptes!$H$5:$H$42,MATCH(E96,Comptes!$A$5:$A$42,0))</f>
      </c>
      <c r="Q96" s="0" t="inlineStr">
        <is>
          <t xml:space="preserve">6</t>
        </is>
      </c>
    </row>
    <row r="97">
      <c r="A97" s="4" t="inlineStr">
        <is>
          <t xml:space="preserve">SA</t>
        </is>
      </c>
      <c r="B97" s="0" t="inlineStr">
        <is>
          <t xml:space="preserve">Salaires</t>
        </is>
      </c>
      <c r="C97" s="0" t="inlineStr">
        <is>
          <t xml:space="preserve">SA00001</t>
        </is>
      </c>
      <c r="D97" s="10">
        <v>45322</v>
      </c>
      <c r="E97" s="4" t="inlineStr">
        <is>
          <t xml:space="preserve">645100</t>
        </is>
      </c>
      <c r="F97" s="0" t="inlineStr">
        <is>
          <t xml:space="preserve">Cotisations URSSAF</t>
        </is>
      </c>
      <c r="G97" s="0" t="inlineStr">
        <is>
          <t xml:space="preserve">PAIE202401</t>
        </is>
      </c>
      <c r="H97" s="0" t="inlineStr">
        <is>
          <t xml:space="preserve">Paie 01/2024</t>
        </is>
      </c>
      <c r="I97" s="8">
        <v>22143.57</v>
      </c>
      <c r="J97" s="8">
        <v>0</v>
      </c>
      <c r="K97" s="0"/>
      <c r="L97" s="0"/>
      <c r="M97" s="8">
        <f>I97-J97</f>
      </c>
      <c r="N97" s="0" t="inlineStr">
        <is>
          <t xml:space="preserve">2024-01</t>
        </is>
      </c>
      <c r="O97" s="0">
        <f>INDEX(Journaux!$E$5:$E$18,MATCH("2024|"&amp;A97,Journaux!$A$5:$A$18,0))</f>
      </c>
      <c r="P97" s="0">
        <f>INDEX(Comptes!$H$5:$H$42,MATCH(E97,Comptes!$A$5:$A$42,0))</f>
      </c>
      <c r="Q97" s="0" t="inlineStr">
        <is>
          <t xml:space="preserve">6</t>
        </is>
      </c>
    </row>
    <row r="98">
      <c r="A98" s="4" t="inlineStr">
        <is>
          <t xml:space="preserve">SA</t>
        </is>
      </c>
      <c r="B98" s="0" t="inlineStr">
        <is>
          <t xml:space="preserve">Salaires</t>
        </is>
      </c>
      <c r="C98" s="0" t="inlineStr">
        <is>
          <t xml:space="preserve">SA00001</t>
        </is>
      </c>
      <c r="D98" s="10">
        <v>45322</v>
      </c>
      <c r="E98" s="4" t="inlineStr">
        <is>
          <t xml:space="preserve">421000</t>
        </is>
      </c>
      <c r="F98" s="0" t="inlineStr">
        <is>
          <t xml:space="preserve">Personnel remunerations dues</t>
        </is>
      </c>
      <c r="G98" s="0" t="inlineStr">
        <is>
          <t xml:space="preserve">PAIE202401</t>
        </is>
      </c>
      <c r="H98" s="0" t="inlineStr">
        <is>
          <t xml:space="preserve">Paie 01/2024</t>
        </is>
      </c>
      <c r="I98" s="8">
        <v>0</v>
      </c>
      <c r="J98" s="8">
        <v>41123.78</v>
      </c>
      <c r="K98" s="0"/>
      <c r="L98" s="0"/>
      <c r="M98" s="8">
        <f>I98-J98</f>
      </c>
      <c r="N98" s="0" t="inlineStr">
        <is>
          <t xml:space="preserve">2024-01</t>
        </is>
      </c>
      <c r="O98" s="0">
        <f>INDEX(Journaux!$E$5:$E$18,MATCH("2024|"&amp;A98,Journaux!$A$5:$A$18,0))</f>
      </c>
      <c r="P98" s="0">
        <f>INDEX(Comptes!$H$5:$H$42,MATCH(E98,Comptes!$A$5:$A$42,0))</f>
      </c>
      <c r="Q98" s="0" t="inlineStr">
        <is>
          <t xml:space="preserve">4</t>
        </is>
      </c>
    </row>
    <row r="99">
      <c r="A99" s="4" t="inlineStr">
        <is>
          <t xml:space="preserve">SA</t>
        </is>
      </c>
      <c r="B99" s="0" t="inlineStr">
        <is>
          <t xml:space="preserve">Salaires</t>
        </is>
      </c>
      <c r="C99" s="0" t="inlineStr">
        <is>
          <t xml:space="preserve">SA00001</t>
        </is>
      </c>
      <c r="D99" s="10">
        <v>45322</v>
      </c>
      <c r="E99" s="4" t="inlineStr">
        <is>
          <t xml:space="preserve">431000</t>
        </is>
      </c>
      <c r="F99" s="0" t="inlineStr">
        <is>
          <t xml:space="preserve">Securite sociale</t>
        </is>
      </c>
      <c r="G99" s="0" t="inlineStr">
        <is>
          <t xml:space="preserve">PAIE202401</t>
        </is>
      </c>
      <c r="H99" s="0" t="inlineStr">
        <is>
          <t xml:space="preserve">Paie 01/2024</t>
        </is>
      </c>
      <c r="I99" s="8">
        <v>0</v>
      </c>
      <c r="J99" s="8">
        <v>33742.58</v>
      </c>
      <c r="K99" s="0"/>
      <c r="L99" s="0"/>
      <c r="M99" s="8">
        <f>I99-J99</f>
      </c>
      <c r="N99" s="0" t="inlineStr">
        <is>
          <t xml:space="preserve">2024-01</t>
        </is>
      </c>
      <c r="O99" s="0">
        <f>INDEX(Journaux!$E$5:$E$18,MATCH("2024|"&amp;A99,Journaux!$A$5:$A$18,0))</f>
      </c>
      <c r="P99" s="0">
        <f>INDEX(Comptes!$H$5:$H$42,MATCH(E99,Comptes!$A$5:$A$42,0))</f>
      </c>
      <c r="Q99" s="0" t="inlineStr">
        <is>
          <t xml:space="preserve">4</t>
        </is>
      </c>
    </row>
    <row r="100">
      <c r="A100" s="4" t="inlineStr">
        <is>
          <t xml:space="preserve">VT</t>
        </is>
      </c>
      <c r="B100" s="0" t="inlineStr">
        <is>
          <t xml:space="preserve">Journal des ventes</t>
        </is>
      </c>
      <c r="C100" s="0" t="inlineStr">
        <is>
          <t xml:space="preserve">VT00009</t>
        </is>
      </c>
      <c r="D100" s="10">
        <v>45324</v>
      </c>
      <c r="E100" s="4" t="inlineStr">
        <is>
          <t xml:space="preserve">411000</t>
        </is>
      </c>
      <c r="F100" s="0" t="inlineStr">
        <is>
          <t xml:space="preserve">Clients</t>
        </is>
      </c>
      <c r="G100" s="0" t="inlineStr">
        <is>
          <t xml:space="preserve">FA2024-0009</t>
        </is>
      </c>
      <c r="H100" s="0" t="inlineStr">
        <is>
          <t xml:space="preserve">Facture FA2024-0009 Agence Mobilis</t>
        </is>
      </c>
      <c r="I100" s="8">
        <v>34050.62</v>
      </c>
      <c r="J100" s="8">
        <v>0</v>
      </c>
      <c r="K100" s="0" t="inlineStr">
        <is>
          <t xml:space="preserve">AAN</t>
        </is>
      </c>
      <c r="L100" s="0" t="inlineStr">
        <is>
          <t xml:space="preserve">Agence Mobilis</t>
        </is>
      </c>
      <c r="M100" s="8">
        <f>I100-J100</f>
      </c>
      <c r="N100" s="0" t="inlineStr">
        <is>
          <t xml:space="preserve">2024-02</t>
        </is>
      </c>
      <c r="O100" s="0">
        <f>INDEX(Journaux!$E$5:$E$18,MATCH("2024|"&amp;A100,Journaux!$A$5:$A$18,0))</f>
      </c>
      <c r="P100" s="0">
        <f>INDEX(Comptes!$H$5:$H$42,MATCH(E100,Comptes!$A$5:$A$42,0))</f>
      </c>
      <c r="Q100" s="0" t="inlineStr">
        <is>
          <t xml:space="preserve">4</t>
        </is>
      </c>
      <c r="R100" s="7" t="inlineStr">
        <is>
          <t xml:space="preserve">411000|C002</t>
        </is>
      </c>
    </row>
    <row r="101">
      <c r="A101" s="4" t="inlineStr">
        <is>
          <t xml:space="preserve">VT</t>
        </is>
      </c>
      <c r="B101" s="0" t="inlineStr">
        <is>
          <t xml:space="preserve">Journal des ventes</t>
        </is>
      </c>
      <c r="C101" s="0" t="inlineStr">
        <is>
          <t xml:space="preserve">VT00009</t>
        </is>
      </c>
      <c r="D101" s="10">
        <v>45324</v>
      </c>
      <c r="E101" s="4" t="inlineStr">
        <is>
          <t xml:space="preserve">701000</t>
        </is>
      </c>
      <c r="F101" s="0" t="inlineStr">
        <is>
          <t xml:space="preserve">Ventes de produits finis</t>
        </is>
      </c>
      <c r="G101" s="0" t="inlineStr">
        <is>
          <t xml:space="preserve">FA2024-0009</t>
        </is>
      </c>
      <c r="H101" s="0" t="inlineStr">
        <is>
          <t xml:space="preserve">Facture FA2024-0009 Agence Mobilis</t>
        </is>
      </c>
      <c r="I101" s="8">
        <v>0</v>
      </c>
      <c r="J101" s="8">
        <v>28375.52</v>
      </c>
      <c r="K101" s="0"/>
      <c r="L101" s="0"/>
      <c r="M101" s="8">
        <f>I101-J101</f>
      </c>
      <c r="N101" s="0" t="inlineStr">
        <is>
          <t xml:space="preserve">2024-02</t>
        </is>
      </c>
      <c r="O101" s="0">
        <f>INDEX(Journaux!$E$5:$E$18,MATCH("2024|"&amp;A101,Journaux!$A$5:$A$18,0))</f>
      </c>
      <c r="P101" s="0">
        <f>INDEX(Comptes!$H$5:$H$42,MATCH(E101,Comptes!$A$5:$A$42,0))</f>
      </c>
      <c r="Q101" s="0" t="inlineStr">
        <is>
          <t xml:space="preserve">7</t>
        </is>
      </c>
    </row>
    <row r="102">
      <c r="A102" s="4" t="inlineStr">
        <is>
          <t xml:space="preserve">VT</t>
        </is>
      </c>
      <c r="B102" s="0" t="inlineStr">
        <is>
          <t xml:space="preserve">Journal des ventes</t>
        </is>
      </c>
      <c r="C102" s="0" t="inlineStr">
        <is>
          <t xml:space="preserve">VT00009</t>
        </is>
      </c>
      <c r="D102" s="10">
        <v>45324</v>
      </c>
      <c r="E102" s="4" t="inlineStr">
        <is>
          <t xml:space="preserve">445710</t>
        </is>
      </c>
      <c r="F102" s="0" t="inlineStr">
        <is>
          <t xml:space="preserve">TVA collectee</t>
        </is>
      </c>
      <c r="G102" s="0" t="inlineStr">
        <is>
          <t xml:space="preserve">FA2024-0009</t>
        </is>
      </c>
      <c r="H102" s="0" t="inlineStr">
        <is>
          <t xml:space="preserve">Facture FA2024-0009 Agence Mobilis</t>
        </is>
      </c>
      <c r="I102" s="8">
        <v>0</v>
      </c>
      <c r="J102" s="8">
        <v>5675.1</v>
      </c>
      <c r="K102" s="0"/>
      <c r="L102" s="0"/>
      <c r="M102" s="8">
        <f>I102-J102</f>
      </c>
      <c r="N102" s="0" t="inlineStr">
        <is>
          <t xml:space="preserve">2024-02</t>
        </is>
      </c>
      <c r="O102" s="0">
        <f>INDEX(Journaux!$E$5:$E$18,MATCH("2024|"&amp;A102,Journaux!$A$5:$A$18,0))</f>
      </c>
      <c r="P102" s="0">
        <f>INDEX(Comptes!$H$5:$H$42,MATCH(E102,Comptes!$A$5:$A$42,0))</f>
      </c>
      <c r="Q102" s="0" t="inlineStr">
        <is>
          <t xml:space="preserve">4</t>
        </is>
      </c>
    </row>
    <row r="103">
      <c r="A103" s="4" t="inlineStr">
        <is>
          <t xml:space="preserve">AC</t>
        </is>
      </c>
      <c r="B103" s="0" t="inlineStr">
        <is>
          <t xml:space="preserve">Journal des achats</t>
        </is>
      </c>
      <c r="C103" s="0" t="inlineStr">
        <is>
          <t xml:space="preserve">AC00009</t>
        </is>
      </c>
      <c r="D103" s="10">
        <v>45327</v>
      </c>
      <c r="E103" s="4" t="inlineStr">
        <is>
          <t xml:space="preserve">613200</t>
        </is>
      </c>
      <c r="F103" s="0" t="inlineStr">
        <is>
          <t xml:space="preserve">Locations immobilieres</t>
        </is>
      </c>
      <c r="G103" s="0" t="inlineStr">
        <is>
          <t xml:space="preserve">F004-202402</t>
        </is>
      </c>
      <c r="H103" s="0" t="inlineStr">
        <is>
          <t xml:space="preserve">Facture SCI Les Halles 2024-02</t>
        </is>
      </c>
      <c r="I103" s="8">
        <v>8500</v>
      </c>
      <c r="J103" s="8">
        <v>0</v>
      </c>
      <c r="K103" s="0"/>
      <c r="L103" s="0"/>
      <c r="M103" s="8">
        <f>I103-J103</f>
      </c>
      <c r="N103" s="0" t="inlineStr">
        <is>
          <t xml:space="preserve">2024-02</t>
        </is>
      </c>
      <c r="O103" s="0">
        <f>INDEX(Journaux!$E$5:$E$18,MATCH("2024|"&amp;A103,Journaux!$A$5:$A$18,0))</f>
      </c>
      <c r="P103" s="0">
        <f>INDEX(Comptes!$H$5:$H$42,MATCH(E103,Comptes!$A$5:$A$42,0))</f>
      </c>
      <c r="Q103" s="0" t="inlineStr">
        <is>
          <t xml:space="preserve">6</t>
        </is>
      </c>
    </row>
    <row r="104">
      <c r="A104" s="4" t="inlineStr">
        <is>
          <t xml:space="preserve">AC</t>
        </is>
      </c>
      <c r="B104" s="0" t="inlineStr">
        <is>
          <t xml:space="preserve">Journal des achats</t>
        </is>
      </c>
      <c r="C104" s="0" t="inlineStr">
        <is>
          <t xml:space="preserve">AC00009</t>
        </is>
      </c>
      <c r="D104" s="10">
        <v>45327</v>
      </c>
      <c r="E104" s="4" t="inlineStr">
        <is>
          <t xml:space="preserve">445660</t>
        </is>
      </c>
      <c r="F104" s="0" t="inlineStr">
        <is>
          <t xml:space="preserve">TVA deductible sur ABS</t>
        </is>
      </c>
      <c r="G104" s="0" t="inlineStr">
        <is>
          <t xml:space="preserve">F004-202402</t>
        </is>
      </c>
      <c r="H104" s="0" t="inlineStr">
        <is>
          <t xml:space="preserve">Facture SCI Les Halles 2024-02</t>
        </is>
      </c>
      <c r="I104" s="8">
        <v>1700</v>
      </c>
      <c r="J104" s="8">
        <v>0</v>
      </c>
      <c r="K104" s="0"/>
      <c r="L104" s="0"/>
      <c r="M104" s="8">
        <f>I104-J104</f>
      </c>
      <c r="N104" s="0" t="inlineStr">
        <is>
          <t xml:space="preserve">2024-02</t>
        </is>
      </c>
      <c r="O104" s="0">
        <f>INDEX(Journaux!$E$5:$E$18,MATCH("2024|"&amp;A104,Journaux!$A$5:$A$18,0))</f>
      </c>
      <c r="P104" s="0">
        <f>INDEX(Comptes!$H$5:$H$42,MATCH(E104,Comptes!$A$5:$A$42,0))</f>
      </c>
      <c r="Q104" s="0" t="inlineStr">
        <is>
          <t xml:space="preserve">4</t>
        </is>
      </c>
    </row>
    <row r="105">
      <c r="A105" s="4" t="inlineStr">
        <is>
          <t xml:space="preserve">AC</t>
        </is>
      </c>
      <c r="B105" s="0" t="inlineStr">
        <is>
          <t xml:space="preserve">Journal des achats</t>
        </is>
      </c>
      <c r="C105" s="0" t="inlineStr">
        <is>
          <t xml:space="preserve">AC00009</t>
        </is>
      </c>
      <c r="D105" s="10">
        <v>45327</v>
      </c>
      <c r="E105" s="4" t="inlineStr">
        <is>
          <t xml:space="preserve">401000</t>
        </is>
      </c>
      <c r="F105" s="0" t="inlineStr">
        <is>
          <t xml:space="preserve">Fournisseurs</t>
        </is>
      </c>
      <c r="G105" s="0" t="inlineStr">
        <is>
          <t xml:space="preserve">F004-202402</t>
        </is>
      </c>
      <c r="H105" s="0" t="inlineStr">
        <is>
          <t xml:space="preserve">Facture SCI Les Halles 2024-02</t>
        </is>
      </c>
      <c r="I105" s="8">
        <v>0</v>
      </c>
      <c r="J105" s="8">
        <v>10200</v>
      </c>
      <c r="K105" s="0" t="inlineStr">
        <is>
          <t xml:space="preserve">ABU</t>
        </is>
      </c>
      <c r="L105" s="0" t="inlineStr">
        <is>
          <t xml:space="preserve">SCI Les Halles</t>
        </is>
      </c>
      <c r="M105" s="8">
        <f>I105-J105</f>
      </c>
      <c r="N105" s="0" t="inlineStr">
        <is>
          <t xml:space="preserve">2024-02</t>
        </is>
      </c>
      <c r="O105" s="0">
        <f>INDEX(Journaux!$E$5:$E$18,MATCH("2024|"&amp;A105,Journaux!$A$5:$A$18,0))</f>
      </c>
      <c r="P105" s="0">
        <f>INDEX(Comptes!$H$5:$H$42,MATCH(E105,Comptes!$A$5:$A$42,0))</f>
      </c>
      <c r="Q105" s="0" t="inlineStr">
        <is>
          <t xml:space="preserve">4</t>
        </is>
      </c>
      <c r="R105" s="7" t="inlineStr">
        <is>
          <t xml:space="preserve">401000|F004</t>
        </is>
      </c>
    </row>
    <row r="106">
      <c r="A106" s="4" t="inlineStr">
        <is>
          <t xml:space="preserve">AC</t>
        </is>
      </c>
      <c r="B106" s="0" t="inlineStr">
        <is>
          <t xml:space="preserve">Journal des achats</t>
        </is>
      </c>
      <c r="C106" s="0" t="inlineStr">
        <is>
          <t xml:space="preserve">AC00010</t>
        </is>
      </c>
      <c r="D106" s="10">
        <v>45327</v>
      </c>
      <c r="E106" s="4" t="inlineStr">
        <is>
          <t xml:space="preserve">606100</t>
        </is>
      </c>
      <c r="F106" s="0" t="inlineStr">
        <is>
          <t xml:space="preserve">Fournitures non stockables energie</t>
        </is>
      </c>
      <c r="G106" s="0" t="inlineStr">
        <is>
          <t xml:space="preserve">F005-202402</t>
        </is>
      </c>
      <c r="H106" s="0" t="inlineStr">
        <is>
          <t xml:space="preserve">Facture Energie Plus 2024-02</t>
        </is>
      </c>
      <c r="I106" s="8">
        <v>3024.05</v>
      </c>
      <c r="J106" s="8">
        <v>0</v>
      </c>
      <c r="K106" s="0"/>
      <c r="L106" s="0"/>
      <c r="M106" s="8">
        <f>I106-J106</f>
      </c>
      <c r="N106" s="0" t="inlineStr">
        <is>
          <t xml:space="preserve">2024-02</t>
        </is>
      </c>
      <c r="O106" s="0">
        <f>INDEX(Journaux!$E$5:$E$18,MATCH("2024|"&amp;A106,Journaux!$A$5:$A$18,0))</f>
      </c>
      <c r="P106" s="0">
        <f>INDEX(Comptes!$H$5:$H$42,MATCH(E106,Comptes!$A$5:$A$42,0))</f>
      </c>
      <c r="Q106" s="0" t="inlineStr">
        <is>
          <t xml:space="preserve">6</t>
        </is>
      </c>
    </row>
    <row r="107">
      <c r="A107" s="4" t="inlineStr">
        <is>
          <t xml:space="preserve">AC</t>
        </is>
      </c>
      <c r="B107" s="0" t="inlineStr">
        <is>
          <t xml:space="preserve">Journal des achats</t>
        </is>
      </c>
      <c r="C107" s="0" t="inlineStr">
        <is>
          <t xml:space="preserve">AC00010</t>
        </is>
      </c>
      <c r="D107" s="10">
        <v>45327</v>
      </c>
      <c r="E107" s="4" t="inlineStr">
        <is>
          <t xml:space="preserve">445660</t>
        </is>
      </c>
      <c r="F107" s="0" t="inlineStr">
        <is>
          <t xml:space="preserve">TVA deductible sur ABS</t>
        </is>
      </c>
      <c r="G107" s="0" t="inlineStr">
        <is>
          <t xml:space="preserve">F005-202402</t>
        </is>
      </c>
      <c r="H107" s="0" t="inlineStr">
        <is>
          <t xml:space="preserve">Facture Energie Plus 2024-02</t>
        </is>
      </c>
      <c r="I107" s="8">
        <v>604.81</v>
      </c>
      <c r="J107" s="8">
        <v>0</v>
      </c>
      <c r="K107" s="0"/>
      <c r="L107" s="0"/>
      <c r="M107" s="8">
        <f>I107-J107</f>
      </c>
      <c r="N107" s="0" t="inlineStr">
        <is>
          <t xml:space="preserve">2024-02</t>
        </is>
      </c>
      <c r="O107" s="0">
        <f>INDEX(Journaux!$E$5:$E$18,MATCH("2024|"&amp;A107,Journaux!$A$5:$A$18,0))</f>
      </c>
      <c r="P107" s="0">
        <f>INDEX(Comptes!$H$5:$H$42,MATCH(E107,Comptes!$A$5:$A$42,0))</f>
      </c>
      <c r="Q107" s="0" t="inlineStr">
        <is>
          <t xml:space="preserve">4</t>
        </is>
      </c>
    </row>
    <row r="108">
      <c r="A108" s="4" t="inlineStr">
        <is>
          <t xml:space="preserve">AC</t>
        </is>
      </c>
      <c r="B108" s="0" t="inlineStr">
        <is>
          <t xml:space="preserve">Journal des achats</t>
        </is>
      </c>
      <c r="C108" s="0" t="inlineStr">
        <is>
          <t xml:space="preserve">AC00010</t>
        </is>
      </c>
      <c r="D108" s="10">
        <v>45327</v>
      </c>
      <c r="E108" s="4" t="inlineStr">
        <is>
          <t xml:space="preserve">401000</t>
        </is>
      </c>
      <c r="F108" s="0" t="inlineStr">
        <is>
          <t xml:space="preserve">Fournisseurs</t>
        </is>
      </c>
      <c r="G108" s="0" t="inlineStr">
        <is>
          <t xml:space="preserve">F005-202402</t>
        </is>
      </c>
      <c r="H108" s="0" t="inlineStr">
        <is>
          <t xml:space="preserve">Facture Energie Plus 2024-02</t>
        </is>
      </c>
      <c r="I108" s="8">
        <v>0</v>
      </c>
      <c r="J108" s="8">
        <v>3628.86</v>
      </c>
      <c r="K108" s="0" t="inlineStr">
        <is>
          <t xml:space="preserve">ABV</t>
        </is>
      </c>
      <c r="L108" s="0" t="inlineStr">
        <is>
          <t xml:space="preserve">Energie Plus</t>
        </is>
      </c>
      <c r="M108" s="8">
        <f>I108-J108</f>
      </c>
      <c r="N108" s="0" t="inlineStr">
        <is>
          <t xml:space="preserve">2024-02</t>
        </is>
      </c>
      <c r="O108" s="0">
        <f>INDEX(Journaux!$E$5:$E$18,MATCH("2024|"&amp;A108,Journaux!$A$5:$A$18,0))</f>
      </c>
      <c r="P108" s="0">
        <f>INDEX(Comptes!$H$5:$H$42,MATCH(E108,Comptes!$A$5:$A$42,0))</f>
      </c>
      <c r="Q108" s="0" t="inlineStr">
        <is>
          <t xml:space="preserve">4</t>
        </is>
      </c>
      <c r="R108" s="7" t="inlineStr">
        <is>
          <t xml:space="preserve">401000|F005</t>
        </is>
      </c>
    </row>
    <row r="109">
      <c r="A109" s="4" t="inlineStr">
        <is>
          <t xml:space="preserve">AC</t>
        </is>
      </c>
      <c r="B109" s="0" t="inlineStr">
        <is>
          <t xml:space="preserve">Journal des achats</t>
        </is>
      </c>
      <c r="C109" s="0" t="inlineStr">
        <is>
          <t xml:space="preserve">AC00011</t>
        </is>
      </c>
      <c r="D109" s="10">
        <v>45327</v>
      </c>
      <c r="E109" s="4" t="inlineStr">
        <is>
          <t xml:space="preserve">626000</t>
        </is>
      </c>
      <c r="F109" s="0" t="inlineStr">
        <is>
          <t xml:space="preserve">Frais postaux et telecommunications</t>
        </is>
      </c>
      <c r="G109" s="0" t="inlineStr">
        <is>
          <t xml:space="preserve">F008-202402</t>
        </is>
      </c>
      <c r="H109" s="0" t="inlineStr">
        <is>
          <t xml:space="preserve">Facture Telecom Pro 2024-02</t>
        </is>
      </c>
      <c r="I109" s="8">
        <v>480</v>
      </c>
      <c r="J109" s="8">
        <v>0</v>
      </c>
      <c r="K109" s="0"/>
      <c r="L109" s="0"/>
      <c r="M109" s="8">
        <f>I109-J109</f>
      </c>
      <c r="N109" s="0" t="inlineStr">
        <is>
          <t xml:space="preserve">2024-02</t>
        </is>
      </c>
      <c r="O109" s="0">
        <f>INDEX(Journaux!$E$5:$E$18,MATCH("2024|"&amp;A109,Journaux!$A$5:$A$18,0))</f>
      </c>
      <c r="P109" s="0">
        <f>INDEX(Comptes!$H$5:$H$42,MATCH(E109,Comptes!$A$5:$A$42,0))</f>
      </c>
      <c r="Q109" s="0" t="inlineStr">
        <is>
          <t xml:space="preserve">6</t>
        </is>
      </c>
    </row>
    <row r="110">
      <c r="A110" s="4" t="inlineStr">
        <is>
          <t xml:space="preserve">AC</t>
        </is>
      </c>
      <c r="B110" s="0" t="inlineStr">
        <is>
          <t xml:space="preserve">Journal des achats</t>
        </is>
      </c>
      <c r="C110" s="0" t="inlineStr">
        <is>
          <t xml:space="preserve">AC00011</t>
        </is>
      </c>
      <c r="D110" s="10">
        <v>45327</v>
      </c>
      <c r="E110" s="4" t="inlineStr">
        <is>
          <t xml:space="preserve">445660</t>
        </is>
      </c>
      <c r="F110" s="0" t="inlineStr">
        <is>
          <t xml:space="preserve">TVA deductible sur ABS</t>
        </is>
      </c>
      <c r="G110" s="0" t="inlineStr">
        <is>
          <t xml:space="preserve">F008-202402</t>
        </is>
      </c>
      <c r="H110" s="0" t="inlineStr">
        <is>
          <t xml:space="preserve">Facture Telecom Pro 2024-02</t>
        </is>
      </c>
      <c r="I110" s="8">
        <v>96</v>
      </c>
      <c r="J110" s="8">
        <v>0</v>
      </c>
      <c r="K110" s="0"/>
      <c r="L110" s="0"/>
      <c r="M110" s="8">
        <f>I110-J110</f>
      </c>
      <c r="N110" s="0" t="inlineStr">
        <is>
          <t xml:space="preserve">2024-02</t>
        </is>
      </c>
      <c r="O110" s="0">
        <f>INDEX(Journaux!$E$5:$E$18,MATCH("2024|"&amp;A110,Journaux!$A$5:$A$18,0))</f>
      </c>
      <c r="P110" s="0">
        <f>INDEX(Comptes!$H$5:$H$42,MATCH(E110,Comptes!$A$5:$A$42,0))</f>
      </c>
      <c r="Q110" s="0" t="inlineStr">
        <is>
          <t xml:space="preserve">4</t>
        </is>
      </c>
    </row>
    <row r="111">
      <c r="A111" s="4" t="inlineStr">
        <is>
          <t xml:space="preserve">AC</t>
        </is>
      </c>
      <c r="B111" s="0" t="inlineStr">
        <is>
          <t xml:space="preserve">Journal des achats</t>
        </is>
      </c>
      <c r="C111" s="0" t="inlineStr">
        <is>
          <t xml:space="preserve">AC00011</t>
        </is>
      </c>
      <c r="D111" s="10">
        <v>45327</v>
      </c>
      <c r="E111" s="4" t="inlineStr">
        <is>
          <t xml:space="preserve">401000</t>
        </is>
      </c>
      <c r="F111" s="0" t="inlineStr">
        <is>
          <t xml:space="preserve">Fournisseurs</t>
        </is>
      </c>
      <c r="G111" s="0" t="inlineStr">
        <is>
          <t xml:space="preserve">F008-202402</t>
        </is>
      </c>
      <c r="H111" s="0" t="inlineStr">
        <is>
          <t xml:space="preserve">Facture Telecom Pro 2024-02</t>
        </is>
      </c>
      <c r="I111" s="8">
        <v>0</v>
      </c>
      <c r="J111" s="8">
        <v>576</v>
      </c>
      <c r="K111" s="0" t="inlineStr">
        <is>
          <t xml:space="preserve">ABW</t>
        </is>
      </c>
      <c r="L111" s="0" t="inlineStr">
        <is>
          <t xml:space="preserve">Telecom Pro</t>
        </is>
      </c>
      <c r="M111" s="8">
        <f>I111-J111</f>
      </c>
      <c r="N111" s="0" t="inlineStr">
        <is>
          <t xml:space="preserve">2024-02</t>
        </is>
      </c>
      <c r="O111" s="0">
        <f>INDEX(Journaux!$E$5:$E$18,MATCH("2024|"&amp;A111,Journaux!$A$5:$A$18,0))</f>
      </c>
      <c r="P111" s="0">
        <f>INDEX(Comptes!$H$5:$H$42,MATCH(E111,Comptes!$A$5:$A$42,0))</f>
      </c>
      <c r="Q111" s="0" t="inlineStr">
        <is>
          <t xml:space="preserve">4</t>
        </is>
      </c>
      <c r="R111" s="7" t="inlineStr">
        <is>
          <t xml:space="preserve">401000|F008</t>
        </is>
      </c>
    </row>
    <row r="112">
      <c r="A112" s="4" t="inlineStr">
        <is>
          <t xml:space="preserve">BQ</t>
        </is>
      </c>
      <c r="B112" s="0" t="inlineStr">
        <is>
          <t xml:space="preserve">Banque Fictive</t>
        </is>
      </c>
      <c r="C112" s="0" t="inlineStr">
        <is>
          <t xml:space="preserve">BQ00127</t>
        </is>
      </c>
      <c r="D112" s="10">
        <v>45327</v>
      </c>
      <c r="E112" s="4" t="inlineStr">
        <is>
          <t xml:space="preserve">401000</t>
        </is>
      </c>
      <c r="F112" s="0" t="inlineStr">
        <is>
          <t xml:space="preserve">Fournisseurs</t>
        </is>
      </c>
      <c r="G112" s="0" t="inlineStr">
        <is>
          <t xml:space="preserve">DEC-F004-202401</t>
        </is>
      </c>
      <c r="H112" s="0" t="inlineStr">
        <is>
          <t xml:space="preserve">Reglement fournisseur SCI Les Halles F004-202401</t>
        </is>
      </c>
      <c r="I112" s="8">
        <v>10200</v>
      </c>
      <c r="J112" s="8">
        <v>0</v>
      </c>
      <c r="K112" s="0" t="inlineStr">
        <is>
          <t xml:space="preserve">ABO</t>
        </is>
      </c>
      <c r="L112" s="0" t="inlineStr">
        <is>
          <t xml:space="preserve">SCI Les Halles</t>
        </is>
      </c>
      <c r="M112" s="8">
        <f>I112-J112</f>
      </c>
      <c r="N112" s="0" t="inlineStr">
        <is>
          <t xml:space="preserve">2024-02</t>
        </is>
      </c>
      <c r="O112" s="0">
        <f>INDEX(Journaux!$E$5:$E$18,MATCH("2024|"&amp;A112,Journaux!$A$5:$A$18,0))</f>
      </c>
      <c r="P112" s="0">
        <f>INDEX(Comptes!$H$5:$H$42,MATCH(E112,Comptes!$A$5:$A$42,0))</f>
      </c>
      <c r="Q112" s="0" t="inlineStr">
        <is>
          <t xml:space="preserve">4</t>
        </is>
      </c>
      <c r="R112" s="7" t="inlineStr">
        <is>
          <t xml:space="preserve">401000|F004</t>
        </is>
      </c>
    </row>
    <row r="113">
      <c r="A113" s="4" t="inlineStr">
        <is>
          <t xml:space="preserve">BQ</t>
        </is>
      </c>
      <c r="B113" s="0" t="inlineStr">
        <is>
          <t xml:space="preserve">Banque Fictive</t>
        </is>
      </c>
      <c r="C113" s="0" t="inlineStr">
        <is>
          <t xml:space="preserve">BQ00127</t>
        </is>
      </c>
      <c r="D113" s="10">
        <v>45327</v>
      </c>
      <c r="E113" s="4" t="inlineStr">
        <is>
          <t xml:space="preserve">512000</t>
        </is>
      </c>
      <c r="F113" s="0" t="inlineStr">
        <is>
          <t xml:space="preserve">Banque Fictive</t>
        </is>
      </c>
      <c r="G113" s="0" t="inlineStr">
        <is>
          <t xml:space="preserve">DEC-F004-202401</t>
        </is>
      </c>
      <c r="H113" s="0" t="inlineStr">
        <is>
          <t xml:space="preserve">Reglement fournisseur SCI Les Halles F004-202401</t>
        </is>
      </c>
      <c r="I113" s="8">
        <v>0</v>
      </c>
      <c r="J113" s="8">
        <v>10200</v>
      </c>
      <c r="K113" s="0"/>
      <c r="L113" s="0"/>
      <c r="M113" s="8">
        <f>I113-J113</f>
      </c>
      <c r="N113" s="0" t="inlineStr">
        <is>
          <t xml:space="preserve">2024-02</t>
        </is>
      </c>
      <c r="O113" s="0">
        <f>INDEX(Journaux!$E$5:$E$18,MATCH("2024|"&amp;A113,Journaux!$A$5:$A$18,0))</f>
      </c>
      <c r="P113" s="0">
        <f>INDEX(Comptes!$H$5:$H$42,MATCH(E113,Comptes!$A$5:$A$42,0))</f>
      </c>
      <c r="Q113" s="0" t="inlineStr">
        <is>
          <t xml:space="preserve">5</t>
        </is>
      </c>
    </row>
    <row r="114">
      <c r="A114" s="4" t="inlineStr">
        <is>
          <t xml:space="preserve">BQ</t>
        </is>
      </c>
      <c r="B114" s="0" t="inlineStr">
        <is>
          <t xml:space="preserve">Banque Fictive</t>
        </is>
      </c>
      <c r="C114" s="0" t="inlineStr">
        <is>
          <t xml:space="preserve">BQ00128</t>
        </is>
      </c>
      <c r="D114" s="10">
        <v>45327</v>
      </c>
      <c r="E114" s="4" t="inlineStr">
        <is>
          <t xml:space="preserve">401000</t>
        </is>
      </c>
      <c r="F114" s="0" t="inlineStr">
        <is>
          <t xml:space="preserve">Fournisseurs</t>
        </is>
      </c>
      <c r="G114" s="0" t="inlineStr">
        <is>
          <t xml:space="preserve">DEC-F005-202401</t>
        </is>
      </c>
      <c r="H114" s="0" t="inlineStr">
        <is>
          <t xml:space="preserve">Reglement fournisseur Energie Plus F005-202401</t>
        </is>
      </c>
      <c r="I114" s="8">
        <v>3036.68</v>
      </c>
      <c r="J114" s="8">
        <v>0</v>
      </c>
      <c r="K114" s="0" t="inlineStr">
        <is>
          <t xml:space="preserve">ABP</t>
        </is>
      </c>
      <c r="L114" s="0" t="inlineStr">
        <is>
          <t xml:space="preserve">Energie Plus</t>
        </is>
      </c>
      <c r="M114" s="8">
        <f>I114-J114</f>
      </c>
      <c r="N114" s="0" t="inlineStr">
        <is>
          <t xml:space="preserve">2024-02</t>
        </is>
      </c>
      <c r="O114" s="0">
        <f>INDEX(Journaux!$E$5:$E$18,MATCH("2024|"&amp;A114,Journaux!$A$5:$A$18,0))</f>
      </c>
      <c r="P114" s="0">
        <f>INDEX(Comptes!$H$5:$H$42,MATCH(E114,Comptes!$A$5:$A$42,0))</f>
      </c>
      <c r="Q114" s="0" t="inlineStr">
        <is>
          <t xml:space="preserve">4</t>
        </is>
      </c>
      <c r="R114" s="7" t="inlineStr">
        <is>
          <t xml:space="preserve">401000|F005</t>
        </is>
      </c>
    </row>
    <row r="115">
      <c r="A115" s="4" t="inlineStr">
        <is>
          <t xml:space="preserve">BQ</t>
        </is>
      </c>
      <c r="B115" s="0" t="inlineStr">
        <is>
          <t xml:space="preserve">Banque Fictive</t>
        </is>
      </c>
      <c r="C115" s="0" t="inlineStr">
        <is>
          <t xml:space="preserve">BQ00128</t>
        </is>
      </c>
      <c r="D115" s="10">
        <v>45327</v>
      </c>
      <c r="E115" s="4" t="inlineStr">
        <is>
          <t xml:space="preserve">512000</t>
        </is>
      </c>
      <c r="F115" s="0" t="inlineStr">
        <is>
          <t xml:space="preserve">Banque Fictive</t>
        </is>
      </c>
      <c r="G115" s="0" t="inlineStr">
        <is>
          <t xml:space="preserve">DEC-F005-202401</t>
        </is>
      </c>
      <c r="H115" s="0" t="inlineStr">
        <is>
          <t xml:space="preserve">Reglement fournisseur Energie Plus F005-202401</t>
        </is>
      </c>
      <c r="I115" s="8">
        <v>0</v>
      </c>
      <c r="J115" s="8">
        <v>3036.68</v>
      </c>
      <c r="K115" s="0"/>
      <c r="L115" s="0"/>
      <c r="M115" s="8">
        <f>I115-J115</f>
      </c>
      <c r="N115" s="0" t="inlineStr">
        <is>
          <t xml:space="preserve">2024-02</t>
        </is>
      </c>
      <c r="O115" s="0">
        <f>INDEX(Journaux!$E$5:$E$18,MATCH("2024|"&amp;A115,Journaux!$A$5:$A$18,0))</f>
      </c>
      <c r="P115" s="0">
        <f>INDEX(Comptes!$H$5:$H$42,MATCH(E115,Comptes!$A$5:$A$42,0))</f>
      </c>
      <c r="Q115" s="0" t="inlineStr">
        <is>
          <t xml:space="preserve">5</t>
        </is>
      </c>
    </row>
    <row r="116">
      <c r="A116" s="4" t="inlineStr">
        <is>
          <t xml:space="preserve">BQ</t>
        </is>
      </c>
      <c r="B116" s="0" t="inlineStr">
        <is>
          <t xml:space="preserve">Banque Fictive</t>
        </is>
      </c>
      <c r="C116" s="0" t="inlineStr">
        <is>
          <t xml:space="preserve">BQ00129</t>
        </is>
      </c>
      <c r="D116" s="10">
        <v>45327</v>
      </c>
      <c r="E116" s="4" t="inlineStr">
        <is>
          <t xml:space="preserve">401000</t>
        </is>
      </c>
      <c r="F116" s="0" t="inlineStr">
        <is>
          <t xml:space="preserve">Fournisseurs</t>
        </is>
      </c>
      <c r="G116" s="0" t="inlineStr">
        <is>
          <t xml:space="preserve">DEC-F008-202401</t>
        </is>
      </c>
      <c r="H116" s="0" t="inlineStr">
        <is>
          <t xml:space="preserve">Reglement fournisseur Telecom Pro F008-202401</t>
        </is>
      </c>
      <c r="I116" s="8">
        <v>576</v>
      </c>
      <c r="J116" s="8">
        <v>0</v>
      </c>
      <c r="K116" s="0" t="inlineStr">
        <is>
          <t xml:space="preserve">ABQ</t>
        </is>
      </c>
      <c r="L116" s="0" t="inlineStr">
        <is>
          <t xml:space="preserve">Telecom Pro</t>
        </is>
      </c>
      <c r="M116" s="8">
        <f>I116-J116</f>
      </c>
      <c r="N116" s="0" t="inlineStr">
        <is>
          <t xml:space="preserve">2024-02</t>
        </is>
      </c>
      <c r="O116" s="0">
        <f>INDEX(Journaux!$E$5:$E$18,MATCH("2024|"&amp;A116,Journaux!$A$5:$A$18,0))</f>
      </c>
      <c r="P116" s="0">
        <f>INDEX(Comptes!$H$5:$H$42,MATCH(E116,Comptes!$A$5:$A$42,0))</f>
      </c>
      <c r="Q116" s="0" t="inlineStr">
        <is>
          <t xml:space="preserve">4</t>
        </is>
      </c>
      <c r="R116" s="7" t="inlineStr">
        <is>
          <t xml:space="preserve">401000|F008</t>
        </is>
      </c>
    </row>
    <row r="117">
      <c r="A117" s="4" t="inlineStr">
        <is>
          <t xml:space="preserve">BQ</t>
        </is>
      </c>
      <c r="B117" s="0" t="inlineStr">
        <is>
          <t xml:space="preserve">Banque Fictive</t>
        </is>
      </c>
      <c r="C117" s="0" t="inlineStr">
        <is>
          <t xml:space="preserve">BQ00129</t>
        </is>
      </c>
      <c r="D117" s="10">
        <v>45327</v>
      </c>
      <c r="E117" s="4" t="inlineStr">
        <is>
          <t xml:space="preserve">512000</t>
        </is>
      </c>
      <c r="F117" s="0" t="inlineStr">
        <is>
          <t xml:space="preserve">Banque Fictive</t>
        </is>
      </c>
      <c r="G117" s="0" t="inlineStr">
        <is>
          <t xml:space="preserve">DEC-F008-202401</t>
        </is>
      </c>
      <c r="H117" s="0" t="inlineStr">
        <is>
          <t xml:space="preserve">Reglement fournisseur Telecom Pro F008-202401</t>
        </is>
      </c>
      <c r="I117" s="8">
        <v>0</v>
      </c>
      <c r="J117" s="8">
        <v>576</v>
      </c>
      <c r="K117" s="0"/>
      <c r="L117" s="0"/>
      <c r="M117" s="8">
        <f>I117-J117</f>
      </c>
      <c r="N117" s="0" t="inlineStr">
        <is>
          <t xml:space="preserve">2024-02</t>
        </is>
      </c>
      <c r="O117" s="0">
        <f>INDEX(Journaux!$E$5:$E$18,MATCH("2024|"&amp;A117,Journaux!$A$5:$A$18,0))</f>
      </c>
      <c r="P117" s="0">
        <f>INDEX(Comptes!$H$5:$H$42,MATCH(E117,Comptes!$A$5:$A$42,0))</f>
      </c>
      <c r="Q117" s="0" t="inlineStr">
        <is>
          <t xml:space="preserve">5</t>
        </is>
      </c>
    </row>
    <row r="118">
      <c r="A118" s="4" t="inlineStr">
        <is>
          <t xml:space="preserve">BQ</t>
        </is>
      </c>
      <c r="B118" s="0" t="inlineStr">
        <is>
          <t xml:space="preserve">Banque Fictive</t>
        </is>
      </c>
      <c r="C118" s="0" t="inlineStr">
        <is>
          <t xml:space="preserve">BQ00130</t>
        </is>
      </c>
      <c r="D118" s="10">
        <v>45327</v>
      </c>
      <c r="E118" s="4" t="inlineStr">
        <is>
          <t xml:space="preserve">401000</t>
        </is>
      </c>
      <c r="F118" s="0" t="inlineStr">
        <is>
          <t xml:space="preserve">Fournisseurs</t>
        </is>
      </c>
      <c r="G118" s="0" t="inlineStr">
        <is>
          <t xml:space="preserve">DEC-F006-202401</t>
        </is>
      </c>
      <c r="H118" s="0" t="inlineStr">
        <is>
          <t xml:space="preserve">Reglement fournisseur Assurances Mutuelles Exemple F006-202401</t>
        </is>
      </c>
      <c r="I118" s="8">
        <v>3000</v>
      </c>
      <c r="J118" s="8">
        <v>0</v>
      </c>
      <c r="K118" s="0" t="inlineStr">
        <is>
          <t xml:space="preserve">ABR</t>
        </is>
      </c>
      <c r="L118" s="0" t="inlineStr">
        <is>
          <t xml:space="preserve">Assurances Mutuelles Exemple</t>
        </is>
      </c>
      <c r="M118" s="8">
        <f>I118-J118</f>
      </c>
      <c r="N118" s="0" t="inlineStr">
        <is>
          <t xml:space="preserve">2024-02</t>
        </is>
      </c>
      <c r="O118" s="0">
        <f>INDEX(Journaux!$E$5:$E$18,MATCH("2024|"&amp;A118,Journaux!$A$5:$A$18,0))</f>
      </c>
      <c r="P118" s="0">
        <f>INDEX(Comptes!$H$5:$H$42,MATCH(E118,Comptes!$A$5:$A$42,0))</f>
      </c>
      <c r="Q118" s="0" t="inlineStr">
        <is>
          <t xml:space="preserve">4</t>
        </is>
      </c>
      <c r="R118" s="7" t="inlineStr">
        <is>
          <t xml:space="preserve">401000|F006</t>
        </is>
      </c>
    </row>
    <row r="119">
      <c r="A119" s="4" t="inlineStr">
        <is>
          <t xml:space="preserve">BQ</t>
        </is>
      </c>
      <c r="B119" s="0" t="inlineStr">
        <is>
          <t xml:space="preserve">Banque Fictive</t>
        </is>
      </c>
      <c r="C119" s="0" t="inlineStr">
        <is>
          <t xml:space="preserve">BQ00130</t>
        </is>
      </c>
      <c r="D119" s="10">
        <v>45327</v>
      </c>
      <c r="E119" s="4" t="inlineStr">
        <is>
          <t xml:space="preserve">512000</t>
        </is>
      </c>
      <c r="F119" s="0" t="inlineStr">
        <is>
          <t xml:space="preserve">Banque Fictive</t>
        </is>
      </c>
      <c r="G119" s="0" t="inlineStr">
        <is>
          <t xml:space="preserve">DEC-F006-202401</t>
        </is>
      </c>
      <c r="H119" s="0" t="inlineStr">
        <is>
          <t xml:space="preserve">Reglement fournisseur Assurances Mutuelles Exemple F006-202401</t>
        </is>
      </c>
      <c r="I119" s="8">
        <v>0</v>
      </c>
      <c r="J119" s="8">
        <v>3000</v>
      </c>
      <c r="K119" s="0"/>
      <c r="L119" s="0"/>
      <c r="M119" s="8">
        <f>I119-J119</f>
      </c>
      <c r="N119" s="0" t="inlineStr">
        <is>
          <t xml:space="preserve">2024-02</t>
        </is>
      </c>
      <c r="O119" s="0">
        <f>INDEX(Journaux!$E$5:$E$18,MATCH("2024|"&amp;A119,Journaux!$A$5:$A$18,0))</f>
      </c>
      <c r="P119" s="0">
        <f>INDEX(Comptes!$H$5:$H$42,MATCH(E119,Comptes!$A$5:$A$42,0))</f>
      </c>
      <c r="Q119" s="0" t="inlineStr">
        <is>
          <t xml:space="preserve">5</t>
        </is>
      </c>
    </row>
    <row r="120">
      <c r="A120" s="4" t="inlineStr">
        <is>
          <t xml:space="preserve">AC</t>
        </is>
      </c>
      <c r="B120" s="0" t="inlineStr">
        <is>
          <t xml:space="preserve">Journal des achats</t>
        </is>
      </c>
      <c r="C120" s="0" t="inlineStr">
        <is>
          <t xml:space="preserve">AC00008</t>
        </is>
      </c>
      <c r="D120" s="10">
        <v>45330</v>
      </c>
      <c r="E120" s="4" t="inlineStr">
        <is>
          <t xml:space="preserve">601000</t>
        </is>
      </c>
      <c r="F120" s="0" t="inlineStr">
        <is>
          <t xml:space="preserve">Achats de matieres premieres</t>
        </is>
      </c>
      <c r="G120" s="0" t="inlineStr">
        <is>
          <t xml:space="preserve">F001-2024022</t>
        </is>
      </c>
      <c r="H120" s="0" t="inlineStr">
        <is>
          <t xml:space="preserve">Facture Scierie du Nord F001-2024022</t>
        </is>
      </c>
      <c r="I120" s="8">
        <v>29762.55</v>
      </c>
      <c r="J120" s="8">
        <v>0</v>
      </c>
      <c r="K120" s="0"/>
      <c r="L120" s="0"/>
      <c r="M120" s="8">
        <f>I120-J120</f>
      </c>
      <c r="N120" s="0" t="inlineStr">
        <is>
          <t xml:space="preserve">2024-02</t>
        </is>
      </c>
      <c r="O120" s="0">
        <f>INDEX(Journaux!$E$5:$E$18,MATCH("2024|"&amp;A120,Journaux!$A$5:$A$18,0))</f>
      </c>
      <c r="P120" s="0">
        <f>INDEX(Comptes!$H$5:$H$42,MATCH(E120,Comptes!$A$5:$A$42,0))</f>
      </c>
      <c r="Q120" s="0" t="inlineStr">
        <is>
          <t xml:space="preserve">6</t>
        </is>
      </c>
    </row>
    <row r="121">
      <c r="A121" s="4" t="inlineStr">
        <is>
          <t xml:space="preserve">AC</t>
        </is>
      </c>
      <c r="B121" s="0" t="inlineStr">
        <is>
          <t xml:space="preserve">Journal des achats</t>
        </is>
      </c>
      <c r="C121" s="0" t="inlineStr">
        <is>
          <t xml:space="preserve">AC00008</t>
        </is>
      </c>
      <c r="D121" s="10">
        <v>45330</v>
      </c>
      <c r="E121" s="4" t="inlineStr">
        <is>
          <t xml:space="preserve">445660</t>
        </is>
      </c>
      <c r="F121" s="0" t="inlineStr">
        <is>
          <t xml:space="preserve">TVA deductible sur ABS</t>
        </is>
      </c>
      <c r="G121" s="0" t="inlineStr">
        <is>
          <t xml:space="preserve">F001-2024022</t>
        </is>
      </c>
      <c r="H121" s="0" t="inlineStr">
        <is>
          <t xml:space="preserve">Facture Scierie du Nord F001-2024022</t>
        </is>
      </c>
      <c r="I121" s="8">
        <v>5952.51</v>
      </c>
      <c r="J121" s="8">
        <v>0</v>
      </c>
      <c r="K121" s="0"/>
      <c r="L121" s="0"/>
      <c r="M121" s="8">
        <f>I121-J121</f>
      </c>
      <c r="N121" s="0" t="inlineStr">
        <is>
          <t xml:space="preserve">2024-02</t>
        </is>
      </c>
      <c r="O121" s="0">
        <f>INDEX(Journaux!$E$5:$E$18,MATCH("2024|"&amp;A121,Journaux!$A$5:$A$18,0))</f>
      </c>
      <c r="P121" s="0">
        <f>INDEX(Comptes!$H$5:$H$42,MATCH(E121,Comptes!$A$5:$A$42,0))</f>
      </c>
      <c r="Q121" s="0" t="inlineStr">
        <is>
          <t xml:space="preserve">4</t>
        </is>
      </c>
    </row>
    <row r="122">
      <c r="A122" s="4" t="inlineStr">
        <is>
          <t xml:space="preserve">AC</t>
        </is>
      </c>
      <c r="B122" s="0" t="inlineStr">
        <is>
          <t xml:space="preserve">Journal des achats</t>
        </is>
      </c>
      <c r="C122" s="0" t="inlineStr">
        <is>
          <t xml:space="preserve">AC00008</t>
        </is>
      </c>
      <c r="D122" s="10">
        <v>45330</v>
      </c>
      <c r="E122" s="4" t="inlineStr">
        <is>
          <t xml:space="preserve">401000</t>
        </is>
      </c>
      <c r="F122" s="0" t="inlineStr">
        <is>
          <t xml:space="preserve">Fournisseurs</t>
        </is>
      </c>
      <c r="G122" s="0" t="inlineStr">
        <is>
          <t xml:space="preserve">F001-2024022</t>
        </is>
      </c>
      <c r="H122" s="0" t="inlineStr">
        <is>
          <t xml:space="preserve">Facture Scierie du Nord F001-2024022</t>
        </is>
      </c>
      <c r="I122" s="8">
        <v>0</v>
      </c>
      <c r="J122" s="8">
        <v>35715.06</v>
      </c>
      <c r="K122" s="0" t="inlineStr">
        <is>
          <t xml:space="preserve">ABT</t>
        </is>
      </c>
      <c r="L122" s="0" t="inlineStr">
        <is>
          <t xml:space="preserve">Scierie du Nord</t>
        </is>
      </c>
      <c r="M122" s="8">
        <f>I122-J122</f>
      </c>
      <c r="N122" s="0" t="inlineStr">
        <is>
          <t xml:space="preserve">2024-02</t>
        </is>
      </c>
      <c r="O122" s="0">
        <f>INDEX(Journaux!$E$5:$E$18,MATCH("2024|"&amp;A122,Journaux!$A$5:$A$18,0))</f>
      </c>
      <c r="P122" s="0">
        <f>INDEX(Comptes!$H$5:$H$42,MATCH(E122,Comptes!$A$5:$A$42,0))</f>
      </c>
      <c r="Q122" s="0" t="inlineStr">
        <is>
          <t xml:space="preserve">4</t>
        </is>
      </c>
      <c r="R122" s="7" t="inlineStr">
        <is>
          <t xml:space="preserve">401000|F001</t>
        </is>
      </c>
    </row>
    <row r="123">
      <c r="A123" s="4" t="inlineStr">
        <is>
          <t xml:space="preserve">BQ</t>
        </is>
      </c>
      <c r="B123" s="0" t="inlineStr">
        <is>
          <t xml:space="preserve">Banque Fictive</t>
        </is>
      </c>
      <c r="C123" s="0" t="inlineStr">
        <is>
          <t xml:space="preserve">BQ00005</t>
        </is>
      </c>
      <c r="D123" s="10">
        <v>45332</v>
      </c>
      <c r="E123" s="4" t="inlineStr">
        <is>
          <t xml:space="preserve">164000</t>
        </is>
      </c>
      <c r="F123" s="0" t="inlineStr">
        <is>
          <t xml:space="preserve">Emprunts aupres des etablissements de credit</t>
        </is>
      </c>
      <c r="G123" s="0" t="inlineStr">
        <is>
          <t xml:space="preserve">ECH202402</t>
        </is>
      </c>
      <c r="H123" s="0" t="inlineStr">
        <is>
          <t xml:space="preserve">Echeance emprunt 02/2024</t>
        </is>
      </c>
      <c r="I123" s="8">
        <v>2000</v>
      </c>
      <c r="J123" s="8">
        <v>0</v>
      </c>
      <c r="K123" s="0"/>
      <c r="L123" s="0"/>
      <c r="M123" s="8">
        <f>I123-J123</f>
      </c>
      <c r="N123" s="0" t="inlineStr">
        <is>
          <t xml:space="preserve">2024-02</t>
        </is>
      </c>
      <c r="O123" s="0">
        <f>INDEX(Journaux!$E$5:$E$18,MATCH("2024|"&amp;A123,Journaux!$A$5:$A$18,0))</f>
      </c>
      <c r="P123" s="0">
        <f>INDEX(Comptes!$H$5:$H$42,MATCH(E123,Comptes!$A$5:$A$42,0))</f>
      </c>
      <c r="Q123" s="0" t="inlineStr">
        <is>
          <t xml:space="preserve">1</t>
        </is>
      </c>
    </row>
    <row r="124">
      <c r="A124" s="4" t="inlineStr">
        <is>
          <t xml:space="preserve">BQ</t>
        </is>
      </c>
      <c r="B124" s="0" t="inlineStr">
        <is>
          <t xml:space="preserve">Banque Fictive</t>
        </is>
      </c>
      <c r="C124" s="0" t="inlineStr">
        <is>
          <t xml:space="preserve">BQ00005</t>
        </is>
      </c>
      <c r="D124" s="10">
        <v>45332</v>
      </c>
      <c r="E124" s="4" t="inlineStr">
        <is>
          <t xml:space="preserve">661100</t>
        </is>
      </c>
      <c r="F124" s="0" t="inlineStr">
        <is>
          <t xml:space="preserve">Interets des emprunts</t>
        </is>
      </c>
      <c r="G124" s="0" t="inlineStr">
        <is>
          <t xml:space="preserve">ECH202402</t>
        </is>
      </c>
      <c r="H124" s="0" t="inlineStr">
        <is>
          <t xml:space="preserve">Echeance emprunt 02/2024</t>
        </is>
      </c>
      <c r="I124" s="8">
        <v>293.33</v>
      </c>
      <c r="J124" s="8">
        <v>0</v>
      </c>
      <c r="K124" s="0"/>
      <c r="L124" s="0"/>
      <c r="M124" s="8">
        <f>I124-J124</f>
      </c>
      <c r="N124" s="0" t="inlineStr">
        <is>
          <t xml:space="preserve">2024-02</t>
        </is>
      </c>
      <c r="O124" s="0">
        <f>INDEX(Journaux!$E$5:$E$18,MATCH("2024|"&amp;A124,Journaux!$A$5:$A$18,0))</f>
      </c>
      <c r="P124" s="0">
        <f>INDEX(Comptes!$H$5:$H$42,MATCH(E124,Comptes!$A$5:$A$42,0))</f>
      </c>
      <c r="Q124" s="0" t="inlineStr">
        <is>
          <t xml:space="preserve">6</t>
        </is>
      </c>
    </row>
    <row r="125">
      <c r="A125" s="4" t="inlineStr">
        <is>
          <t xml:space="preserve">BQ</t>
        </is>
      </c>
      <c r="B125" s="0" t="inlineStr">
        <is>
          <t xml:space="preserve">Banque Fictive</t>
        </is>
      </c>
      <c r="C125" s="0" t="inlineStr">
        <is>
          <t xml:space="preserve">BQ00005</t>
        </is>
      </c>
      <c r="D125" s="10">
        <v>45332</v>
      </c>
      <c r="E125" s="4" t="inlineStr">
        <is>
          <t xml:space="preserve">512000</t>
        </is>
      </c>
      <c r="F125" s="0" t="inlineStr">
        <is>
          <t xml:space="preserve">Banque Fictive</t>
        </is>
      </c>
      <c r="G125" s="0" t="inlineStr">
        <is>
          <t xml:space="preserve">ECH202402</t>
        </is>
      </c>
      <c r="H125" s="0" t="inlineStr">
        <is>
          <t xml:space="preserve">Echeance emprunt 02/2024</t>
        </is>
      </c>
      <c r="I125" s="8">
        <v>0</v>
      </c>
      <c r="J125" s="8">
        <v>2293.33</v>
      </c>
      <c r="K125" s="0"/>
      <c r="L125" s="0"/>
      <c r="M125" s="8">
        <f>I125-J125</f>
      </c>
      <c r="N125" s="0" t="inlineStr">
        <is>
          <t xml:space="preserve">2024-02</t>
        </is>
      </c>
      <c r="O125" s="0">
        <f>INDEX(Journaux!$E$5:$E$18,MATCH("2024|"&amp;A125,Journaux!$A$5:$A$18,0))</f>
      </c>
      <c r="P125" s="0">
        <f>INDEX(Comptes!$H$5:$H$42,MATCH(E125,Comptes!$A$5:$A$42,0))</f>
      </c>
      <c r="Q125" s="0" t="inlineStr">
        <is>
          <t xml:space="preserve">5</t>
        </is>
      </c>
    </row>
    <row r="126">
      <c r="A126" s="4" t="inlineStr">
        <is>
          <t xml:space="preserve">VT</t>
        </is>
      </c>
      <c r="B126" s="0" t="inlineStr">
        <is>
          <t xml:space="preserve">Journal des ventes</t>
        </is>
      </c>
      <c r="C126" s="0" t="inlineStr">
        <is>
          <t xml:space="preserve">VT00011</t>
        </is>
      </c>
      <c r="D126" s="10">
        <v>45335</v>
      </c>
      <c r="E126" s="4" t="inlineStr">
        <is>
          <t xml:space="preserve">411000</t>
        </is>
      </c>
      <c r="F126" s="0" t="inlineStr">
        <is>
          <t xml:space="preserve">Clients</t>
        </is>
      </c>
      <c r="G126" s="0" t="inlineStr">
        <is>
          <t xml:space="preserve">FA2024-0011</t>
        </is>
      </c>
      <c r="H126" s="0" t="inlineStr">
        <is>
          <t xml:space="preserve">Facture FA2024-0011 Agence Mobilis</t>
        </is>
      </c>
      <c r="I126" s="8">
        <v>47082.47</v>
      </c>
      <c r="J126" s="8">
        <v>0</v>
      </c>
      <c r="K126" s="0" t="inlineStr">
        <is>
          <t xml:space="preserve">AAP</t>
        </is>
      </c>
      <c r="L126" s="0" t="inlineStr">
        <is>
          <t xml:space="preserve">Agence Mobilis</t>
        </is>
      </c>
      <c r="M126" s="8">
        <f>I126-J126</f>
      </c>
      <c r="N126" s="0" t="inlineStr">
        <is>
          <t xml:space="preserve">2024-02</t>
        </is>
      </c>
      <c r="O126" s="0">
        <f>INDEX(Journaux!$E$5:$E$18,MATCH("2024|"&amp;A126,Journaux!$A$5:$A$18,0))</f>
      </c>
      <c r="P126" s="0">
        <f>INDEX(Comptes!$H$5:$H$42,MATCH(E126,Comptes!$A$5:$A$42,0))</f>
      </c>
      <c r="Q126" s="0" t="inlineStr">
        <is>
          <t xml:space="preserve">4</t>
        </is>
      </c>
      <c r="R126" s="7" t="inlineStr">
        <is>
          <t xml:space="preserve">411000|C002</t>
        </is>
      </c>
    </row>
    <row r="127">
      <c r="A127" s="4" t="inlineStr">
        <is>
          <t xml:space="preserve">VT</t>
        </is>
      </c>
      <c r="B127" s="0" t="inlineStr">
        <is>
          <t xml:space="preserve">Journal des ventes</t>
        </is>
      </c>
      <c r="C127" s="0" t="inlineStr">
        <is>
          <t xml:space="preserve">VT00011</t>
        </is>
      </c>
      <c r="D127" s="10">
        <v>45335</v>
      </c>
      <c r="E127" s="4" t="inlineStr">
        <is>
          <t xml:space="preserve">701000</t>
        </is>
      </c>
      <c r="F127" s="0" t="inlineStr">
        <is>
          <t xml:space="preserve">Ventes de produits finis</t>
        </is>
      </c>
      <c r="G127" s="0" t="inlineStr">
        <is>
          <t xml:space="preserve">FA2024-0011</t>
        </is>
      </c>
      <c r="H127" s="0" t="inlineStr">
        <is>
          <t xml:space="preserve">Facture FA2024-0011 Agence Mobilis</t>
        </is>
      </c>
      <c r="I127" s="8">
        <v>0</v>
      </c>
      <c r="J127" s="8">
        <v>39235.39</v>
      </c>
      <c r="K127" s="0"/>
      <c r="L127" s="0"/>
      <c r="M127" s="8">
        <f>I127-J127</f>
      </c>
      <c r="N127" s="0" t="inlineStr">
        <is>
          <t xml:space="preserve">2024-02</t>
        </is>
      </c>
      <c r="O127" s="0">
        <f>INDEX(Journaux!$E$5:$E$18,MATCH("2024|"&amp;A127,Journaux!$A$5:$A$18,0))</f>
      </c>
      <c r="P127" s="0">
        <f>INDEX(Comptes!$H$5:$H$42,MATCH(E127,Comptes!$A$5:$A$42,0))</f>
      </c>
      <c r="Q127" s="0" t="inlineStr">
        <is>
          <t xml:space="preserve">7</t>
        </is>
      </c>
    </row>
    <row r="128">
      <c r="A128" s="4" t="inlineStr">
        <is>
          <t xml:space="preserve">VT</t>
        </is>
      </c>
      <c r="B128" s="0" t="inlineStr">
        <is>
          <t xml:space="preserve">Journal des ventes</t>
        </is>
      </c>
      <c r="C128" s="0" t="inlineStr">
        <is>
          <t xml:space="preserve">VT00011</t>
        </is>
      </c>
      <c r="D128" s="10">
        <v>45335</v>
      </c>
      <c r="E128" s="4" t="inlineStr">
        <is>
          <t xml:space="preserve">445710</t>
        </is>
      </c>
      <c r="F128" s="0" t="inlineStr">
        <is>
          <t xml:space="preserve">TVA collectee</t>
        </is>
      </c>
      <c r="G128" s="0" t="inlineStr">
        <is>
          <t xml:space="preserve">FA2024-0011</t>
        </is>
      </c>
      <c r="H128" s="0" t="inlineStr">
        <is>
          <t xml:space="preserve">Facture FA2024-0011 Agence Mobilis</t>
        </is>
      </c>
      <c r="I128" s="8">
        <v>0</v>
      </c>
      <c r="J128" s="8">
        <v>7847.08</v>
      </c>
      <c r="K128" s="0"/>
      <c r="L128" s="0"/>
      <c r="M128" s="8">
        <f>I128-J128</f>
      </c>
      <c r="N128" s="0" t="inlineStr">
        <is>
          <t xml:space="preserve">2024-02</t>
        </is>
      </c>
      <c r="O128" s="0">
        <f>INDEX(Journaux!$E$5:$E$18,MATCH("2024|"&amp;A128,Journaux!$A$5:$A$18,0))</f>
      </c>
      <c r="P128" s="0">
        <f>INDEX(Comptes!$H$5:$H$42,MATCH(E128,Comptes!$A$5:$A$42,0))</f>
      </c>
      <c r="Q128" s="0" t="inlineStr">
        <is>
          <t xml:space="preserve">4</t>
        </is>
      </c>
    </row>
    <row r="129">
      <c r="A129" s="4" t="inlineStr">
        <is>
          <t xml:space="preserve">BQ</t>
        </is>
      </c>
      <c r="B129" s="0" t="inlineStr">
        <is>
          <t xml:space="preserve">Banque Fictive</t>
        </is>
      </c>
      <c r="C129" s="0" t="inlineStr">
        <is>
          <t xml:space="preserve">BQ00039</t>
        </is>
      </c>
      <c r="D129" s="10">
        <v>45337</v>
      </c>
      <c r="E129" s="4" t="inlineStr">
        <is>
          <t xml:space="preserve">431000</t>
        </is>
      </c>
      <c r="F129" s="0" t="inlineStr">
        <is>
          <t xml:space="preserve">Securite sociale</t>
        </is>
      </c>
      <c r="G129" s="0" t="inlineStr">
        <is>
          <t xml:space="preserve">URSSAF202401</t>
        </is>
      </c>
      <c r="H129" s="0" t="inlineStr">
        <is>
          <t xml:space="preserve">Reglement URSSAF 01/2024</t>
        </is>
      </c>
      <c r="I129" s="8">
        <v>33742.58</v>
      </c>
      <c r="J129" s="8">
        <v>0</v>
      </c>
      <c r="K129" s="0"/>
      <c r="L129" s="0"/>
      <c r="M129" s="8">
        <f>I129-J129</f>
      </c>
      <c r="N129" s="0" t="inlineStr">
        <is>
          <t xml:space="preserve">2024-02</t>
        </is>
      </c>
      <c r="O129" s="0">
        <f>INDEX(Journaux!$E$5:$E$18,MATCH("2024|"&amp;A129,Journaux!$A$5:$A$18,0))</f>
      </c>
      <c r="P129" s="0">
        <f>INDEX(Comptes!$H$5:$H$42,MATCH(E129,Comptes!$A$5:$A$42,0))</f>
      </c>
      <c r="Q129" s="0" t="inlineStr">
        <is>
          <t xml:space="preserve">4</t>
        </is>
      </c>
    </row>
    <row r="130">
      <c r="A130" s="4" t="inlineStr">
        <is>
          <t xml:space="preserve">BQ</t>
        </is>
      </c>
      <c r="B130" s="0" t="inlineStr">
        <is>
          <t xml:space="preserve">Banque Fictive</t>
        </is>
      </c>
      <c r="C130" s="0" t="inlineStr">
        <is>
          <t xml:space="preserve">BQ00039</t>
        </is>
      </c>
      <c r="D130" s="10">
        <v>45337</v>
      </c>
      <c r="E130" s="4" t="inlineStr">
        <is>
          <t xml:space="preserve">512000</t>
        </is>
      </c>
      <c r="F130" s="0" t="inlineStr">
        <is>
          <t xml:space="preserve">Banque Fictive</t>
        </is>
      </c>
      <c r="G130" s="0" t="inlineStr">
        <is>
          <t xml:space="preserve">URSSAF202401</t>
        </is>
      </c>
      <c r="H130" s="0" t="inlineStr">
        <is>
          <t xml:space="preserve">Reglement URSSAF 01/2024</t>
        </is>
      </c>
      <c r="I130" s="8">
        <v>0</v>
      </c>
      <c r="J130" s="8">
        <v>33742.58</v>
      </c>
      <c r="K130" s="0"/>
      <c r="L130" s="0"/>
      <c r="M130" s="8">
        <f>I130-J130</f>
      </c>
      <c r="N130" s="0" t="inlineStr">
        <is>
          <t xml:space="preserve">2024-02</t>
        </is>
      </c>
      <c r="O130" s="0">
        <f>INDEX(Journaux!$E$5:$E$18,MATCH("2024|"&amp;A130,Journaux!$A$5:$A$18,0))</f>
      </c>
      <c r="P130" s="0">
        <f>INDEX(Comptes!$H$5:$H$42,MATCH(E130,Comptes!$A$5:$A$42,0))</f>
      </c>
      <c r="Q130" s="0" t="inlineStr">
        <is>
          <t xml:space="preserve">5</t>
        </is>
      </c>
    </row>
    <row r="131">
      <c r="A131" s="4" t="inlineStr">
        <is>
          <t xml:space="preserve">BQ</t>
        </is>
      </c>
      <c r="B131" s="0" t="inlineStr">
        <is>
          <t xml:space="preserve">Banque Fictive</t>
        </is>
      </c>
      <c r="C131" s="0" t="inlineStr">
        <is>
          <t xml:space="preserve">BQ00070</t>
        </is>
      </c>
      <c r="D131" s="10">
        <v>45338</v>
      </c>
      <c r="E131" s="4" t="inlineStr">
        <is>
          <t xml:space="preserve">512000</t>
        </is>
      </c>
      <c r="F131" s="0" t="inlineStr">
        <is>
          <t xml:space="preserve">Banque Fictive</t>
        </is>
      </c>
      <c r="G131" s="0" t="inlineStr">
        <is>
          <t xml:space="preserve">ENC-FA2024-0005</t>
        </is>
      </c>
      <c r="H131" s="0" t="inlineStr">
        <is>
          <t xml:space="preserve">Reglement client Boutique Hetre et Chene FA2024-0005</t>
        </is>
      </c>
      <c r="I131" s="8">
        <v>22023.36</v>
      </c>
      <c r="J131" s="8">
        <v>0</v>
      </c>
      <c r="K131" s="0"/>
      <c r="L131" s="0"/>
      <c r="M131" s="8">
        <f>I131-J131</f>
      </c>
      <c r="N131" s="0" t="inlineStr">
        <is>
          <t xml:space="preserve">2024-02</t>
        </is>
      </c>
      <c r="O131" s="0">
        <f>INDEX(Journaux!$E$5:$E$18,MATCH("2024|"&amp;A131,Journaux!$A$5:$A$18,0))</f>
      </c>
      <c r="P131" s="0">
        <f>INDEX(Comptes!$H$5:$H$42,MATCH(E131,Comptes!$A$5:$A$42,0))</f>
      </c>
      <c r="Q131" s="0" t="inlineStr">
        <is>
          <t xml:space="preserve">5</t>
        </is>
      </c>
    </row>
    <row r="132">
      <c r="A132" s="4" t="inlineStr">
        <is>
          <t xml:space="preserve">BQ</t>
        </is>
      </c>
      <c r="B132" s="0" t="inlineStr">
        <is>
          <t xml:space="preserve">Banque Fictive</t>
        </is>
      </c>
      <c r="C132" s="0" t="inlineStr">
        <is>
          <t xml:space="preserve">BQ00070</t>
        </is>
      </c>
      <c r="D132" s="10">
        <v>45338</v>
      </c>
      <c r="E132" s="4" t="inlineStr">
        <is>
          <t xml:space="preserve">411000</t>
        </is>
      </c>
      <c r="F132" s="0" t="inlineStr">
        <is>
          <t xml:space="preserve">Clients</t>
        </is>
      </c>
      <c r="G132" s="0" t="inlineStr">
        <is>
          <t xml:space="preserve">ENC-FA2024-0005</t>
        </is>
      </c>
      <c r="H132" s="0" t="inlineStr">
        <is>
          <t xml:space="preserve">Reglement client Boutique Hetre et Chene FA2024-0005</t>
        </is>
      </c>
      <c r="I132" s="8">
        <v>0</v>
      </c>
      <c r="J132" s="8">
        <v>22023.36</v>
      </c>
      <c r="K132" s="0" t="inlineStr">
        <is>
          <t xml:space="preserve">AAJ</t>
        </is>
      </c>
      <c r="L132" s="0" t="inlineStr">
        <is>
          <t xml:space="preserve">Boutique Hetre et Chene</t>
        </is>
      </c>
      <c r="M132" s="8">
        <f>I132-J132</f>
      </c>
      <c r="N132" s="0" t="inlineStr">
        <is>
          <t xml:space="preserve">2024-02</t>
        </is>
      </c>
      <c r="O132" s="0">
        <f>INDEX(Journaux!$E$5:$E$18,MATCH("2024|"&amp;A132,Journaux!$A$5:$A$18,0))</f>
      </c>
      <c r="P132" s="0">
        <f>INDEX(Comptes!$H$5:$H$42,MATCH(E132,Comptes!$A$5:$A$42,0))</f>
      </c>
      <c r="Q132" s="0" t="inlineStr">
        <is>
          <t xml:space="preserve">4</t>
        </is>
      </c>
      <c r="R132" s="7" t="inlineStr">
        <is>
          <t xml:space="preserve">411000|C007</t>
        </is>
      </c>
    </row>
    <row r="133">
      <c r="A133" s="4" t="inlineStr">
        <is>
          <t xml:space="preserve">BQ</t>
        </is>
      </c>
      <c r="B133" s="0" t="inlineStr">
        <is>
          <t xml:space="preserve">Banque Fictive</t>
        </is>
      </c>
      <c r="C133" s="0" t="inlineStr">
        <is>
          <t xml:space="preserve">BQ00068</t>
        </is>
      </c>
      <c r="D133" s="10">
        <v>45341</v>
      </c>
      <c r="E133" s="4" t="inlineStr">
        <is>
          <t xml:space="preserve">512000</t>
        </is>
      </c>
      <c r="F133" s="0" t="inlineStr">
        <is>
          <t xml:space="preserve">Banque Fictive</t>
        </is>
      </c>
      <c r="G133" s="0" t="inlineStr">
        <is>
          <t xml:space="preserve">ENC-FA2024-0003</t>
        </is>
      </c>
      <c r="H133" s="0" t="inlineStr">
        <is>
          <t xml:space="preserve">Reglement client Cabinet Varenne Associes FA2024-0003</t>
        </is>
      </c>
      <c r="I133" s="8">
        <v>25702.04</v>
      </c>
      <c r="J133" s="8">
        <v>0</v>
      </c>
      <c r="K133" s="0"/>
      <c r="L133" s="0"/>
      <c r="M133" s="8">
        <f>I133-J133</f>
      </c>
      <c r="N133" s="0" t="inlineStr">
        <is>
          <t xml:space="preserve">2024-02</t>
        </is>
      </c>
      <c r="O133" s="0">
        <f>INDEX(Journaux!$E$5:$E$18,MATCH("2024|"&amp;A133,Journaux!$A$5:$A$18,0))</f>
      </c>
      <c r="P133" s="0">
        <f>INDEX(Comptes!$H$5:$H$42,MATCH(E133,Comptes!$A$5:$A$42,0))</f>
      </c>
      <c r="Q133" s="0" t="inlineStr">
        <is>
          <t xml:space="preserve">5</t>
        </is>
      </c>
    </row>
    <row r="134">
      <c r="A134" s="4" t="inlineStr">
        <is>
          <t xml:space="preserve">BQ</t>
        </is>
      </c>
      <c r="B134" s="0" t="inlineStr">
        <is>
          <t xml:space="preserve">Banque Fictive</t>
        </is>
      </c>
      <c r="C134" s="0" t="inlineStr">
        <is>
          <t xml:space="preserve">BQ00068</t>
        </is>
      </c>
      <c r="D134" s="10">
        <v>45341</v>
      </c>
      <c r="E134" s="4" t="inlineStr">
        <is>
          <t xml:space="preserve">411000</t>
        </is>
      </c>
      <c r="F134" s="0" t="inlineStr">
        <is>
          <t xml:space="preserve">Clients</t>
        </is>
      </c>
      <c r="G134" s="0" t="inlineStr">
        <is>
          <t xml:space="preserve">ENC-FA2024-0003</t>
        </is>
      </c>
      <c r="H134" s="0" t="inlineStr">
        <is>
          <t xml:space="preserve">Reglement client Cabinet Varenne Associes FA2024-0003</t>
        </is>
      </c>
      <c r="I134" s="8">
        <v>0</v>
      </c>
      <c r="J134" s="8">
        <v>25702.04</v>
      </c>
      <c r="K134" s="0" t="inlineStr">
        <is>
          <t xml:space="preserve">AAH</t>
        </is>
      </c>
      <c r="L134" s="0" t="inlineStr">
        <is>
          <t xml:space="preserve">Cabinet Varenne Associes</t>
        </is>
      </c>
      <c r="M134" s="8">
        <f>I134-J134</f>
      </c>
      <c r="N134" s="0" t="inlineStr">
        <is>
          <t xml:space="preserve">2024-02</t>
        </is>
      </c>
      <c r="O134" s="0">
        <f>INDEX(Journaux!$E$5:$E$18,MATCH("2024|"&amp;A134,Journaux!$A$5:$A$18,0))</f>
      </c>
      <c r="P134" s="0">
        <f>INDEX(Comptes!$H$5:$H$42,MATCH(E134,Comptes!$A$5:$A$42,0))</f>
      </c>
      <c r="Q134" s="0" t="inlineStr">
        <is>
          <t xml:space="preserve">4</t>
        </is>
      </c>
      <c r="R134" s="7" t="inlineStr">
        <is>
          <t xml:space="preserve">411000|C004</t>
        </is>
      </c>
    </row>
    <row r="135">
      <c r="A135" s="4" t="inlineStr">
        <is>
          <t xml:space="preserve">BQ</t>
        </is>
      </c>
      <c r="B135" s="0" t="inlineStr">
        <is>
          <t xml:space="preserve">Banque Fictive</t>
        </is>
      </c>
      <c r="C135" s="0" t="inlineStr">
        <is>
          <t xml:space="preserve">BQ00069</t>
        </is>
      </c>
      <c r="D135" s="10">
        <v>45341</v>
      </c>
      <c r="E135" s="4" t="inlineStr">
        <is>
          <t xml:space="preserve">512000</t>
        </is>
      </c>
      <c r="F135" s="0" t="inlineStr">
        <is>
          <t xml:space="preserve">Banque Fictive</t>
        </is>
      </c>
      <c r="G135" s="0" t="inlineStr">
        <is>
          <t xml:space="preserve">ENC-FA2024-0004</t>
        </is>
      </c>
      <c r="H135" s="0" t="inlineStr">
        <is>
          <t xml:space="preserve">Reglement client Hotel Les Tilleuls FA2024-0004</t>
        </is>
      </c>
      <c r="I135" s="8">
        <v>22980.32</v>
      </c>
      <c r="J135" s="8">
        <v>0</v>
      </c>
      <c r="K135" s="0"/>
      <c r="L135" s="0"/>
      <c r="M135" s="8">
        <f>I135-J135</f>
      </c>
      <c r="N135" s="0" t="inlineStr">
        <is>
          <t xml:space="preserve">2024-02</t>
        </is>
      </c>
      <c r="O135" s="0">
        <f>INDEX(Journaux!$E$5:$E$18,MATCH("2024|"&amp;A135,Journaux!$A$5:$A$18,0))</f>
      </c>
      <c r="P135" s="0">
        <f>INDEX(Comptes!$H$5:$H$42,MATCH(E135,Comptes!$A$5:$A$42,0))</f>
      </c>
      <c r="Q135" s="0" t="inlineStr">
        <is>
          <t xml:space="preserve">5</t>
        </is>
      </c>
    </row>
    <row r="136">
      <c r="A136" s="4" t="inlineStr">
        <is>
          <t xml:space="preserve">BQ</t>
        </is>
      </c>
      <c r="B136" s="0" t="inlineStr">
        <is>
          <t xml:space="preserve">Banque Fictive</t>
        </is>
      </c>
      <c r="C136" s="0" t="inlineStr">
        <is>
          <t xml:space="preserve">BQ00069</t>
        </is>
      </c>
      <c r="D136" s="10">
        <v>45341</v>
      </c>
      <c r="E136" s="4" t="inlineStr">
        <is>
          <t xml:space="preserve">411000</t>
        </is>
      </c>
      <c r="F136" s="0" t="inlineStr">
        <is>
          <t xml:space="preserve">Clients</t>
        </is>
      </c>
      <c r="G136" s="0" t="inlineStr">
        <is>
          <t xml:space="preserve">ENC-FA2024-0004</t>
        </is>
      </c>
      <c r="H136" s="0" t="inlineStr">
        <is>
          <t xml:space="preserve">Reglement client Hotel Les Tilleuls FA2024-0004</t>
        </is>
      </c>
      <c r="I136" s="8">
        <v>0</v>
      </c>
      <c r="J136" s="8">
        <v>22980.32</v>
      </c>
      <c r="K136" s="0" t="inlineStr">
        <is>
          <t xml:space="preserve">AAI</t>
        </is>
      </c>
      <c r="L136" s="0" t="inlineStr">
        <is>
          <t xml:space="preserve">Hotel Les Tilleuls</t>
        </is>
      </c>
      <c r="M136" s="8">
        <f>I136-J136</f>
      </c>
      <c r="N136" s="0" t="inlineStr">
        <is>
          <t xml:space="preserve">2024-02</t>
        </is>
      </c>
      <c r="O136" s="0">
        <f>INDEX(Journaux!$E$5:$E$18,MATCH("2024|"&amp;A136,Journaux!$A$5:$A$18,0))</f>
      </c>
      <c r="P136" s="0">
        <f>INDEX(Comptes!$H$5:$H$42,MATCH(E136,Comptes!$A$5:$A$42,0))</f>
      </c>
      <c r="Q136" s="0" t="inlineStr">
        <is>
          <t xml:space="preserve">4</t>
        </is>
      </c>
      <c r="R136" s="7" t="inlineStr">
        <is>
          <t xml:space="preserve">411000|C001</t>
        </is>
      </c>
    </row>
    <row r="137">
      <c r="A137" s="4" t="inlineStr">
        <is>
          <t xml:space="preserve">VT</t>
        </is>
      </c>
      <c r="B137" s="0" t="inlineStr">
        <is>
          <t xml:space="preserve">Journal des ventes</t>
        </is>
      </c>
      <c r="C137" s="0" t="inlineStr">
        <is>
          <t xml:space="preserve">VT00008</t>
        </is>
      </c>
      <c r="D137" s="10">
        <v>45341</v>
      </c>
      <c r="E137" s="4" t="inlineStr">
        <is>
          <t xml:space="preserve">411000</t>
        </is>
      </c>
      <c r="F137" s="0" t="inlineStr">
        <is>
          <t xml:space="preserve">Clients</t>
        </is>
      </c>
      <c r="G137" s="0" t="inlineStr">
        <is>
          <t xml:space="preserve">FA2024-0008</t>
        </is>
      </c>
      <c r="H137" s="0" t="inlineStr">
        <is>
          <t xml:space="preserve">Facture FA2024-0008 Clinique du Parc</t>
        </is>
      </c>
      <c r="I137" s="8">
        <v>22339.12</v>
      </c>
      <c r="J137" s="8">
        <v>0</v>
      </c>
      <c r="K137" s="0" t="inlineStr">
        <is>
          <t xml:space="preserve">AAM</t>
        </is>
      </c>
      <c r="L137" s="0" t="inlineStr">
        <is>
          <t xml:space="preserve">Clinique du Parc</t>
        </is>
      </c>
      <c r="M137" s="8">
        <f>I137-J137</f>
      </c>
      <c r="N137" s="0" t="inlineStr">
        <is>
          <t xml:space="preserve">2024-02</t>
        </is>
      </c>
      <c r="O137" s="0">
        <f>INDEX(Journaux!$E$5:$E$18,MATCH("2024|"&amp;A137,Journaux!$A$5:$A$18,0))</f>
      </c>
      <c r="P137" s="0">
        <f>INDEX(Comptes!$H$5:$H$42,MATCH(E137,Comptes!$A$5:$A$42,0))</f>
      </c>
      <c r="Q137" s="0" t="inlineStr">
        <is>
          <t xml:space="preserve">4</t>
        </is>
      </c>
      <c r="R137" s="7" t="inlineStr">
        <is>
          <t xml:space="preserve">411000|C006</t>
        </is>
      </c>
    </row>
    <row r="138">
      <c r="A138" s="4" t="inlineStr">
        <is>
          <t xml:space="preserve">VT</t>
        </is>
      </c>
      <c r="B138" s="0" t="inlineStr">
        <is>
          <t xml:space="preserve">Journal des ventes</t>
        </is>
      </c>
      <c r="C138" s="0" t="inlineStr">
        <is>
          <t xml:space="preserve">VT00008</t>
        </is>
      </c>
      <c r="D138" s="10">
        <v>45341</v>
      </c>
      <c r="E138" s="4" t="inlineStr">
        <is>
          <t xml:space="preserve">701000</t>
        </is>
      </c>
      <c r="F138" s="0" t="inlineStr">
        <is>
          <t xml:space="preserve">Ventes de produits finis</t>
        </is>
      </c>
      <c r="G138" s="0" t="inlineStr">
        <is>
          <t xml:space="preserve">FA2024-0008</t>
        </is>
      </c>
      <c r="H138" s="0" t="inlineStr">
        <is>
          <t xml:space="preserve">Facture FA2024-0008 Clinique du Parc</t>
        </is>
      </c>
      <c r="I138" s="8">
        <v>0</v>
      </c>
      <c r="J138" s="8">
        <v>18615.93</v>
      </c>
      <c r="K138" s="0"/>
      <c r="L138" s="0"/>
      <c r="M138" s="8">
        <f>I138-J138</f>
      </c>
      <c r="N138" s="0" t="inlineStr">
        <is>
          <t xml:space="preserve">2024-02</t>
        </is>
      </c>
      <c r="O138" s="0">
        <f>INDEX(Journaux!$E$5:$E$18,MATCH("2024|"&amp;A138,Journaux!$A$5:$A$18,0))</f>
      </c>
      <c r="P138" s="0">
        <f>INDEX(Comptes!$H$5:$H$42,MATCH(E138,Comptes!$A$5:$A$42,0))</f>
      </c>
      <c r="Q138" s="0" t="inlineStr">
        <is>
          <t xml:space="preserve">7</t>
        </is>
      </c>
    </row>
    <row r="139">
      <c r="A139" s="4" t="inlineStr">
        <is>
          <t xml:space="preserve">VT</t>
        </is>
      </c>
      <c r="B139" s="0" t="inlineStr">
        <is>
          <t xml:space="preserve">Journal des ventes</t>
        </is>
      </c>
      <c r="C139" s="0" t="inlineStr">
        <is>
          <t xml:space="preserve">VT00008</t>
        </is>
      </c>
      <c r="D139" s="10">
        <v>45341</v>
      </c>
      <c r="E139" s="4" t="inlineStr">
        <is>
          <t xml:space="preserve">445710</t>
        </is>
      </c>
      <c r="F139" s="0" t="inlineStr">
        <is>
          <t xml:space="preserve">TVA collectee</t>
        </is>
      </c>
      <c r="G139" s="0" t="inlineStr">
        <is>
          <t xml:space="preserve">FA2024-0008</t>
        </is>
      </c>
      <c r="H139" s="0" t="inlineStr">
        <is>
          <t xml:space="preserve">Facture FA2024-0008 Clinique du Parc</t>
        </is>
      </c>
      <c r="I139" s="8">
        <v>0</v>
      </c>
      <c r="J139" s="8">
        <v>3723.19</v>
      </c>
      <c r="K139" s="0"/>
      <c r="L139" s="0"/>
      <c r="M139" s="8">
        <f>I139-J139</f>
      </c>
      <c r="N139" s="0" t="inlineStr">
        <is>
          <t xml:space="preserve">2024-02</t>
        </is>
      </c>
      <c r="O139" s="0">
        <f>INDEX(Journaux!$E$5:$E$18,MATCH("2024|"&amp;A139,Journaux!$A$5:$A$18,0))</f>
      </c>
      <c r="P139" s="0">
        <f>INDEX(Comptes!$H$5:$H$42,MATCH(E139,Comptes!$A$5:$A$42,0))</f>
      </c>
      <c r="Q139" s="0" t="inlineStr">
        <is>
          <t xml:space="preserve">4</t>
        </is>
      </c>
    </row>
    <row r="140">
      <c r="A140" s="4" t="inlineStr">
        <is>
          <t xml:space="preserve">BQ</t>
        </is>
      </c>
      <c r="B140" s="0" t="inlineStr">
        <is>
          <t xml:space="preserve">Banque Fictive</t>
        </is>
      </c>
      <c r="C140" s="0" t="inlineStr">
        <is>
          <t xml:space="preserve">BQ00040</t>
        </is>
      </c>
      <c r="D140" s="10">
        <v>45342</v>
      </c>
      <c r="E140" s="4" t="inlineStr">
        <is>
          <t xml:space="preserve">445510</t>
        </is>
      </c>
      <c r="F140" s="0" t="inlineStr">
        <is>
          <t xml:space="preserve">TVA a decaisser</t>
        </is>
      </c>
      <c r="G140" s="0" t="inlineStr">
        <is>
          <t xml:space="preserve">TVA202401</t>
        </is>
      </c>
      <c r="H140" s="0" t="inlineStr">
        <is>
          <t xml:space="preserve">Reglement TVA 01/2024</t>
        </is>
      </c>
      <c r="I140" s="8">
        <v>14131.22</v>
      </c>
      <c r="J140" s="8">
        <v>0</v>
      </c>
      <c r="K140" s="0"/>
      <c r="L140" s="0"/>
      <c r="M140" s="8">
        <f>I140-J140</f>
      </c>
      <c r="N140" s="0" t="inlineStr">
        <is>
          <t xml:space="preserve">2024-02</t>
        </is>
      </c>
      <c r="O140" s="0">
        <f>INDEX(Journaux!$E$5:$E$18,MATCH("2024|"&amp;A140,Journaux!$A$5:$A$18,0))</f>
      </c>
      <c r="P140" s="0">
        <f>INDEX(Comptes!$H$5:$H$42,MATCH(E140,Comptes!$A$5:$A$42,0))</f>
      </c>
      <c r="Q140" s="0" t="inlineStr">
        <is>
          <t xml:space="preserve">4</t>
        </is>
      </c>
    </row>
    <row r="141">
      <c r="A141" s="4" t="inlineStr">
        <is>
          <t xml:space="preserve">BQ</t>
        </is>
      </c>
      <c r="B141" s="0" t="inlineStr">
        <is>
          <t xml:space="preserve">Banque Fictive</t>
        </is>
      </c>
      <c r="C141" s="0" t="inlineStr">
        <is>
          <t xml:space="preserve">BQ00040</t>
        </is>
      </c>
      <c r="D141" s="10">
        <v>45342</v>
      </c>
      <c r="E141" s="4" t="inlineStr">
        <is>
          <t xml:space="preserve">512000</t>
        </is>
      </c>
      <c r="F141" s="0" t="inlineStr">
        <is>
          <t xml:space="preserve">Banque Fictive</t>
        </is>
      </c>
      <c r="G141" s="0" t="inlineStr">
        <is>
          <t xml:space="preserve">TVA202401</t>
        </is>
      </c>
      <c r="H141" s="0" t="inlineStr">
        <is>
          <t xml:space="preserve">Reglement TVA 01/2024</t>
        </is>
      </c>
      <c r="I141" s="8">
        <v>0</v>
      </c>
      <c r="J141" s="8">
        <v>14131.22</v>
      </c>
      <c r="K141" s="0"/>
      <c r="L141" s="0"/>
      <c r="M141" s="8">
        <f>I141-J141</f>
      </c>
      <c r="N141" s="0" t="inlineStr">
        <is>
          <t xml:space="preserve">2024-02</t>
        </is>
      </c>
      <c r="O141" s="0">
        <f>INDEX(Journaux!$E$5:$E$18,MATCH("2024|"&amp;A141,Journaux!$A$5:$A$18,0))</f>
      </c>
      <c r="P141" s="0">
        <f>INDEX(Comptes!$H$5:$H$42,MATCH(E141,Comptes!$A$5:$A$42,0))</f>
      </c>
      <c r="Q141" s="0" t="inlineStr">
        <is>
          <t xml:space="preserve">5</t>
        </is>
      </c>
    </row>
    <row r="142">
      <c r="A142" s="4" t="inlineStr">
        <is>
          <t xml:space="preserve">BQ</t>
        </is>
      </c>
      <c r="B142" s="0" t="inlineStr">
        <is>
          <t xml:space="preserve">Banque Fictive</t>
        </is>
      </c>
      <c r="C142" s="0" t="inlineStr">
        <is>
          <t xml:space="preserve">BQ00071</t>
        </is>
      </c>
      <c r="D142" s="10">
        <v>45342</v>
      </c>
      <c r="E142" s="4" t="inlineStr">
        <is>
          <t xml:space="preserve">512000</t>
        </is>
      </c>
      <c r="F142" s="0" t="inlineStr">
        <is>
          <t xml:space="preserve">Banque Fictive</t>
        </is>
      </c>
      <c r="G142" s="0" t="inlineStr">
        <is>
          <t xml:space="preserve">ENC-FA2024-0006</t>
        </is>
      </c>
      <c r="H142" s="0" t="inlineStr">
        <is>
          <t xml:space="preserve">Reglement client Restaurant Le Comptoir FA2024-0006</t>
        </is>
      </c>
      <c r="I142" s="8">
        <v>38509.92</v>
      </c>
      <c r="J142" s="8">
        <v>0</v>
      </c>
      <c r="K142" s="0"/>
      <c r="L142" s="0"/>
      <c r="M142" s="8">
        <f>I142-J142</f>
      </c>
      <c r="N142" s="0" t="inlineStr">
        <is>
          <t xml:space="preserve">2024-02</t>
        </is>
      </c>
      <c r="O142" s="0">
        <f>INDEX(Journaux!$E$5:$E$18,MATCH("2024|"&amp;A142,Journaux!$A$5:$A$18,0))</f>
      </c>
      <c r="P142" s="0">
        <f>INDEX(Comptes!$H$5:$H$42,MATCH(E142,Comptes!$A$5:$A$42,0))</f>
      </c>
      <c r="Q142" s="0" t="inlineStr">
        <is>
          <t xml:space="preserve">5</t>
        </is>
      </c>
    </row>
    <row r="143">
      <c r="A143" s="4" t="inlineStr">
        <is>
          <t xml:space="preserve">BQ</t>
        </is>
      </c>
      <c r="B143" s="0" t="inlineStr">
        <is>
          <t xml:space="preserve">Banque Fictive</t>
        </is>
      </c>
      <c r="C143" s="0" t="inlineStr">
        <is>
          <t xml:space="preserve">BQ00071</t>
        </is>
      </c>
      <c r="D143" s="10">
        <v>45342</v>
      </c>
      <c r="E143" s="4" t="inlineStr">
        <is>
          <t xml:space="preserve">411000</t>
        </is>
      </c>
      <c r="F143" s="0" t="inlineStr">
        <is>
          <t xml:space="preserve">Clients</t>
        </is>
      </c>
      <c r="G143" s="0" t="inlineStr">
        <is>
          <t xml:space="preserve">ENC-FA2024-0006</t>
        </is>
      </c>
      <c r="H143" s="0" t="inlineStr">
        <is>
          <t xml:space="preserve">Reglement client Restaurant Le Comptoir FA2024-0006</t>
        </is>
      </c>
      <c r="I143" s="8">
        <v>0</v>
      </c>
      <c r="J143" s="8">
        <v>38509.92</v>
      </c>
      <c r="K143" s="0" t="inlineStr">
        <is>
          <t xml:space="preserve">AAK</t>
        </is>
      </c>
      <c r="L143" s="0" t="inlineStr">
        <is>
          <t xml:space="preserve">Restaurant Le Comptoir</t>
        </is>
      </c>
      <c r="M143" s="8">
        <f>I143-J143</f>
      </c>
      <c r="N143" s="0" t="inlineStr">
        <is>
          <t xml:space="preserve">2024-02</t>
        </is>
      </c>
      <c r="O143" s="0">
        <f>INDEX(Journaux!$E$5:$E$18,MATCH("2024|"&amp;A143,Journaux!$A$5:$A$18,0))</f>
      </c>
      <c r="P143" s="0">
        <f>INDEX(Comptes!$H$5:$H$42,MATCH(E143,Comptes!$A$5:$A$42,0))</f>
      </c>
      <c r="Q143" s="0" t="inlineStr">
        <is>
          <t xml:space="preserve">4</t>
        </is>
      </c>
      <c r="R143" s="7" t="inlineStr">
        <is>
          <t xml:space="preserve">411000|C005</t>
        </is>
      </c>
    </row>
    <row r="144">
      <c r="A144" s="4" t="inlineStr">
        <is>
          <t xml:space="preserve">VT</t>
        </is>
      </c>
      <c r="B144" s="0" t="inlineStr">
        <is>
          <t xml:space="preserve">Journal des ventes</t>
        </is>
      </c>
      <c r="C144" s="0" t="inlineStr">
        <is>
          <t xml:space="preserve">VT00012</t>
        </is>
      </c>
      <c r="D144" s="10">
        <v>45343</v>
      </c>
      <c r="E144" s="4" t="inlineStr">
        <is>
          <t xml:space="preserve">411000</t>
        </is>
      </c>
      <c r="F144" s="0" t="inlineStr">
        <is>
          <t xml:space="preserve">Clients</t>
        </is>
      </c>
      <c r="G144" s="0" t="inlineStr">
        <is>
          <t xml:space="preserve">FA2024-0012</t>
        </is>
      </c>
      <c r="H144" s="0" t="inlineStr">
        <is>
          <t xml:space="preserve">Facture FA2024-0012 Coworking Atelier 9</t>
        </is>
      </c>
      <c r="I144" s="8">
        <v>23334.37</v>
      </c>
      <c r="J144" s="8">
        <v>0</v>
      </c>
      <c r="K144" s="0" t="inlineStr">
        <is>
          <t xml:space="preserve">AAQ</t>
        </is>
      </c>
      <c r="L144" s="0" t="inlineStr">
        <is>
          <t xml:space="preserve">Coworking Atelier 9</t>
        </is>
      </c>
      <c r="M144" s="8">
        <f>I144-J144</f>
      </c>
      <c r="N144" s="0" t="inlineStr">
        <is>
          <t xml:space="preserve">2024-02</t>
        </is>
      </c>
      <c r="O144" s="0">
        <f>INDEX(Journaux!$E$5:$E$18,MATCH("2024|"&amp;A144,Journaux!$A$5:$A$18,0))</f>
      </c>
      <c r="P144" s="0">
        <f>INDEX(Comptes!$H$5:$H$42,MATCH(E144,Comptes!$A$5:$A$42,0))</f>
      </c>
      <c r="Q144" s="0" t="inlineStr">
        <is>
          <t xml:space="preserve">4</t>
        </is>
      </c>
      <c r="R144" s="7" t="inlineStr">
        <is>
          <t xml:space="preserve">411000|C008</t>
        </is>
      </c>
    </row>
    <row r="145">
      <c r="A145" s="4" t="inlineStr">
        <is>
          <t xml:space="preserve">VT</t>
        </is>
      </c>
      <c r="B145" s="0" t="inlineStr">
        <is>
          <t xml:space="preserve">Journal des ventes</t>
        </is>
      </c>
      <c r="C145" s="0" t="inlineStr">
        <is>
          <t xml:space="preserve">VT00012</t>
        </is>
      </c>
      <c r="D145" s="10">
        <v>45343</v>
      </c>
      <c r="E145" s="4" t="inlineStr">
        <is>
          <t xml:space="preserve">701000</t>
        </is>
      </c>
      <c r="F145" s="0" t="inlineStr">
        <is>
          <t xml:space="preserve">Ventes de produits finis</t>
        </is>
      </c>
      <c r="G145" s="0" t="inlineStr">
        <is>
          <t xml:space="preserve">FA2024-0012</t>
        </is>
      </c>
      <c r="H145" s="0" t="inlineStr">
        <is>
          <t xml:space="preserve">Facture FA2024-0012 Coworking Atelier 9</t>
        </is>
      </c>
      <c r="I145" s="8">
        <v>0</v>
      </c>
      <c r="J145" s="8">
        <v>19445.31</v>
      </c>
      <c r="K145" s="0"/>
      <c r="L145" s="0"/>
      <c r="M145" s="8">
        <f>I145-J145</f>
      </c>
      <c r="N145" s="0" t="inlineStr">
        <is>
          <t xml:space="preserve">2024-02</t>
        </is>
      </c>
      <c r="O145" s="0">
        <f>INDEX(Journaux!$E$5:$E$18,MATCH("2024|"&amp;A145,Journaux!$A$5:$A$18,0))</f>
      </c>
      <c r="P145" s="0">
        <f>INDEX(Comptes!$H$5:$H$42,MATCH(E145,Comptes!$A$5:$A$42,0))</f>
      </c>
      <c r="Q145" s="0" t="inlineStr">
        <is>
          <t xml:space="preserve">7</t>
        </is>
      </c>
    </row>
    <row r="146">
      <c r="A146" s="4" t="inlineStr">
        <is>
          <t xml:space="preserve">VT</t>
        </is>
      </c>
      <c r="B146" s="0" t="inlineStr">
        <is>
          <t xml:space="preserve">Journal des ventes</t>
        </is>
      </c>
      <c r="C146" s="0" t="inlineStr">
        <is>
          <t xml:space="preserve">VT00012</t>
        </is>
      </c>
      <c r="D146" s="10">
        <v>45343</v>
      </c>
      <c r="E146" s="4" t="inlineStr">
        <is>
          <t xml:space="preserve">445710</t>
        </is>
      </c>
      <c r="F146" s="0" t="inlineStr">
        <is>
          <t xml:space="preserve">TVA collectee</t>
        </is>
      </c>
      <c r="G146" s="0" t="inlineStr">
        <is>
          <t xml:space="preserve">FA2024-0012</t>
        </is>
      </c>
      <c r="H146" s="0" t="inlineStr">
        <is>
          <t xml:space="preserve">Facture FA2024-0012 Coworking Atelier 9</t>
        </is>
      </c>
      <c r="I146" s="8">
        <v>0</v>
      </c>
      <c r="J146" s="8">
        <v>3889.06</v>
      </c>
      <c r="K146" s="0"/>
      <c r="L146" s="0"/>
      <c r="M146" s="8">
        <f>I146-J146</f>
      </c>
      <c r="N146" s="0" t="inlineStr">
        <is>
          <t xml:space="preserve">2024-02</t>
        </is>
      </c>
      <c r="O146" s="0">
        <f>INDEX(Journaux!$E$5:$E$18,MATCH("2024|"&amp;A146,Journaux!$A$5:$A$18,0))</f>
      </c>
      <c r="P146" s="0">
        <f>INDEX(Comptes!$H$5:$H$42,MATCH(E146,Comptes!$A$5:$A$42,0))</f>
      </c>
      <c r="Q146" s="0" t="inlineStr">
        <is>
          <t xml:space="preserve">4</t>
        </is>
      </c>
    </row>
    <row r="147">
      <c r="A147" s="4" t="inlineStr">
        <is>
          <t xml:space="preserve">AC</t>
        </is>
      </c>
      <c r="B147" s="0" t="inlineStr">
        <is>
          <t xml:space="preserve">Journal des achats</t>
        </is>
      </c>
      <c r="C147" s="0" t="inlineStr">
        <is>
          <t xml:space="preserve">AC00007</t>
        </is>
      </c>
      <c r="D147" s="10">
        <v>45345</v>
      </c>
      <c r="E147" s="4" t="inlineStr">
        <is>
          <t xml:space="preserve">601000</t>
        </is>
      </c>
      <c r="F147" s="0" t="inlineStr">
        <is>
          <t xml:space="preserve">Achats de matieres premieres</t>
        </is>
      </c>
      <c r="G147" s="0" t="inlineStr">
        <is>
          <t xml:space="preserve">F002-2024021</t>
        </is>
      </c>
      <c r="H147" s="0" t="inlineStr">
        <is>
          <t xml:space="preserve">Facture Quincaillerie Pro Est F002-2024021</t>
        </is>
      </c>
      <c r="I147" s="8">
        <v>33237.45</v>
      </c>
      <c r="J147" s="8">
        <v>0</v>
      </c>
      <c r="K147" s="0"/>
      <c r="L147" s="0"/>
      <c r="M147" s="8">
        <f>I147-J147</f>
      </c>
      <c r="N147" s="0" t="inlineStr">
        <is>
          <t xml:space="preserve">2024-02</t>
        </is>
      </c>
      <c r="O147" s="0">
        <f>INDEX(Journaux!$E$5:$E$18,MATCH("2024|"&amp;A147,Journaux!$A$5:$A$18,0))</f>
      </c>
      <c r="P147" s="0">
        <f>INDEX(Comptes!$H$5:$H$42,MATCH(E147,Comptes!$A$5:$A$42,0))</f>
      </c>
      <c r="Q147" s="0" t="inlineStr">
        <is>
          <t xml:space="preserve">6</t>
        </is>
      </c>
    </row>
    <row r="148">
      <c r="A148" s="4" t="inlineStr">
        <is>
          <t xml:space="preserve">AC</t>
        </is>
      </c>
      <c r="B148" s="0" t="inlineStr">
        <is>
          <t xml:space="preserve">Journal des achats</t>
        </is>
      </c>
      <c r="C148" s="0" t="inlineStr">
        <is>
          <t xml:space="preserve">AC00007</t>
        </is>
      </c>
      <c r="D148" s="10">
        <v>45345</v>
      </c>
      <c r="E148" s="4" t="inlineStr">
        <is>
          <t xml:space="preserve">445660</t>
        </is>
      </c>
      <c r="F148" s="0" t="inlineStr">
        <is>
          <t xml:space="preserve">TVA deductible sur ABS</t>
        </is>
      </c>
      <c r="G148" s="0" t="inlineStr">
        <is>
          <t xml:space="preserve">F002-2024021</t>
        </is>
      </c>
      <c r="H148" s="0" t="inlineStr">
        <is>
          <t xml:space="preserve">Facture Quincaillerie Pro Est F002-2024021</t>
        </is>
      </c>
      <c r="I148" s="8">
        <v>6647.49</v>
      </c>
      <c r="J148" s="8">
        <v>0</v>
      </c>
      <c r="K148" s="0"/>
      <c r="L148" s="0"/>
      <c r="M148" s="8">
        <f>I148-J148</f>
      </c>
      <c r="N148" s="0" t="inlineStr">
        <is>
          <t xml:space="preserve">2024-02</t>
        </is>
      </c>
      <c r="O148" s="0">
        <f>INDEX(Journaux!$E$5:$E$18,MATCH("2024|"&amp;A148,Journaux!$A$5:$A$18,0))</f>
      </c>
      <c r="P148" s="0">
        <f>INDEX(Comptes!$H$5:$H$42,MATCH(E148,Comptes!$A$5:$A$42,0))</f>
      </c>
      <c r="Q148" s="0" t="inlineStr">
        <is>
          <t xml:space="preserve">4</t>
        </is>
      </c>
    </row>
    <row r="149">
      <c r="A149" s="4" t="inlineStr">
        <is>
          <t xml:space="preserve">AC</t>
        </is>
      </c>
      <c r="B149" s="0" t="inlineStr">
        <is>
          <t xml:space="preserve">Journal des achats</t>
        </is>
      </c>
      <c r="C149" s="0" t="inlineStr">
        <is>
          <t xml:space="preserve">AC00007</t>
        </is>
      </c>
      <c r="D149" s="10">
        <v>45345</v>
      </c>
      <c r="E149" s="4" t="inlineStr">
        <is>
          <t xml:space="preserve">401000</t>
        </is>
      </c>
      <c r="F149" s="0" t="inlineStr">
        <is>
          <t xml:space="preserve">Fournisseurs</t>
        </is>
      </c>
      <c r="G149" s="0" t="inlineStr">
        <is>
          <t xml:space="preserve">F002-2024021</t>
        </is>
      </c>
      <c r="H149" s="0" t="inlineStr">
        <is>
          <t xml:space="preserve">Facture Quincaillerie Pro Est F002-2024021</t>
        </is>
      </c>
      <c r="I149" s="8">
        <v>0</v>
      </c>
      <c r="J149" s="8">
        <v>39884.94</v>
      </c>
      <c r="K149" s="0" t="inlineStr">
        <is>
          <t xml:space="preserve">ABS</t>
        </is>
      </c>
      <c r="L149" s="0" t="inlineStr">
        <is>
          <t xml:space="preserve">Quincaillerie Pro Est</t>
        </is>
      </c>
      <c r="M149" s="8">
        <f>I149-J149</f>
      </c>
      <c r="N149" s="0" t="inlineStr">
        <is>
          <t xml:space="preserve">2024-02</t>
        </is>
      </c>
      <c r="O149" s="0">
        <f>INDEX(Journaux!$E$5:$E$18,MATCH("2024|"&amp;A149,Journaux!$A$5:$A$18,0))</f>
      </c>
      <c r="P149" s="0">
        <f>INDEX(Comptes!$H$5:$H$42,MATCH(E149,Comptes!$A$5:$A$42,0))</f>
      </c>
      <c r="Q149" s="0" t="inlineStr">
        <is>
          <t xml:space="preserve">4</t>
        </is>
      </c>
      <c r="R149" s="7" t="inlineStr">
        <is>
          <t xml:space="preserve">401000|F002</t>
        </is>
      </c>
    </row>
    <row r="150">
      <c r="A150" s="4" t="inlineStr">
        <is>
          <t xml:space="preserve">BQ</t>
        </is>
      </c>
      <c r="B150" s="0" t="inlineStr">
        <is>
          <t xml:space="preserve">Banque Fictive</t>
        </is>
      </c>
      <c r="C150" s="0" t="inlineStr">
        <is>
          <t xml:space="preserve">BQ00066</t>
        </is>
      </c>
      <c r="D150" s="10">
        <v>45348</v>
      </c>
      <c r="E150" s="4" t="inlineStr">
        <is>
          <t xml:space="preserve">512000</t>
        </is>
      </c>
      <c r="F150" s="0" t="inlineStr">
        <is>
          <t xml:space="preserve">Banque Fictive</t>
        </is>
      </c>
      <c r="G150" s="0" t="inlineStr">
        <is>
          <t xml:space="preserve">ENC-FA2024-0001</t>
        </is>
      </c>
      <c r="H150" s="0" t="inlineStr">
        <is>
          <t xml:space="preserve">Reglement client Agence Mobilis FA2024-0001</t>
        </is>
      </c>
      <c r="I150" s="8">
        <v>22251.64</v>
      </c>
      <c r="J150" s="8">
        <v>0</v>
      </c>
      <c r="K150" s="0"/>
      <c r="L150" s="0"/>
      <c r="M150" s="8">
        <f>I150-J150</f>
      </c>
      <c r="N150" s="0" t="inlineStr">
        <is>
          <t xml:space="preserve">2024-02</t>
        </is>
      </c>
      <c r="O150" s="0">
        <f>INDEX(Journaux!$E$5:$E$18,MATCH("2024|"&amp;A150,Journaux!$A$5:$A$18,0))</f>
      </c>
      <c r="P150" s="0">
        <f>INDEX(Comptes!$H$5:$H$42,MATCH(E150,Comptes!$A$5:$A$42,0))</f>
      </c>
      <c r="Q150" s="0" t="inlineStr">
        <is>
          <t xml:space="preserve">5</t>
        </is>
      </c>
    </row>
    <row r="151">
      <c r="A151" s="4" t="inlineStr">
        <is>
          <t xml:space="preserve">BQ</t>
        </is>
      </c>
      <c r="B151" s="0" t="inlineStr">
        <is>
          <t xml:space="preserve">Banque Fictive</t>
        </is>
      </c>
      <c r="C151" s="0" t="inlineStr">
        <is>
          <t xml:space="preserve">BQ00066</t>
        </is>
      </c>
      <c r="D151" s="10">
        <v>45348</v>
      </c>
      <c r="E151" s="4" t="inlineStr">
        <is>
          <t xml:space="preserve">411000</t>
        </is>
      </c>
      <c r="F151" s="0" t="inlineStr">
        <is>
          <t xml:space="preserve">Clients</t>
        </is>
      </c>
      <c r="G151" s="0" t="inlineStr">
        <is>
          <t xml:space="preserve">ENC-FA2024-0001</t>
        </is>
      </c>
      <c r="H151" s="0" t="inlineStr">
        <is>
          <t xml:space="preserve">Reglement client Agence Mobilis FA2024-0001</t>
        </is>
      </c>
      <c r="I151" s="8">
        <v>0</v>
      </c>
      <c r="J151" s="8">
        <v>22251.64</v>
      </c>
      <c r="K151" s="0" t="inlineStr">
        <is>
          <t xml:space="preserve">AAF</t>
        </is>
      </c>
      <c r="L151" s="0" t="inlineStr">
        <is>
          <t xml:space="preserve">Agence Mobilis</t>
        </is>
      </c>
      <c r="M151" s="8">
        <f>I151-J151</f>
      </c>
      <c r="N151" s="0" t="inlineStr">
        <is>
          <t xml:space="preserve">2024-02</t>
        </is>
      </c>
      <c r="O151" s="0">
        <f>INDEX(Journaux!$E$5:$E$18,MATCH("2024|"&amp;A151,Journaux!$A$5:$A$18,0))</f>
      </c>
      <c r="P151" s="0">
        <f>INDEX(Comptes!$H$5:$H$42,MATCH(E151,Comptes!$A$5:$A$42,0))</f>
      </c>
      <c r="Q151" s="0" t="inlineStr">
        <is>
          <t xml:space="preserve">4</t>
        </is>
      </c>
      <c r="R151" s="7" t="inlineStr">
        <is>
          <t xml:space="preserve">411000|C002</t>
        </is>
      </c>
    </row>
    <row r="152">
      <c r="A152" s="4" t="inlineStr">
        <is>
          <t xml:space="preserve">VT</t>
        </is>
      </c>
      <c r="B152" s="0" t="inlineStr">
        <is>
          <t xml:space="preserve">Journal des ventes</t>
        </is>
      </c>
      <c r="C152" s="0" t="inlineStr">
        <is>
          <t xml:space="preserve">VT00007</t>
        </is>
      </c>
      <c r="D152" s="10">
        <v>45349</v>
      </c>
      <c r="E152" s="4" t="inlineStr">
        <is>
          <t xml:space="preserve">411000</t>
        </is>
      </c>
      <c r="F152" s="0" t="inlineStr">
        <is>
          <t xml:space="preserve">Clients</t>
        </is>
      </c>
      <c r="G152" s="0" t="inlineStr">
        <is>
          <t xml:space="preserve">FA2024-0007</t>
        </is>
      </c>
      <c r="H152" s="0" t="inlineStr">
        <is>
          <t xml:space="preserve">Facture FA2024-0007 Restaurant Le Comptoir</t>
        </is>
      </c>
      <c r="I152" s="8">
        <v>28563.22</v>
      </c>
      <c r="J152" s="8">
        <v>0</v>
      </c>
      <c r="K152" s="0" t="inlineStr">
        <is>
          <t xml:space="preserve">AAL</t>
        </is>
      </c>
      <c r="L152" s="0" t="inlineStr">
        <is>
          <t xml:space="preserve">Restaurant Le Comptoir</t>
        </is>
      </c>
      <c r="M152" s="8">
        <f>I152-J152</f>
      </c>
      <c r="N152" s="0" t="inlineStr">
        <is>
          <t xml:space="preserve">2024-02</t>
        </is>
      </c>
      <c r="O152" s="0">
        <f>INDEX(Journaux!$E$5:$E$18,MATCH("2024|"&amp;A152,Journaux!$A$5:$A$18,0))</f>
      </c>
      <c r="P152" s="0">
        <f>INDEX(Comptes!$H$5:$H$42,MATCH(E152,Comptes!$A$5:$A$42,0))</f>
      </c>
      <c r="Q152" s="0" t="inlineStr">
        <is>
          <t xml:space="preserve">4</t>
        </is>
      </c>
      <c r="R152" s="7" t="inlineStr">
        <is>
          <t xml:space="preserve">411000|C005</t>
        </is>
      </c>
    </row>
    <row r="153">
      <c r="A153" s="4" t="inlineStr">
        <is>
          <t xml:space="preserve">VT</t>
        </is>
      </c>
      <c r="B153" s="0" t="inlineStr">
        <is>
          <t xml:space="preserve">Journal des ventes</t>
        </is>
      </c>
      <c r="C153" s="0" t="inlineStr">
        <is>
          <t xml:space="preserve">VT00007</t>
        </is>
      </c>
      <c r="D153" s="10">
        <v>45349</v>
      </c>
      <c r="E153" s="4" t="inlineStr">
        <is>
          <t xml:space="preserve">701000</t>
        </is>
      </c>
      <c r="F153" s="0" t="inlineStr">
        <is>
          <t xml:space="preserve">Ventes de produits finis</t>
        </is>
      </c>
      <c r="G153" s="0" t="inlineStr">
        <is>
          <t xml:space="preserve">FA2024-0007</t>
        </is>
      </c>
      <c r="H153" s="0" t="inlineStr">
        <is>
          <t xml:space="preserve">Facture FA2024-0007 Restaurant Le Comptoir</t>
        </is>
      </c>
      <c r="I153" s="8">
        <v>0</v>
      </c>
      <c r="J153" s="8">
        <v>23802.68</v>
      </c>
      <c r="K153" s="0"/>
      <c r="L153" s="0"/>
      <c r="M153" s="8">
        <f>I153-J153</f>
      </c>
      <c r="N153" s="0" t="inlineStr">
        <is>
          <t xml:space="preserve">2024-02</t>
        </is>
      </c>
      <c r="O153" s="0">
        <f>INDEX(Journaux!$E$5:$E$18,MATCH("2024|"&amp;A153,Journaux!$A$5:$A$18,0))</f>
      </c>
      <c r="P153" s="0">
        <f>INDEX(Comptes!$H$5:$H$42,MATCH(E153,Comptes!$A$5:$A$42,0))</f>
      </c>
      <c r="Q153" s="0" t="inlineStr">
        <is>
          <t xml:space="preserve">7</t>
        </is>
      </c>
    </row>
    <row r="154">
      <c r="A154" s="4" t="inlineStr">
        <is>
          <t xml:space="preserve">VT</t>
        </is>
      </c>
      <c r="B154" s="0" t="inlineStr">
        <is>
          <t xml:space="preserve">Journal des ventes</t>
        </is>
      </c>
      <c r="C154" s="0" t="inlineStr">
        <is>
          <t xml:space="preserve">VT00007</t>
        </is>
      </c>
      <c r="D154" s="10">
        <v>45349</v>
      </c>
      <c r="E154" s="4" t="inlineStr">
        <is>
          <t xml:space="preserve">445710</t>
        </is>
      </c>
      <c r="F154" s="0" t="inlineStr">
        <is>
          <t xml:space="preserve">TVA collectee</t>
        </is>
      </c>
      <c r="G154" s="0" t="inlineStr">
        <is>
          <t xml:space="preserve">FA2024-0007</t>
        </is>
      </c>
      <c r="H154" s="0" t="inlineStr">
        <is>
          <t xml:space="preserve">Facture FA2024-0007 Restaurant Le Comptoir</t>
        </is>
      </c>
      <c r="I154" s="8">
        <v>0</v>
      </c>
      <c r="J154" s="8">
        <v>4760.54</v>
      </c>
      <c r="K154" s="0"/>
      <c r="L154" s="0"/>
      <c r="M154" s="8">
        <f>I154-J154</f>
      </c>
      <c r="N154" s="0" t="inlineStr">
        <is>
          <t xml:space="preserve">2024-02</t>
        </is>
      </c>
      <c r="O154" s="0">
        <f>INDEX(Journaux!$E$5:$E$18,MATCH("2024|"&amp;A154,Journaux!$A$5:$A$18,0))</f>
      </c>
      <c r="P154" s="0">
        <f>INDEX(Comptes!$H$5:$H$42,MATCH(E154,Comptes!$A$5:$A$42,0))</f>
      </c>
      <c r="Q154" s="0" t="inlineStr">
        <is>
          <t xml:space="preserve">4</t>
        </is>
      </c>
    </row>
    <row r="155">
      <c r="A155" s="4" t="inlineStr">
        <is>
          <t xml:space="preserve">VT</t>
        </is>
      </c>
      <c r="B155" s="0" t="inlineStr">
        <is>
          <t xml:space="preserve">Journal des ventes</t>
        </is>
      </c>
      <c r="C155" s="0" t="inlineStr">
        <is>
          <t xml:space="preserve">VT00010</t>
        </is>
      </c>
      <c r="D155" s="10">
        <v>45350</v>
      </c>
      <c r="E155" s="4" t="inlineStr">
        <is>
          <t xml:space="preserve">411000</t>
        </is>
      </c>
      <c r="F155" s="0" t="inlineStr">
        <is>
          <t xml:space="preserve">Clients</t>
        </is>
      </c>
      <c r="G155" s="0" t="inlineStr">
        <is>
          <t xml:space="preserve">FA2024-0010</t>
        </is>
      </c>
      <c r="H155" s="0" t="inlineStr">
        <is>
          <t xml:space="preserve">Facture FA2024-0010 Cabinet Varenne Associes</t>
        </is>
      </c>
      <c r="I155" s="8">
        <v>24630.2</v>
      </c>
      <c r="J155" s="8">
        <v>0</v>
      </c>
      <c r="K155" s="0" t="inlineStr">
        <is>
          <t xml:space="preserve">AAO</t>
        </is>
      </c>
      <c r="L155" s="0" t="inlineStr">
        <is>
          <t xml:space="preserve">Cabinet Varenne Associes</t>
        </is>
      </c>
      <c r="M155" s="8">
        <f>I155-J155</f>
      </c>
      <c r="N155" s="0" t="inlineStr">
        <is>
          <t xml:space="preserve">2024-02</t>
        </is>
      </c>
      <c r="O155" s="0">
        <f>INDEX(Journaux!$E$5:$E$18,MATCH("2024|"&amp;A155,Journaux!$A$5:$A$18,0))</f>
      </c>
      <c r="P155" s="0">
        <f>INDEX(Comptes!$H$5:$H$42,MATCH(E155,Comptes!$A$5:$A$42,0))</f>
      </c>
      <c r="Q155" s="0" t="inlineStr">
        <is>
          <t xml:space="preserve">4</t>
        </is>
      </c>
      <c r="R155" s="7" t="inlineStr">
        <is>
          <t xml:space="preserve">411000|C004</t>
        </is>
      </c>
    </row>
    <row r="156">
      <c r="A156" s="4" t="inlineStr">
        <is>
          <t xml:space="preserve">VT</t>
        </is>
      </c>
      <c r="B156" s="0" t="inlineStr">
        <is>
          <t xml:space="preserve">Journal des ventes</t>
        </is>
      </c>
      <c r="C156" s="0" t="inlineStr">
        <is>
          <t xml:space="preserve">VT00010</t>
        </is>
      </c>
      <c r="D156" s="10">
        <v>45350</v>
      </c>
      <c r="E156" s="4" t="inlineStr">
        <is>
          <t xml:space="preserve">701000</t>
        </is>
      </c>
      <c r="F156" s="0" t="inlineStr">
        <is>
          <t xml:space="preserve">Ventes de produits finis</t>
        </is>
      </c>
      <c r="G156" s="0" t="inlineStr">
        <is>
          <t xml:space="preserve">FA2024-0010</t>
        </is>
      </c>
      <c r="H156" s="0" t="inlineStr">
        <is>
          <t xml:space="preserve">Facture FA2024-0010 Cabinet Varenne Associes</t>
        </is>
      </c>
      <c r="I156" s="8">
        <v>0</v>
      </c>
      <c r="J156" s="8">
        <v>20525.17</v>
      </c>
      <c r="K156" s="0"/>
      <c r="L156" s="0"/>
      <c r="M156" s="8">
        <f>I156-J156</f>
      </c>
      <c r="N156" s="0" t="inlineStr">
        <is>
          <t xml:space="preserve">2024-02</t>
        </is>
      </c>
      <c r="O156" s="0">
        <f>INDEX(Journaux!$E$5:$E$18,MATCH("2024|"&amp;A156,Journaux!$A$5:$A$18,0))</f>
      </c>
      <c r="P156" s="0">
        <f>INDEX(Comptes!$H$5:$H$42,MATCH(E156,Comptes!$A$5:$A$42,0))</f>
      </c>
      <c r="Q156" s="0" t="inlineStr">
        <is>
          <t xml:space="preserve">7</t>
        </is>
      </c>
    </row>
    <row r="157">
      <c r="A157" s="4" t="inlineStr">
        <is>
          <t xml:space="preserve">VT</t>
        </is>
      </c>
      <c r="B157" s="0" t="inlineStr">
        <is>
          <t xml:space="preserve">Journal des ventes</t>
        </is>
      </c>
      <c r="C157" s="0" t="inlineStr">
        <is>
          <t xml:space="preserve">VT00010</t>
        </is>
      </c>
      <c r="D157" s="10">
        <v>45350</v>
      </c>
      <c r="E157" s="4" t="inlineStr">
        <is>
          <t xml:space="preserve">445710</t>
        </is>
      </c>
      <c r="F157" s="0" t="inlineStr">
        <is>
          <t xml:space="preserve">TVA collectee</t>
        </is>
      </c>
      <c r="G157" s="0" t="inlineStr">
        <is>
          <t xml:space="preserve">FA2024-0010</t>
        </is>
      </c>
      <c r="H157" s="0" t="inlineStr">
        <is>
          <t xml:space="preserve">Facture FA2024-0010 Cabinet Varenne Associes</t>
        </is>
      </c>
      <c r="I157" s="8">
        <v>0</v>
      </c>
      <c r="J157" s="8">
        <v>4105.03</v>
      </c>
      <c r="K157" s="0"/>
      <c r="L157" s="0"/>
      <c r="M157" s="8">
        <f>I157-J157</f>
      </c>
      <c r="N157" s="0" t="inlineStr">
        <is>
          <t xml:space="preserve">2024-02</t>
        </is>
      </c>
      <c r="O157" s="0">
        <f>INDEX(Journaux!$E$5:$E$18,MATCH("2024|"&amp;A157,Journaux!$A$5:$A$18,0))</f>
      </c>
      <c r="P157" s="0">
        <f>INDEX(Comptes!$H$5:$H$42,MATCH(E157,Comptes!$A$5:$A$42,0))</f>
      </c>
      <c r="Q157" s="0" t="inlineStr">
        <is>
          <t xml:space="preserve">4</t>
        </is>
      </c>
    </row>
    <row r="158">
      <c r="A158" s="4" t="inlineStr">
        <is>
          <t xml:space="preserve">BQ</t>
        </is>
      </c>
      <c r="B158" s="0" t="inlineStr">
        <is>
          <t xml:space="preserve">Banque Fictive</t>
        </is>
      </c>
      <c r="C158" s="0" t="inlineStr">
        <is>
          <t xml:space="preserve">BQ00004</t>
        </is>
      </c>
      <c r="D158" s="10">
        <v>45351</v>
      </c>
      <c r="E158" s="4" t="inlineStr">
        <is>
          <t xml:space="preserve">421000</t>
        </is>
      </c>
      <c r="F158" s="0" t="inlineStr">
        <is>
          <t xml:space="preserve">Personnel remunerations dues</t>
        </is>
      </c>
      <c r="G158" s="0" t="inlineStr">
        <is>
          <t xml:space="preserve">VIRSAL202402</t>
        </is>
      </c>
      <c r="H158" s="0" t="inlineStr">
        <is>
          <t xml:space="preserve">Virement salaires 02/2024</t>
        </is>
      </c>
      <c r="I158" s="8">
        <v>40186.76</v>
      </c>
      <c r="J158" s="8">
        <v>0</v>
      </c>
      <c r="K158" s="0"/>
      <c r="L158" s="0"/>
      <c r="M158" s="8">
        <f>I158-J158</f>
      </c>
      <c r="N158" s="0" t="inlineStr">
        <is>
          <t xml:space="preserve">2024-02</t>
        </is>
      </c>
      <c r="O158" s="0">
        <f>INDEX(Journaux!$E$5:$E$18,MATCH("2024|"&amp;A158,Journaux!$A$5:$A$18,0))</f>
      </c>
      <c r="P158" s="0">
        <f>INDEX(Comptes!$H$5:$H$42,MATCH(E158,Comptes!$A$5:$A$42,0))</f>
      </c>
      <c r="Q158" s="0" t="inlineStr">
        <is>
          <t xml:space="preserve">4</t>
        </is>
      </c>
    </row>
    <row r="159">
      <c r="A159" s="4" t="inlineStr">
        <is>
          <t xml:space="preserve">BQ</t>
        </is>
      </c>
      <c r="B159" s="0" t="inlineStr">
        <is>
          <t xml:space="preserve">Banque Fictive</t>
        </is>
      </c>
      <c r="C159" s="0" t="inlineStr">
        <is>
          <t xml:space="preserve">BQ00004</t>
        </is>
      </c>
      <c r="D159" s="10">
        <v>45351</v>
      </c>
      <c r="E159" s="4" t="inlineStr">
        <is>
          <t xml:space="preserve">512000</t>
        </is>
      </c>
      <c r="F159" s="0" t="inlineStr">
        <is>
          <t xml:space="preserve">Banque Fictive</t>
        </is>
      </c>
      <c r="G159" s="0" t="inlineStr">
        <is>
          <t xml:space="preserve">VIRSAL202402</t>
        </is>
      </c>
      <c r="H159" s="0" t="inlineStr">
        <is>
          <t xml:space="preserve">Virement salaires 02/2024</t>
        </is>
      </c>
      <c r="I159" s="8">
        <v>0</v>
      </c>
      <c r="J159" s="8">
        <v>40186.76</v>
      </c>
      <c r="K159" s="0"/>
      <c r="L159" s="0"/>
      <c r="M159" s="8">
        <f>I159-J159</f>
      </c>
      <c r="N159" s="0" t="inlineStr">
        <is>
          <t xml:space="preserve">2024-02</t>
        </is>
      </c>
      <c r="O159" s="0">
        <f>INDEX(Journaux!$E$5:$E$18,MATCH("2024|"&amp;A159,Journaux!$A$5:$A$18,0))</f>
      </c>
      <c r="P159" s="0">
        <f>INDEX(Comptes!$H$5:$H$42,MATCH(E159,Comptes!$A$5:$A$42,0))</f>
      </c>
      <c r="Q159" s="0" t="inlineStr">
        <is>
          <t xml:space="preserve">5</t>
        </is>
      </c>
    </row>
    <row r="160">
      <c r="A160" s="4" t="inlineStr">
        <is>
          <t xml:space="preserve">BQ</t>
        </is>
      </c>
      <c r="B160" s="0" t="inlineStr">
        <is>
          <t xml:space="preserve">Banque Fictive</t>
        </is>
      </c>
      <c r="C160" s="0" t="inlineStr">
        <is>
          <t xml:space="preserve">BQ00006</t>
        </is>
      </c>
      <c r="D160" s="10">
        <v>45351</v>
      </c>
      <c r="E160" s="4" t="inlineStr">
        <is>
          <t xml:space="preserve">627000</t>
        </is>
      </c>
      <c r="F160" s="0" t="inlineStr">
        <is>
          <t xml:space="preserve">Services bancaires</t>
        </is>
      </c>
      <c r="G160" s="0" t="inlineStr">
        <is>
          <t xml:space="preserve">FRB202402</t>
        </is>
      </c>
      <c r="H160" s="0" t="inlineStr">
        <is>
          <t xml:space="preserve">Frais bancaires 02/2024</t>
        </is>
      </c>
      <c r="I160" s="8">
        <v>85</v>
      </c>
      <c r="J160" s="8">
        <v>0</v>
      </c>
      <c r="K160" s="0"/>
      <c r="L160" s="0"/>
      <c r="M160" s="8">
        <f>I160-J160</f>
      </c>
      <c r="N160" s="0" t="inlineStr">
        <is>
          <t xml:space="preserve">2024-02</t>
        </is>
      </c>
      <c r="O160" s="0">
        <f>INDEX(Journaux!$E$5:$E$18,MATCH("2024|"&amp;A160,Journaux!$A$5:$A$18,0))</f>
      </c>
      <c r="P160" s="0">
        <f>INDEX(Comptes!$H$5:$H$42,MATCH(E160,Comptes!$A$5:$A$42,0))</f>
      </c>
      <c r="Q160" s="0" t="inlineStr">
        <is>
          <t xml:space="preserve">6</t>
        </is>
      </c>
    </row>
    <row r="161">
      <c r="A161" s="4" t="inlineStr">
        <is>
          <t xml:space="preserve">BQ</t>
        </is>
      </c>
      <c r="B161" s="0" t="inlineStr">
        <is>
          <t xml:space="preserve">Banque Fictive</t>
        </is>
      </c>
      <c r="C161" s="0" t="inlineStr">
        <is>
          <t xml:space="preserve">BQ00006</t>
        </is>
      </c>
      <c r="D161" s="10">
        <v>45351</v>
      </c>
      <c r="E161" s="4" t="inlineStr">
        <is>
          <t xml:space="preserve">512000</t>
        </is>
      </c>
      <c r="F161" s="0" t="inlineStr">
        <is>
          <t xml:space="preserve">Banque Fictive</t>
        </is>
      </c>
      <c r="G161" s="0" t="inlineStr">
        <is>
          <t xml:space="preserve">FRB202402</t>
        </is>
      </c>
      <c r="H161" s="0" t="inlineStr">
        <is>
          <t xml:space="preserve">Frais bancaires 02/2024</t>
        </is>
      </c>
      <c r="I161" s="8">
        <v>0</v>
      </c>
      <c r="J161" s="8">
        <v>85</v>
      </c>
      <c r="K161" s="0"/>
      <c r="L161" s="0"/>
      <c r="M161" s="8">
        <f>I161-J161</f>
      </c>
      <c r="N161" s="0" t="inlineStr">
        <is>
          <t xml:space="preserve">2024-02</t>
        </is>
      </c>
      <c r="O161" s="0">
        <f>INDEX(Journaux!$E$5:$E$18,MATCH("2024|"&amp;A161,Journaux!$A$5:$A$18,0))</f>
      </c>
      <c r="P161" s="0">
        <f>INDEX(Comptes!$H$5:$H$42,MATCH(E161,Comptes!$A$5:$A$42,0))</f>
      </c>
      <c r="Q161" s="0" t="inlineStr">
        <is>
          <t xml:space="preserve">5</t>
        </is>
      </c>
    </row>
    <row r="162">
      <c r="A162" s="4" t="inlineStr">
        <is>
          <t xml:space="preserve">BQ</t>
        </is>
      </c>
      <c r="B162" s="0" t="inlineStr">
        <is>
          <t xml:space="preserve">Banque Fictive</t>
        </is>
      </c>
      <c r="C162" s="0" t="inlineStr">
        <is>
          <t xml:space="preserve">BQ00126</t>
        </is>
      </c>
      <c r="D162" s="10">
        <v>45351</v>
      </c>
      <c r="E162" s="4" t="inlineStr">
        <is>
          <t xml:space="preserve">401000</t>
        </is>
      </c>
      <c r="F162" s="0" t="inlineStr">
        <is>
          <t xml:space="preserve">Fournisseurs</t>
        </is>
      </c>
      <c r="G162" s="0" t="inlineStr">
        <is>
          <t xml:space="preserve">DEC-F001-2024012</t>
        </is>
      </c>
      <c r="H162" s="0" t="inlineStr">
        <is>
          <t xml:space="preserve">Reglement fournisseur Scierie du Nord F001-2024012</t>
        </is>
      </c>
      <c r="I162" s="8">
        <v>31910.65</v>
      </c>
      <c r="J162" s="8">
        <v>0</v>
      </c>
      <c r="K162" s="0" t="inlineStr">
        <is>
          <t xml:space="preserve">ABN</t>
        </is>
      </c>
      <c r="L162" s="0" t="inlineStr">
        <is>
          <t xml:space="preserve">Scierie du Nord</t>
        </is>
      </c>
      <c r="M162" s="8">
        <f>I162-J162</f>
      </c>
      <c r="N162" s="0" t="inlineStr">
        <is>
          <t xml:space="preserve">2024-02</t>
        </is>
      </c>
      <c r="O162" s="0">
        <f>INDEX(Journaux!$E$5:$E$18,MATCH("2024|"&amp;A162,Journaux!$A$5:$A$18,0))</f>
      </c>
      <c r="P162" s="0">
        <f>INDEX(Comptes!$H$5:$H$42,MATCH(E162,Comptes!$A$5:$A$42,0))</f>
      </c>
      <c r="Q162" s="0" t="inlineStr">
        <is>
          <t xml:space="preserve">4</t>
        </is>
      </c>
      <c r="R162" s="7" t="inlineStr">
        <is>
          <t xml:space="preserve">401000|F001</t>
        </is>
      </c>
    </row>
    <row r="163">
      <c r="A163" s="4" t="inlineStr">
        <is>
          <t xml:space="preserve">BQ</t>
        </is>
      </c>
      <c r="B163" s="0" t="inlineStr">
        <is>
          <t xml:space="preserve">Banque Fictive</t>
        </is>
      </c>
      <c r="C163" s="0" t="inlineStr">
        <is>
          <t xml:space="preserve">BQ00126</t>
        </is>
      </c>
      <c r="D163" s="10">
        <v>45351</v>
      </c>
      <c r="E163" s="4" t="inlineStr">
        <is>
          <t xml:space="preserve">512000</t>
        </is>
      </c>
      <c r="F163" s="0" t="inlineStr">
        <is>
          <t xml:space="preserve">Banque Fictive</t>
        </is>
      </c>
      <c r="G163" s="0" t="inlineStr">
        <is>
          <t xml:space="preserve">DEC-F001-2024012</t>
        </is>
      </c>
      <c r="H163" s="0" t="inlineStr">
        <is>
          <t xml:space="preserve">Reglement fournisseur Scierie du Nord F001-2024012</t>
        </is>
      </c>
      <c r="I163" s="8">
        <v>0</v>
      </c>
      <c r="J163" s="8">
        <v>31910.65</v>
      </c>
      <c r="K163" s="0"/>
      <c r="L163" s="0"/>
      <c r="M163" s="8">
        <f>I163-J163</f>
      </c>
      <c r="N163" s="0" t="inlineStr">
        <is>
          <t xml:space="preserve">2024-02</t>
        </is>
      </c>
      <c r="O163" s="0">
        <f>INDEX(Journaux!$E$5:$E$18,MATCH("2024|"&amp;A163,Journaux!$A$5:$A$18,0))</f>
      </c>
      <c r="P163" s="0">
        <f>INDEX(Comptes!$H$5:$H$42,MATCH(E163,Comptes!$A$5:$A$42,0))</f>
      </c>
      <c r="Q163" s="0" t="inlineStr">
        <is>
          <t xml:space="preserve">5</t>
        </is>
      </c>
    </row>
    <row r="164">
      <c r="A164" s="4" t="inlineStr">
        <is>
          <t xml:space="preserve">OD</t>
        </is>
      </c>
      <c r="B164" s="0" t="inlineStr">
        <is>
          <t xml:space="preserve">Operations diverses</t>
        </is>
      </c>
      <c r="C164" s="0" t="inlineStr">
        <is>
          <t xml:space="preserve">OD00002</t>
        </is>
      </c>
      <c r="D164" s="10">
        <v>45351</v>
      </c>
      <c r="E164" s="4" t="inlineStr">
        <is>
          <t xml:space="preserve">445710</t>
        </is>
      </c>
      <c r="F164" s="0" t="inlineStr">
        <is>
          <t xml:space="preserve">TVA collectee</t>
        </is>
      </c>
      <c r="G164" s="0" t="inlineStr">
        <is>
          <t xml:space="preserve">CA3-202402</t>
        </is>
      </c>
      <c r="H164" s="0" t="inlineStr">
        <is>
          <t xml:space="preserve">Declaration TVA 02/2024</t>
        </is>
      </c>
      <c r="I164" s="8">
        <v>30000</v>
      </c>
      <c r="J164" s="8">
        <v>0</v>
      </c>
      <c r="K164" s="0"/>
      <c r="L164" s="0"/>
      <c r="M164" s="8">
        <f>I164-J164</f>
      </c>
      <c r="N164" s="0" t="inlineStr">
        <is>
          <t xml:space="preserve">2024-02</t>
        </is>
      </c>
      <c r="O164" s="0">
        <f>INDEX(Journaux!$E$5:$E$18,MATCH("2024|"&amp;A164,Journaux!$A$5:$A$18,0))</f>
      </c>
      <c r="P164" s="0">
        <f>INDEX(Comptes!$H$5:$H$42,MATCH(E164,Comptes!$A$5:$A$42,0))</f>
      </c>
      <c r="Q164" s="0" t="inlineStr">
        <is>
          <t xml:space="preserve">4</t>
        </is>
      </c>
    </row>
    <row r="165">
      <c r="A165" s="4" t="inlineStr">
        <is>
          <t xml:space="preserve">OD</t>
        </is>
      </c>
      <c r="B165" s="0" t="inlineStr">
        <is>
          <t xml:space="preserve">Operations diverses</t>
        </is>
      </c>
      <c r="C165" s="0" t="inlineStr">
        <is>
          <t xml:space="preserve">OD00002</t>
        </is>
      </c>
      <c r="D165" s="10">
        <v>45351</v>
      </c>
      <c r="E165" s="4" t="inlineStr">
        <is>
          <t xml:space="preserve">445660</t>
        </is>
      </c>
      <c r="F165" s="0" t="inlineStr">
        <is>
          <t xml:space="preserve">TVA deductible sur ABS</t>
        </is>
      </c>
      <c r="G165" s="0" t="inlineStr">
        <is>
          <t xml:space="preserve">CA3-202402</t>
        </is>
      </c>
      <c r="H165" s="0" t="inlineStr">
        <is>
          <t xml:space="preserve">Declaration TVA 02/2024</t>
        </is>
      </c>
      <c r="I165" s="8">
        <v>0</v>
      </c>
      <c r="J165" s="8">
        <v>15000.81</v>
      </c>
      <c r="K165" s="0"/>
      <c r="L165" s="0"/>
      <c r="M165" s="8">
        <f>I165-J165</f>
      </c>
      <c r="N165" s="0" t="inlineStr">
        <is>
          <t xml:space="preserve">2024-02</t>
        </is>
      </c>
      <c r="O165" s="0">
        <f>INDEX(Journaux!$E$5:$E$18,MATCH("2024|"&amp;A165,Journaux!$A$5:$A$18,0))</f>
      </c>
      <c r="P165" s="0">
        <f>INDEX(Comptes!$H$5:$H$42,MATCH(E165,Comptes!$A$5:$A$42,0))</f>
      </c>
      <c r="Q165" s="0" t="inlineStr">
        <is>
          <t xml:space="preserve">4</t>
        </is>
      </c>
    </row>
    <row r="166">
      <c r="A166" s="4" t="inlineStr">
        <is>
          <t xml:space="preserve">OD</t>
        </is>
      </c>
      <c r="B166" s="0" t="inlineStr">
        <is>
          <t xml:space="preserve">Operations diverses</t>
        </is>
      </c>
      <c r="C166" s="0" t="inlineStr">
        <is>
          <t xml:space="preserve">OD00002</t>
        </is>
      </c>
      <c r="D166" s="10">
        <v>45351</v>
      </c>
      <c r="E166" s="4" t="inlineStr">
        <is>
          <t xml:space="preserve">445510</t>
        </is>
      </c>
      <c r="F166" s="0" t="inlineStr">
        <is>
          <t xml:space="preserve">TVA a decaisser</t>
        </is>
      </c>
      <c r="G166" s="0" t="inlineStr">
        <is>
          <t xml:space="preserve">CA3-202402</t>
        </is>
      </c>
      <c r="H166" s="0" t="inlineStr">
        <is>
          <t xml:space="preserve">Declaration TVA 02/2024</t>
        </is>
      </c>
      <c r="I166" s="8">
        <v>0</v>
      </c>
      <c r="J166" s="8">
        <v>14999.19</v>
      </c>
      <c r="K166" s="0"/>
      <c r="L166" s="0"/>
      <c r="M166" s="8">
        <f>I166-J166</f>
      </c>
      <c r="N166" s="0" t="inlineStr">
        <is>
          <t xml:space="preserve">2024-02</t>
        </is>
      </c>
      <c r="O166" s="0">
        <f>INDEX(Journaux!$E$5:$E$18,MATCH("2024|"&amp;A166,Journaux!$A$5:$A$18,0))</f>
      </c>
      <c r="P166" s="0">
        <f>INDEX(Comptes!$H$5:$H$42,MATCH(E166,Comptes!$A$5:$A$42,0))</f>
      </c>
      <c r="Q166" s="0" t="inlineStr">
        <is>
          <t xml:space="preserve">4</t>
        </is>
      </c>
    </row>
    <row r="167">
      <c r="A167" s="4" t="inlineStr">
        <is>
          <t xml:space="preserve">SA</t>
        </is>
      </c>
      <c r="B167" s="0" t="inlineStr">
        <is>
          <t xml:space="preserve">Salaires</t>
        </is>
      </c>
      <c r="C167" s="0" t="inlineStr">
        <is>
          <t xml:space="preserve">SA00002</t>
        </is>
      </c>
      <c r="D167" s="10">
        <v>45351</v>
      </c>
      <c r="E167" s="4" t="inlineStr">
        <is>
          <t xml:space="preserve">641000</t>
        </is>
      </c>
      <c r="F167" s="0" t="inlineStr">
        <is>
          <t xml:space="preserve">Remunerations du personnel</t>
        </is>
      </c>
      <c r="G167" s="0" t="inlineStr">
        <is>
          <t xml:space="preserve">PAIE202402</t>
        </is>
      </c>
      <c r="H167" s="0" t="inlineStr">
        <is>
          <t xml:space="preserve">Paie 02/2024</t>
        </is>
      </c>
      <c r="I167" s="8">
        <v>51521.49</v>
      </c>
      <c r="J167" s="8">
        <v>0</v>
      </c>
      <c r="K167" s="0"/>
      <c r="L167" s="0"/>
      <c r="M167" s="8">
        <f>I167-J167</f>
      </c>
      <c r="N167" s="0" t="inlineStr">
        <is>
          <t xml:space="preserve">2024-02</t>
        </is>
      </c>
      <c r="O167" s="0">
        <f>INDEX(Journaux!$E$5:$E$18,MATCH("2024|"&amp;A167,Journaux!$A$5:$A$18,0))</f>
      </c>
      <c r="P167" s="0">
        <f>INDEX(Comptes!$H$5:$H$42,MATCH(E167,Comptes!$A$5:$A$42,0))</f>
      </c>
      <c r="Q167" s="0" t="inlineStr">
        <is>
          <t xml:space="preserve">6</t>
        </is>
      </c>
    </row>
    <row r="168">
      <c r="A168" s="4" t="inlineStr">
        <is>
          <t xml:space="preserve">SA</t>
        </is>
      </c>
      <c r="B168" s="0" t="inlineStr">
        <is>
          <t xml:space="preserve">Salaires</t>
        </is>
      </c>
      <c r="C168" s="0" t="inlineStr">
        <is>
          <t xml:space="preserve">SA00002</t>
        </is>
      </c>
      <c r="D168" s="10">
        <v>45351</v>
      </c>
      <c r="E168" s="4" t="inlineStr">
        <is>
          <t xml:space="preserve">645100</t>
        </is>
      </c>
      <c r="F168" s="0" t="inlineStr">
        <is>
          <t xml:space="preserve">Cotisations URSSAF</t>
        </is>
      </c>
      <c r="G168" s="0" t="inlineStr">
        <is>
          <t xml:space="preserve">PAIE202402</t>
        </is>
      </c>
      <c r="H168" s="0" t="inlineStr">
        <is>
          <t xml:space="preserve">Paie 02/2024</t>
        </is>
      </c>
      <c r="I168" s="8">
        <v>21639.03</v>
      </c>
      <c r="J168" s="8">
        <v>0</v>
      </c>
      <c r="K168" s="0"/>
      <c r="L168" s="0"/>
      <c r="M168" s="8">
        <f>I168-J168</f>
      </c>
      <c r="N168" s="0" t="inlineStr">
        <is>
          <t xml:space="preserve">2024-02</t>
        </is>
      </c>
      <c r="O168" s="0">
        <f>INDEX(Journaux!$E$5:$E$18,MATCH("2024|"&amp;A168,Journaux!$A$5:$A$18,0))</f>
      </c>
      <c r="P168" s="0">
        <f>INDEX(Comptes!$H$5:$H$42,MATCH(E168,Comptes!$A$5:$A$42,0))</f>
      </c>
      <c r="Q168" s="0" t="inlineStr">
        <is>
          <t xml:space="preserve">6</t>
        </is>
      </c>
    </row>
    <row r="169">
      <c r="A169" s="4" t="inlineStr">
        <is>
          <t xml:space="preserve">SA</t>
        </is>
      </c>
      <c r="B169" s="0" t="inlineStr">
        <is>
          <t xml:space="preserve">Salaires</t>
        </is>
      </c>
      <c r="C169" s="0" t="inlineStr">
        <is>
          <t xml:space="preserve">SA00002</t>
        </is>
      </c>
      <c r="D169" s="10">
        <v>45351</v>
      </c>
      <c r="E169" s="4" t="inlineStr">
        <is>
          <t xml:space="preserve">421000</t>
        </is>
      </c>
      <c r="F169" s="0" t="inlineStr">
        <is>
          <t xml:space="preserve">Personnel remunerations dues</t>
        </is>
      </c>
      <c r="G169" s="0" t="inlineStr">
        <is>
          <t xml:space="preserve">PAIE202402</t>
        </is>
      </c>
      <c r="H169" s="0" t="inlineStr">
        <is>
          <t xml:space="preserve">Paie 02/2024</t>
        </is>
      </c>
      <c r="I169" s="8">
        <v>0</v>
      </c>
      <c r="J169" s="8">
        <v>40186.76</v>
      </c>
      <c r="K169" s="0"/>
      <c r="L169" s="0"/>
      <c r="M169" s="8">
        <f>I169-J169</f>
      </c>
      <c r="N169" s="0" t="inlineStr">
        <is>
          <t xml:space="preserve">2024-02</t>
        </is>
      </c>
      <c r="O169" s="0">
        <f>INDEX(Journaux!$E$5:$E$18,MATCH("2024|"&amp;A169,Journaux!$A$5:$A$18,0))</f>
      </c>
      <c r="P169" s="0">
        <f>INDEX(Comptes!$H$5:$H$42,MATCH(E169,Comptes!$A$5:$A$42,0))</f>
      </c>
      <c r="Q169" s="0" t="inlineStr">
        <is>
          <t xml:space="preserve">4</t>
        </is>
      </c>
    </row>
    <row r="170">
      <c r="A170" s="4" t="inlineStr">
        <is>
          <t xml:space="preserve">SA</t>
        </is>
      </c>
      <c r="B170" s="0" t="inlineStr">
        <is>
          <t xml:space="preserve">Salaires</t>
        </is>
      </c>
      <c r="C170" s="0" t="inlineStr">
        <is>
          <t xml:space="preserve">SA00002</t>
        </is>
      </c>
      <c r="D170" s="10">
        <v>45351</v>
      </c>
      <c r="E170" s="4" t="inlineStr">
        <is>
          <t xml:space="preserve">431000</t>
        </is>
      </c>
      <c r="F170" s="0" t="inlineStr">
        <is>
          <t xml:space="preserve">Securite sociale</t>
        </is>
      </c>
      <c r="G170" s="0" t="inlineStr">
        <is>
          <t xml:space="preserve">PAIE202402</t>
        </is>
      </c>
      <c r="H170" s="0" t="inlineStr">
        <is>
          <t xml:space="preserve">Paie 02/2024</t>
        </is>
      </c>
      <c r="I170" s="8">
        <v>0</v>
      </c>
      <c r="J170" s="8">
        <v>32973.76</v>
      </c>
      <c r="K170" s="0"/>
      <c r="L170" s="0"/>
      <c r="M170" s="8">
        <f>I170-J170</f>
      </c>
      <c r="N170" s="0" t="inlineStr">
        <is>
          <t xml:space="preserve">2024-02</t>
        </is>
      </c>
      <c r="O170" s="0">
        <f>INDEX(Journaux!$E$5:$E$18,MATCH("2024|"&amp;A170,Journaux!$A$5:$A$18,0))</f>
      </c>
      <c r="P170" s="0">
        <f>INDEX(Comptes!$H$5:$H$42,MATCH(E170,Comptes!$A$5:$A$42,0))</f>
      </c>
      <c r="Q170" s="0" t="inlineStr">
        <is>
          <t xml:space="preserve">4</t>
        </is>
      </c>
    </row>
    <row r="171">
      <c r="A171" s="4" t="inlineStr">
        <is>
          <t xml:space="preserve">AC</t>
        </is>
      </c>
      <c r="B171" s="0" t="inlineStr">
        <is>
          <t xml:space="preserve">Journal des achats</t>
        </is>
      </c>
      <c r="C171" s="0" t="inlineStr">
        <is>
          <t xml:space="preserve">AC00014</t>
        </is>
      </c>
      <c r="D171" s="10">
        <v>45356</v>
      </c>
      <c r="E171" s="4" t="inlineStr">
        <is>
          <t xml:space="preserve">601000</t>
        </is>
      </c>
      <c r="F171" s="0" t="inlineStr">
        <is>
          <t xml:space="preserve">Achats de matieres premieres</t>
        </is>
      </c>
      <c r="G171" s="0" t="inlineStr">
        <is>
          <t xml:space="preserve">F001-2024033</t>
        </is>
      </c>
      <c r="H171" s="0" t="inlineStr">
        <is>
          <t xml:space="preserve">Facture Scierie du Nord F001-2024033</t>
        </is>
      </c>
      <c r="I171" s="8">
        <v>24460.95</v>
      </c>
      <c r="J171" s="8">
        <v>0</v>
      </c>
      <c r="K171" s="0"/>
      <c r="L171" s="0"/>
      <c r="M171" s="8">
        <f>I171-J171</f>
      </c>
      <c r="N171" s="0" t="inlineStr">
        <is>
          <t xml:space="preserve">2024-03</t>
        </is>
      </c>
      <c r="O171" s="0">
        <f>INDEX(Journaux!$E$5:$E$18,MATCH("2024|"&amp;A171,Journaux!$A$5:$A$18,0))</f>
      </c>
      <c r="P171" s="0">
        <f>INDEX(Comptes!$H$5:$H$42,MATCH(E171,Comptes!$A$5:$A$42,0))</f>
      </c>
      <c r="Q171" s="0" t="inlineStr">
        <is>
          <t xml:space="preserve">6</t>
        </is>
      </c>
    </row>
    <row r="172">
      <c r="A172" s="4" t="inlineStr">
        <is>
          <t xml:space="preserve">AC</t>
        </is>
      </c>
      <c r="B172" s="0" t="inlineStr">
        <is>
          <t xml:space="preserve">Journal des achats</t>
        </is>
      </c>
      <c r="C172" s="0" t="inlineStr">
        <is>
          <t xml:space="preserve">AC00014</t>
        </is>
      </c>
      <c r="D172" s="10">
        <v>45356</v>
      </c>
      <c r="E172" s="4" t="inlineStr">
        <is>
          <t xml:space="preserve">445660</t>
        </is>
      </c>
      <c r="F172" s="0" t="inlineStr">
        <is>
          <t xml:space="preserve">TVA deductible sur ABS</t>
        </is>
      </c>
      <c r="G172" s="0" t="inlineStr">
        <is>
          <t xml:space="preserve">F001-2024033</t>
        </is>
      </c>
      <c r="H172" s="0" t="inlineStr">
        <is>
          <t xml:space="preserve">Facture Scierie du Nord F001-2024033</t>
        </is>
      </c>
      <c r="I172" s="8">
        <v>4892.19</v>
      </c>
      <c r="J172" s="8">
        <v>0</v>
      </c>
      <c r="K172" s="0"/>
      <c r="L172" s="0"/>
      <c r="M172" s="8">
        <f>I172-J172</f>
      </c>
      <c r="N172" s="0" t="inlineStr">
        <is>
          <t xml:space="preserve">2024-03</t>
        </is>
      </c>
      <c r="O172" s="0">
        <f>INDEX(Journaux!$E$5:$E$18,MATCH("2024|"&amp;A172,Journaux!$A$5:$A$18,0))</f>
      </c>
      <c r="P172" s="0">
        <f>INDEX(Comptes!$H$5:$H$42,MATCH(E172,Comptes!$A$5:$A$42,0))</f>
      </c>
      <c r="Q172" s="0" t="inlineStr">
        <is>
          <t xml:space="preserve">4</t>
        </is>
      </c>
    </row>
    <row r="173">
      <c r="A173" s="4" t="inlineStr">
        <is>
          <t xml:space="preserve">AC</t>
        </is>
      </c>
      <c r="B173" s="0" t="inlineStr">
        <is>
          <t xml:space="preserve">Journal des achats</t>
        </is>
      </c>
      <c r="C173" s="0" t="inlineStr">
        <is>
          <t xml:space="preserve">AC00014</t>
        </is>
      </c>
      <c r="D173" s="10">
        <v>45356</v>
      </c>
      <c r="E173" s="4" t="inlineStr">
        <is>
          <t xml:space="preserve">401000</t>
        </is>
      </c>
      <c r="F173" s="0" t="inlineStr">
        <is>
          <t xml:space="preserve">Fournisseurs</t>
        </is>
      </c>
      <c r="G173" s="0" t="inlineStr">
        <is>
          <t xml:space="preserve">F001-2024033</t>
        </is>
      </c>
      <c r="H173" s="0" t="inlineStr">
        <is>
          <t xml:space="preserve">Facture Scierie du Nord F001-2024033</t>
        </is>
      </c>
      <c r="I173" s="8">
        <v>0</v>
      </c>
      <c r="J173" s="8">
        <v>29353.14</v>
      </c>
      <c r="K173" s="0" t="inlineStr">
        <is>
          <t xml:space="preserve">ABZ</t>
        </is>
      </c>
      <c r="L173" s="0" t="inlineStr">
        <is>
          <t xml:space="preserve">Scierie du Nord</t>
        </is>
      </c>
      <c r="M173" s="8">
        <f>I173-J173</f>
      </c>
      <c r="N173" s="0" t="inlineStr">
        <is>
          <t xml:space="preserve">2024-03</t>
        </is>
      </c>
      <c r="O173" s="0">
        <f>INDEX(Journaux!$E$5:$E$18,MATCH("2024|"&amp;A173,Journaux!$A$5:$A$18,0))</f>
      </c>
      <c r="P173" s="0">
        <f>INDEX(Comptes!$H$5:$H$42,MATCH(E173,Comptes!$A$5:$A$42,0))</f>
      </c>
      <c r="Q173" s="0" t="inlineStr">
        <is>
          <t xml:space="preserve">4</t>
        </is>
      </c>
      <c r="R173" s="7" t="inlineStr">
        <is>
          <t xml:space="preserve">401000|F001</t>
        </is>
      </c>
    </row>
    <row r="174">
      <c r="A174" s="4" t="inlineStr">
        <is>
          <t xml:space="preserve">AC</t>
        </is>
      </c>
      <c r="B174" s="0" t="inlineStr">
        <is>
          <t xml:space="preserve">Journal des achats</t>
        </is>
      </c>
      <c r="C174" s="0" t="inlineStr">
        <is>
          <t xml:space="preserve">AC00015</t>
        </is>
      </c>
      <c r="D174" s="10">
        <v>45356</v>
      </c>
      <c r="E174" s="4" t="inlineStr">
        <is>
          <t xml:space="preserve">613200</t>
        </is>
      </c>
      <c r="F174" s="0" t="inlineStr">
        <is>
          <t xml:space="preserve">Locations immobilieres</t>
        </is>
      </c>
      <c r="G174" s="0" t="inlineStr">
        <is>
          <t xml:space="preserve">F004-202403</t>
        </is>
      </c>
      <c r="H174" s="0" t="inlineStr">
        <is>
          <t xml:space="preserve">Facture SCI Les Halles 2024-03</t>
        </is>
      </c>
      <c r="I174" s="8">
        <v>8500</v>
      </c>
      <c r="J174" s="8">
        <v>0</v>
      </c>
      <c r="K174" s="0"/>
      <c r="L174" s="0"/>
      <c r="M174" s="8">
        <f>I174-J174</f>
      </c>
      <c r="N174" s="0" t="inlineStr">
        <is>
          <t xml:space="preserve">2024-03</t>
        </is>
      </c>
      <c r="O174" s="0">
        <f>INDEX(Journaux!$E$5:$E$18,MATCH("2024|"&amp;A174,Journaux!$A$5:$A$18,0))</f>
      </c>
      <c r="P174" s="0">
        <f>INDEX(Comptes!$H$5:$H$42,MATCH(E174,Comptes!$A$5:$A$42,0))</f>
      </c>
      <c r="Q174" s="0" t="inlineStr">
        <is>
          <t xml:space="preserve">6</t>
        </is>
      </c>
    </row>
    <row r="175">
      <c r="A175" s="4" t="inlineStr">
        <is>
          <t xml:space="preserve">AC</t>
        </is>
      </c>
      <c r="B175" s="0" t="inlineStr">
        <is>
          <t xml:space="preserve">Journal des achats</t>
        </is>
      </c>
      <c r="C175" s="0" t="inlineStr">
        <is>
          <t xml:space="preserve">AC00015</t>
        </is>
      </c>
      <c r="D175" s="10">
        <v>45356</v>
      </c>
      <c r="E175" s="4" t="inlineStr">
        <is>
          <t xml:space="preserve">445660</t>
        </is>
      </c>
      <c r="F175" s="0" t="inlineStr">
        <is>
          <t xml:space="preserve">TVA deductible sur ABS</t>
        </is>
      </c>
      <c r="G175" s="0" t="inlineStr">
        <is>
          <t xml:space="preserve">F004-202403</t>
        </is>
      </c>
      <c r="H175" s="0" t="inlineStr">
        <is>
          <t xml:space="preserve">Facture SCI Les Halles 2024-03</t>
        </is>
      </c>
      <c r="I175" s="8">
        <v>1700</v>
      </c>
      <c r="J175" s="8">
        <v>0</v>
      </c>
      <c r="K175" s="0"/>
      <c r="L175" s="0"/>
      <c r="M175" s="8">
        <f>I175-J175</f>
      </c>
      <c r="N175" s="0" t="inlineStr">
        <is>
          <t xml:space="preserve">2024-03</t>
        </is>
      </c>
      <c r="O175" s="0">
        <f>INDEX(Journaux!$E$5:$E$18,MATCH("2024|"&amp;A175,Journaux!$A$5:$A$18,0))</f>
      </c>
      <c r="P175" s="0">
        <f>INDEX(Comptes!$H$5:$H$42,MATCH(E175,Comptes!$A$5:$A$42,0))</f>
      </c>
      <c r="Q175" s="0" t="inlineStr">
        <is>
          <t xml:space="preserve">4</t>
        </is>
      </c>
    </row>
    <row r="176">
      <c r="A176" s="4" t="inlineStr">
        <is>
          <t xml:space="preserve">AC</t>
        </is>
      </c>
      <c r="B176" s="0" t="inlineStr">
        <is>
          <t xml:space="preserve">Journal des achats</t>
        </is>
      </c>
      <c r="C176" s="0" t="inlineStr">
        <is>
          <t xml:space="preserve">AC00015</t>
        </is>
      </c>
      <c r="D176" s="10">
        <v>45356</v>
      </c>
      <c r="E176" s="4" t="inlineStr">
        <is>
          <t xml:space="preserve">401000</t>
        </is>
      </c>
      <c r="F176" s="0" t="inlineStr">
        <is>
          <t xml:space="preserve">Fournisseurs</t>
        </is>
      </c>
      <c r="G176" s="0" t="inlineStr">
        <is>
          <t xml:space="preserve">F004-202403</t>
        </is>
      </c>
      <c r="H176" s="0" t="inlineStr">
        <is>
          <t xml:space="preserve">Facture SCI Les Halles 2024-03</t>
        </is>
      </c>
      <c r="I176" s="8">
        <v>0</v>
      </c>
      <c r="J176" s="8">
        <v>10200</v>
      </c>
      <c r="K176" s="0" t="inlineStr">
        <is>
          <t xml:space="preserve">ACA</t>
        </is>
      </c>
      <c r="L176" s="0" t="inlineStr">
        <is>
          <t xml:space="preserve">SCI Les Halles</t>
        </is>
      </c>
      <c r="M176" s="8">
        <f>I176-J176</f>
      </c>
      <c r="N176" s="0" t="inlineStr">
        <is>
          <t xml:space="preserve">2024-03</t>
        </is>
      </c>
      <c r="O176" s="0">
        <f>INDEX(Journaux!$E$5:$E$18,MATCH("2024|"&amp;A176,Journaux!$A$5:$A$18,0))</f>
      </c>
      <c r="P176" s="0">
        <f>INDEX(Comptes!$H$5:$H$42,MATCH(E176,Comptes!$A$5:$A$42,0))</f>
      </c>
      <c r="Q176" s="0" t="inlineStr">
        <is>
          <t xml:space="preserve">4</t>
        </is>
      </c>
      <c r="R176" s="7" t="inlineStr">
        <is>
          <t xml:space="preserve">401000|F004</t>
        </is>
      </c>
    </row>
    <row r="177">
      <c r="A177" s="4" t="inlineStr">
        <is>
          <t xml:space="preserve">AC</t>
        </is>
      </c>
      <c r="B177" s="0" t="inlineStr">
        <is>
          <t xml:space="preserve">Journal des achats</t>
        </is>
      </c>
      <c r="C177" s="0" t="inlineStr">
        <is>
          <t xml:space="preserve">AC00016</t>
        </is>
      </c>
      <c r="D177" s="10">
        <v>45356</v>
      </c>
      <c r="E177" s="4" t="inlineStr">
        <is>
          <t xml:space="preserve">606100</t>
        </is>
      </c>
      <c r="F177" s="0" t="inlineStr">
        <is>
          <t xml:space="preserve">Fournitures non stockables energie</t>
        </is>
      </c>
      <c r="G177" s="0" t="inlineStr">
        <is>
          <t xml:space="preserve">F005-202403</t>
        </is>
      </c>
      <c r="H177" s="0" t="inlineStr">
        <is>
          <t xml:space="preserve">Facture Energie Plus 2024-03</t>
        </is>
      </c>
      <c r="I177" s="8">
        <v>3469.31</v>
      </c>
      <c r="J177" s="8">
        <v>0</v>
      </c>
      <c r="K177" s="0"/>
      <c r="L177" s="0"/>
      <c r="M177" s="8">
        <f>I177-J177</f>
      </c>
      <c r="N177" s="0" t="inlineStr">
        <is>
          <t xml:space="preserve">2024-03</t>
        </is>
      </c>
      <c r="O177" s="0">
        <f>INDEX(Journaux!$E$5:$E$18,MATCH("2024|"&amp;A177,Journaux!$A$5:$A$18,0))</f>
      </c>
      <c r="P177" s="0">
        <f>INDEX(Comptes!$H$5:$H$42,MATCH(E177,Comptes!$A$5:$A$42,0))</f>
      </c>
      <c r="Q177" s="0" t="inlineStr">
        <is>
          <t xml:space="preserve">6</t>
        </is>
      </c>
    </row>
    <row r="178">
      <c r="A178" s="4" t="inlineStr">
        <is>
          <t xml:space="preserve">AC</t>
        </is>
      </c>
      <c r="B178" s="0" t="inlineStr">
        <is>
          <t xml:space="preserve">Journal des achats</t>
        </is>
      </c>
      <c r="C178" s="0" t="inlineStr">
        <is>
          <t xml:space="preserve">AC00016</t>
        </is>
      </c>
      <c r="D178" s="10">
        <v>45356</v>
      </c>
      <c r="E178" s="4" t="inlineStr">
        <is>
          <t xml:space="preserve">445660</t>
        </is>
      </c>
      <c r="F178" s="0" t="inlineStr">
        <is>
          <t xml:space="preserve">TVA deductible sur ABS</t>
        </is>
      </c>
      <c r="G178" s="0" t="inlineStr">
        <is>
          <t xml:space="preserve">F005-202403</t>
        </is>
      </c>
      <c r="H178" s="0" t="inlineStr">
        <is>
          <t xml:space="preserve">Facture Energie Plus 2024-03</t>
        </is>
      </c>
      <c r="I178" s="8">
        <v>693.86</v>
      </c>
      <c r="J178" s="8">
        <v>0</v>
      </c>
      <c r="K178" s="0"/>
      <c r="L178" s="0"/>
      <c r="M178" s="8">
        <f>I178-J178</f>
      </c>
      <c r="N178" s="0" t="inlineStr">
        <is>
          <t xml:space="preserve">2024-03</t>
        </is>
      </c>
      <c r="O178" s="0">
        <f>INDEX(Journaux!$E$5:$E$18,MATCH("2024|"&amp;A178,Journaux!$A$5:$A$18,0))</f>
      </c>
      <c r="P178" s="0">
        <f>INDEX(Comptes!$H$5:$H$42,MATCH(E178,Comptes!$A$5:$A$42,0))</f>
      </c>
      <c r="Q178" s="0" t="inlineStr">
        <is>
          <t xml:space="preserve">4</t>
        </is>
      </c>
    </row>
    <row r="179">
      <c r="A179" s="4" t="inlineStr">
        <is>
          <t xml:space="preserve">AC</t>
        </is>
      </c>
      <c r="B179" s="0" t="inlineStr">
        <is>
          <t xml:space="preserve">Journal des achats</t>
        </is>
      </c>
      <c r="C179" s="0" t="inlineStr">
        <is>
          <t xml:space="preserve">AC00016</t>
        </is>
      </c>
      <c r="D179" s="10">
        <v>45356</v>
      </c>
      <c r="E179" s="4" t="inlineStr">
        <is>
          <t xml:space="preserve">401000</t>
        </is>
      </c>
      <c r="F179" s="0" t="inlineStr">
        <is>
          <t xml:space="preserve">Fournisseurs</t>
        </is>
      </c>
      <c r="G179" s="0" t="inlineStr">
        <is>
          <t xml:space="preserve">F005-202403</t>
        </is>
      </c>
      <c r="H179" s="0" t="inlineStr">
        <is>
          <t xml:space="preserve">Facture Energie Plus 2024-03</t>
        </is>
      </c>
      <c r="I179" s="8">
        <v>0</v>
      </c>
      <c r="J179" s="8">
        <v>4163.17</v>
      </c>
      <c r="K179" s="0" t="inlineStr">
        <is>
          <t xml:space="preserve">ACB</t>
        </is>
      </c>
      <c r="L179" s="0" t="inlineStr">
        <is>
          <t xml:space="preserve">Energie Plus</t>
        </is>
      </c>
      <c r="M179" s="8">
        <f>I179-J179</f>
      </c>
      <c r="N179" s="0" t="inlineStr">
        <is>
          <t xml:space="preserve">2024-03</t>
        </is>
      </c>
      <c r="O179" s="0">
        <f>INDEX(Journaux!$E$5:$E$18,MATCH("2024|"&amp;A179,Journaux!$A$5:$A$18,0))</f>
      </c>
      <c r="P179" s="0">
        <f>INDEX(Comptes!$H$5:$H$42,MATCH(E179,Comptes!$A$5:$A$42,0))</f>
      </c>
      <c r="Q179" s="0" t="inlineStr">
        <is>
          <t xml:space="preserve">4</t>
        </is>
      </c>
      <c r="R179" s="7" t="inlineStr">
        <is>
          <t xml:space="preserve">401000|F005</t>
        </is>
      </c>
    </row>
    <row r="180">
      <c r="A180" s="4" t="inlineStr">
        <is>
          <t xml:space="preserve">AC</t>
        </is>
      </c>
      <c r="B180" s="0" t="inlineStr">
        <is>
          <t xml:space="preserve">Journal des achats</t>
        </is>
      </c>
      <c r="C180" s="0" t="inlineStr">
        <is>
          <t xml:space="preserve">AC00017</t>
        </is>
      </c>
      <c r="D180" s="10">
        <v>45356</v>
      </c>
      <c r="E180" s="4" t="inlineStr">
        <is>
          <t xml:space="preserve">626000</t>
        </is>
      </c>
      <c r="F180" s="0" t="inlineStr">
        <is>
          <t xml:space="preserve">Frais postaux et telecommunications</t>
        </is>
      </c>
      <c r="G180" s="0" t="inlineStr">
        <is>
          <t xml:space="preserve">F008-202403</t>
        </is>
      </c>
      <c r="H180" s="0" t="inlineStr">
        <is>
          <t xml:space="preserve">Facture Telecom Pro 2024-03</t>
        </is>
      </c>
      <c r="I180" s="8">
        <v>480</v>
      </c>
      <c r="J180" s="8">
        <v>0</v>
      </c>
      <c r="K180" s="0"/>
      <c r="L180" s="0"/>
      <c r="M180" s="8">
        <f>I180-J180</f>
      </c>
      <c r="N180" s="0" t="inlineStr">
        <is>
          <t xml:space="preserve">2024-03</t>
        </is>
      </c>
      <c r="O180" s="0">
        <f>INDEX(Journaux!$E$5:$E$18,MATCH("2024|"&amp;A180,Journaux!$A$5:$A$18,0))</f>
      </c>
      <c r="P180" s="0">
        <f>INDEX(Comptes!$H$5:$H$42,MATCH(E180,Comptes!$A$5:$A$42,0))</f>
      </c>
      <c r="Q180" s="0" t="inlineStr">
        <is>
          <t xml:space="preserve">6</t>
        </is>
      </c>
    </row>
    <row r="181">
      <c r="A181" s="4" t="inlineStr">
        <is>
          <t xml:space="preserve">AC</t>
        </is>
      </c>
      <c r="B181" s="0" t="inlineStr">
        <is>
          <t xml:space="preserve">Journal des achats</t>
        </is>
      </c>
      <c r="C181" s="0" t="inlineStr">
        <is>
          <t xml:space="preserve">AC00017</t>
        </is>
      </c>
      <c r="D181" s="10">
        <v>45356</v>
      </c>
      <c r="E181" s="4" t="inlineStr">
        <is>
          <t xml:space="preserve">445660</t>
        </is>
      </c>
      <c r="F181" s="0" t="inlineStr">
        <is>
          <t xml:space="preserve">TVA deductible sur ABS</t>
        </is>
      </c>
      <c r="G181" s="0" t="inlineStr">
        <is>
          <t xml:space="preserve">F008-202403</t>
        </is>
      </c>
      <c r="H181" s="0" t="inlineStr">
        <is>
          <t xml:space="preserve">Facture Telecom Pro 2024-03</t>
        </is>
      </c>
      <c r="I181" s="8">
        <v>96</v>
      </c>
      <c r="J181" s="8">
        <v>0</v>
      </c>
      <c r="K181" s="0"/>
      <c r="L181" s="0"/>
      <c r="M181" s="8">
        <f>I181-J181</f>
      </c>
      <c r="N181" s="0" t="inlineStr">
        <is>
          <t xml:space="preserve">2024-03</t>
        </is>
      </c>
      <c r="O181" s="0">
        <f>INDEX(Journaux!$E$5:$E$18,MATCH("2024|"&amp;A181,Journaux!$A$5:$A$18,0))</f>
      </c>
      <c r="P181" s="0">
        <f>INDEX(Comptes!$H$5:$H$42,MATCH(E181,Comptes!$A$5:$A$42,0))</f>
      </c>
      <c r="Q181" s="0" t="inlineStr">
        <is>
          <t xml:space="preserve">4</t>
        </is>
      </c>
    </row>
    <row r="182">
      <c r="A182" s="4" t="inlineStr">
        <is>
          <t xml:space="preserve">AC</t>
        </is>
      </c>
      <c r="B182" s="0" t="inlineStr">
        <is>
          <t xml:space="preserve">Journal des achats</t>
        </is>
      </c>
      <c r="C182" s="0" t="inlineStr">
        <is>
          <t xml:space="preserve">AC00017</t>
        </is>
      </c>
      <c r="D182" s="10">
        <v>45356</v>
      </c>
      <c r="E182" s="4" t="inlineStr">
        <is>
          <t xml:space="preserve">401000</t>
        </is>
      </c>
      <c r="F182" s="0" t="inlineStr">
        <is>
          <t xml:space="preserve">Fournisseurs</t>
        </is>
      </c>
      <c r="G182" s="0" t="inlineStr">
        <is>
          <t xml:space="preserve">F008-202403</t>
        </is>
      </c>
      <c r="H182" s="0" t="inlineStr">
        <is>
          <t xml:space="preserve">Facture Telecom Pro 2024-03</t>
        </is>
      </c>
      <c r="I182" s="8">
        <v>0</v>
      </c>
      <c r="J182" s="8">
        <v>576</v>
      </c>
      <c r="K182" s="0" t="inlineStr">
        <is>
          <t xml:space="preserve">ACC</t>
        </is>
      </c>
      <c r="L182" s="0" t="inlineStr">
        <is>
          <t xml:space="preserve">Telecom Pro</t>
        </is>
      </c>
      <c r="M182" s="8">
        <f>I182-J182</f>
      </c>
      <c r="N182" s="0" t="inlineStr">
        <is>
          <t xml:space="preserve">2024-03</t>
        </is>
      </c>
      <c r="O182" s="0">
        <f>INDEX(Journaux!$E$5:$E$18,MATCH("2024|"&amp;A182,Journaux!$A$5:$A$18,0))</f>
      </c>
      <c r="P182" s="0">
        <f>INDEX(Comptes!$H$5:$H$42,MATCH(E182,Comptes!$A$5:$A$42,0))</f>
      </c>
      <c r="Q182" s="0" t="inlineStr">
        <is>
          <t xml:space="preserve">4</t>
        </is>
      </c>
      <c r="R182" s="7" t="inlineStr">
        <is>
          <t xml:space="preserve">401000|F008</t>
        </is>
      </c>
    </row>
    <row r="183">
      <c r="A183" s="4" t="inlineStr">
        <is>
          <t xml:space="preserve">AC</t>
        </is>
      </c>
      <c r="B183" s="0" t="inlineStr">
        <is>
          <t xml:space="preserve">Journal des achats</t>
        </is>
      </c>
      <c r="C183" s="0" t="inlineStr">
        <is>
          <t xml:space="preserve">AC00018</t>
        </is>
      </c>
      <c r="D183" s="10">
        <v>45356</v>
      </c>
      <c r="E183" s="4" t="inlineStr">
        <is>
          <t xml:space="preserve">622600</t>
        </is>
      </c>
      <c r="F183" s="0" t="inlineStr">
        <is>
          <t xml:space="preserve">Honoraires</t>
        </is>
      </c>
      <c r="G183" s="0" t="inlineStr">
        <is>
          <t xml:space="preserve">F007-202403</t>
        </is>
      </c>
      <c r="H183" s="0" t="inlineStr">
        <is>
          <t xml:space="preserve">Facture Cabinet Comptable Exemple 2024-03</t>
        </is>
      </c>
      <c r="I183" s="8">
        <v>6000</v>
      </c>
      <c r="J183" s="8">
        <v>0</v>
      </c>
      <c r="K183" s="0"/>
      <c r="L183" s="0"/>
      <c r="M183" s="8">
        <f>I183-J183</f>
      </c>
      <c r="N183" s="0" t="inlineStr">
        <is>
          <t xml:space="preserve">2024-03</t>
        </is>
      </c>
      <c r="O183" s="0">
        <f>INDEX(Journaux!$E$5:$E$18,MATCH("2024|"&amp;A183,Journaux!$A$5:$A$18,0))</f>
      </c>
      <c r="P183" s="0">
        <f>INDEX(Comptes!$H$5:$H$42,MATCH(E183,Comptes!$A$5:$A$42,0))</f>
      </c>
      <c r="Q183" s="0" t="inlineStr">
        <is>
          <t xml:space="preserve">6</t>
        </is>
      </c>
    </row>
    <row r="184">
      <c r="A184" s="4" t="inlineStr">
        <is>
          <t xml:space="preserve">AC</t>
        </is>
      </c>
      <c r="B184" s="0" t="inlineStr">
        <is>
          <t xml:space="preserve">Journal des achats</t>
        </is>
      </c>
      <c r="C184" s="0" t="inlineStr">
        <is>
          <t xml:space="preserve">AC00018</t>
        </is>
      </c>
      <c r="D184" s="10">
        <v>45356</v>
      </c>
      <c r="E184" s="4" t="inlineStr">
        <is>
          <t xml:space="preserve">445660</t>
        </is>
      </c>
      <c r="F184" s="0" t="inlineStr">
        <is>
          <t xml:space="preserve">TVA deductible sur ABS</t>
        </is>
      </c>
      <c r="G184" s="0" t="inlineStr">
        <is>
          <t xml:space="preserve">F007-202403</t>
        </is>
      </c>
      <c r="H184" s="0" t="inlineStr">
        <is>
          <t xml:space="preserve">Facture Cabinet Comptable Exemple 2024-03</t>
        </is>
      </c>
      <c r="I184" s="8">
        <v>1200</v>
      </c>
      <c r="J184" s="8">
        <v>0</v>
      </c>
      <c r="K184" s="0"/>
      <c r="L184" s="0"/>
      <c r="M184" s="8">
        <f>I184-J184</f>
      </c>
      <c r="N184" s="0" t="inlineStr">
        <is>
          <t xml:space="preserve">2024-03</t>
        </is>
      </c>
      <c r="O184" s="0">
        <f>INDEX(Journaux!$E$5:$E$18,MATCH("2024|"&amp;A184,Journaux!$A$5:$A$18,0))</f>
      </c>
      <c r="P184" s="0">
        <f>INDEX(Comptes!$H$5:$H$42,MATCH(E184,Comptes!$A$5:$A$42,0))</f>
      </c>
      <c r="Q184" s="0" t="inlineStr">
        <is>
          <t xml:space="preserve">4</t>
        </is>
      </c>
    </row>
    <row r="185">
      <c r="A185" s="4" t="inlineStr">
        <is>
          <t xml:space="preserve">AC</t>
        </is>
      </c>
      <c r="B185" s="0" t="inlineStr">
        <is>
          <t xml:space="preserve">Journal des achats</t>
        </is>
      </c>
      <c r="C185" s="0" t="inlineStr">
        <is>
          <t xml:space="preserve">AC00018</t>
        </is>
      </c>
      <c r="D185" s="10">
        <v>45356</v>
      </c>
      <c r="E185" s="4" t="inlineStr">
        <is>
          <t xml:space="preserve">401000</t>
        </is>
      </c>
      <c r="F185" s="0" t="inlineStr">
        <is>
          <t xml:space="preserve">Fournisseurs</t>
        </is>
      </c>
      <c r="G185" s="0" t="inlineStr">
        <is>
          <t xml:space="preserve">F007-202403</t>
        </is>
      </c>
      <c r="H185" s="0" t="inlineStr">
        <is>
          <t xml:space="preserve">Facture Cabinet Comptable Exemple 2024-03</t>
        </is>
      </c>
      <c r="I185" s="8">
        <v>0</v>
      </c>
      <c r="J185" s="8">
        <v>7200</v>
      </c>
      <c r="K185" s="0" t="inlineStr">
        <is>
          <t xml:space="preserve">ACD</t>
        </is>
      </c>
      <c r="L185" s="0" t="inlineStr">
        <is>
          <t xml:space="preserve">Cabinet Comptable Exemple</t>
        </is>
      </c>
      <c r="M185" s="8">
        <f>I185-J185</f>
      </c>
      <c r="N185" s="0" t="inlineStr">
        <is>
          <t xml:space="preserve">2024-03</t>
        </is>
      </c>
      <c r="O185" s="0">
        <f>INDEX(Journaux!$E$5:$E$18,MATCH("2024|"&amp;A185,Journaux!$A$5:$A$18,0))</f>
      </c>
      <c r="P185" s="0">
        <f>INDEX(Comptes!$H$5:$H$42,MATCH(E185,Comptes!$A$5:$A$42,0))</f>
      </c>
      <c r="Q185" s="0" t="inlineStr">
        <is>
          <t xml:space="preserve">4</t>
        </is>
      </c>
      <c r="R185" s="7" t="inlineStr">
        <is>
          <t xml:space="preserve">401000|F007</t>
        </is>
      </c>
    </row>
    <row r="186">
      <c r="A186" s="4" t="inlineStr">
        <is>
          <t xml:space="preserve">VT</t>
        </is>
      </c>
      <c r="B186" s="0" t="inlineStr">
        <is>
          <t xml:space="preserve">Journal des ventes</t>
        </is>
      </c>
      <c r="C186" s="0" t="inlineStr">
        <is>
          <t xml:space="preserve">VT00017</t>
        </is>
      </c>
      <c r="D186" s="10">
        <v>45356</v>
      </c>
      <c r="E186" s="4" t="inlineStr">
        <is>
          <t xml:space="preserve">411000</t>
        </is>
      </c>
      <c r="F186" s="0" t="inlineStr">
        <is>
          <t xml:space="preserve">Clients</t>
        </is>
      </c>
      <c r="G186" s="0" t="inlineStr">
        <is>
          <t xml:space="preserve">FA2024-0017</t>
        </is>
      </c>
      <c r="H186" s="0" t="inlineStr">
        <is>
          <t xml:space="preserve">Facture FA2024-0017 Coworking Atelier 9</t>
        </is>
      </c>
      <c r="I186" s="8">
        <v>22939.06</v>
      </c>
      <c r="J186" s="8">
        <v>0</v>
      </c>
      <c r="K186" s="0" t="inlineStr">
        <is>
          <t xml:space="preserve">AAV</t>
        </is>
      </c>
      <c r="L186" s="0" t="inlineStr">
        <is>
          <t xml:space="preserve">Coworking Atelier 9</t>
        </is>
      </c>
      <c r="M186" s="8">
        <f>I186-J186</f>
      </c>
      <c r="N186" s="0" t="inlineStr">
        <is>
          <t xml:space="preserve">2024-03</t>
        </is>
      </c>
      <c r="O186" s="0">
        <f>INDEX(Journaux!$E$5:$E$18,MATCH("2024|"&amp;A186,Journaux!$A$5:$A$18,0))</f>
      </c>
      <c r="P186" s="0">
        <f>INDEX(Comptes!$H$5:$H$42,MATCH(E186,Comptes!$A$5:$A$42,0))</f>
      </c>
      <c r="Q186" s="0" t="inlineStr">
        <is>
          <t xml:space="preserve">4</t>
        </is>
      </c>
      <c r="R186" s="7" t="inlineStr">
        <is>
          <t xml:space="preserve">411000|C008</t>
        </is>
      </c>
    </row>
    <row r="187">
      <c r="A187" s="4" t="inlineStr">
        <is>
          <t xml:space="preserve">VT</t>
        </is>
      </c>
      <c r="B187" s="0" t="inlineStr">
        <is>
          <t xml:space="preserve">Journal des ventes</t>
        </is>
      </c>
      <c r="C187" s="0" t="inlineStr">
        <is>
          <t xml:space="preserve">VT00017</t>
        </is>
      </c>
      <c r="D187" s="10">
        <v>45356</v>
      </c>
      <c r="E187" s="4" t="inlineStr">
        <is>
          <t xml:space="preserve">701000</t>
        </is>
      </c>
      <c r="F187" s="0" t="inlineStr">
        <is>
          <t xml:space="preserve">Ventes de produits finis</t>
        </is>
      </c>
      <c r="G187" s="0" t="inlineStr">
        <is>
          <t xml:space="preserve">FA2024-0017</t>
        </is>
      </c>
      <c r="H187" s="0" t="inlineStr">
        <is>
          <t xml:space="preserve">Facture FA2024-0017 Coworking Atelier 9</t>
        </is>
      </c>
      <c r="I187" s="8">
        <v>0</v>
      </c>
      <c r="J187" s="8">
        <v>19115.88</v>
      </c>
      <c r="K187" s="0"/>
      <c r="L187" s="0"/>
      <c r="M187" s="8">
        <f>I187-J187</f>
      </c>
      <c r="N187" s="0" t="inlineStr">
        <is>
          <t xml:space="preserve">2024-03</t>
        </is>
      </c>
      <c r="O187" s="0">
        <f>INDEX(Journaux!$E$5:$E$18,MATCH("2024|"&amp;A187,Journaux!$A$5:$A$18,0))</f>
      </c>
      <c r="P187" s="0">
        <f>INDEX(Comptes!$H$5:$H$42,MATCH(E187,Comptes!$A$5:$A$42,0))</f>
      </c>
      <c r="Q187" s="0" t="inlineStr">
        <is>
          <t xml:space="preserve">7</t>
        </is>
      </c>
    </row>
    <row r="188">
      <c r="A188" s="4" t="inlineStr">
        <is>
          <t xml:space="preserve">VT</t>
        </is>
      </c>
      <c r="B188" s="0" t="inlineStr">
        <is>
          <t xml:space="preserve">Journal des ventes</t>
        </is>
      </c>
      <c r="C188" s="0" t="inlineStr">
        <is>
          <t xml:space="preserve">VT00017</t>
        </is>
      </c>
      <c r="D188" s="10">
        <v>45356</v>
      </c>
      <c r="E188" s="4" t="inlineStr">
        <is>
          <t xml:space="preserve">445710</t>
        </is>
      </c>
      <c r="F188" s="0" t="inlineStr">
        <is>
          <t xml:space="preserve">TVA collectee</t>
        </is>
      </c>
      <c r="G188" s="0" t="inlineStr">
        <is>
          <t xml:space="preserve">FA2024-0017</t>
        </is>
      </c>
      <c r="H188" s="0" t="inlineStr">
        <is>
          <t xml:space="preserve">Facture FA2024-0017 Coworking Atelier 9</t>
        </is>
      </c>
      <c r="I188" s="8">
        <v>0</v>
      </c>
      <c r="J188" s="8">
        <v>3823.18</v>
      </c>
      <c r="K188" s="0"/>
      <c r="L188" s="0"/>
      <c r="M188" s="8">
        <f>I188-J188</f>
      </c>
      <c r="N188" s="0" t="inlineStr">
        <is>
          <t xml:space="preserve">2024-03</t>
        </is>
      </c>
      <c r="O188" s="0">
        <f>INDEX(Journaux!$E$5:$E$18,MATCH("2024|"&amp;A188,Journaux!$A$5:$A$18,0))</f>
      </c>
      <c r="P188" s="0">
        <f>INDEX(Comptes!$H$5:$H$42,MATCH(E188,Comptes!$A$5:$A$42,0))</f>
      </c>
      <c r="Q188" s="0" t="inlineStr">
        <is>
          <t xml:space="preserve">4</t>
        </is>
      </c>
    </row>
    <row r="189">
      <c r="A189" s="4" t="inlineStr">
        <is>
          <t xml:space="preserve">BQ</t>
        </is>
      </c>
      <c r="B189" s="0" t="inlineStr">
        <is>
          <t xml:space="preserve">Banque Fictive</t>
        </is>
      </c>
      <c r="C189" s="0" t="inlineStr">
        <is>
          <t xml:space="preserve">BQ00133</t>
        </is>
      </c>
      <c r="D189" s="10">
        <v>45357</v>
      </c>
      <c r="E189" s="4" t="inlineStr">
        <is>
          <t xml:space="preserve">401000</t>
        </is>
      </c>
      <c r="F189" s="0" t="inlineStr">
        <is>
          <t xml:space="preserve">Fournisseurs</t>
        </is>
      </c>
      <c r="G189" s="0" t="inlineStr">
        <is>
          <t xml:space="preserve">DEC-F004-202402</t>
        </is>
      </c>
      <c r="H189" s="0" t="inlineStr">
        <is>
          <t xml:space="preserve">Reglement fournisseur SCI Les Halles F004-202402</t>
        </is>
      </c>
      <c r="I189" s="8">
        <v>10200</v>
      </c>
      <c r="J189" s="8">
        <v>0</v>
      </c>
      <c r="K189" s="0" t="inlineStr">
        <is>
          <t xml:space="preserve">ABU</t>
        </is>
      </c>
      <c r="L189" s="0" t="inlineStr">
        <is>
          <t xml:space="preserve">SCI Les Halles</t>
        </is>
      </c>
      <c r="M189" s="8">
        <f>I189-J189</f>
      </c>
      <c r="N189" s="0" t="inlineStr">
        <is>
          <t xml:space="preserve">2024-03</t>
        </is>
      </c>
      <c r="O189" s="0">
        <f>INDEX(Journaux!$E$5:$E$18,MATCH("2024|"&amp;A189,Journaux!$A$5:$A$18,0))</f>
      </c>
      <c r="P189" s="0">
        <f>INDEX(Comptes!$H$5:$H$42,MATCH(E189,Comptes!$A$5:$A$42,0))</f>
      </c>
      <c r="Q189" s="0" t="inlineStr">
        <is>
          <t xml:space="preserve">4</t>
        </is>
      </c>
      <c r="R189" s="7" t="inlineStr">
        <is>
          <t xml:space="preserve">401000|F004</t>
        </is>
      </c>
    </row>
    <row r="190">
      <c r="A190" s="4" t="inlineStr">
        <is>
          <t xml:space="preserve">BQ</t>
        </is>
      </c>
      <c r="B190" s="0" t="inlineStr">
        <is>
          <t xml:space="preserve">Banque Fictive</t>
        </is>
      </c>
      <c r="C190" s="0" t="inlineStr">
        <is>
          <t xml:space="preserve">BQ00133</t>
        </is>
      </c>
      <c r="D190" s="10">
        <v>45357</v>
      </c>
      <c r="E190" s="4" t="inlineStr">
        <is>
          <t xml:space="preserve">512000</t>
        </is>
      </c>
      <c r="F190" s="0" t="inlineStr">
        <is>
          <t xml:space="preserve">Banque Fictive</t>
        </is>
      </c>
      <c r="G190" s="0" t="inlineStr">
        <is>
          <t xml:space="preserve">DEC-F004-202402</t>
        </is>
      </c>
      <c r="H190" s="0" t="inlineStr">
        <is>
          <t xml:space="preserve">Reglement fournisseur SCI Les Halles F004-202402</t>
        </is>
      </c>
      <c r="I190" s="8">
        <v>0</v>
      </c>
      <c r="J190" s="8">
        <v>10200</v>
      </c>
      <c r="K190" s="0"/>
      <c r="L190" s="0"/>
      <c r="M190" s="8">
        <f>I190-J190</f>
      </c>
      <c r="N190" s="0" t="inlineStr">
        <is>
          <t xml:space="preserve">2024-03</t>
        </is>
      </c>
      <c r="O190" s="0">
        <f>INDEX(Journaux!$E$5:$E$18,MATCH("2024|"&amp;A190,Journaux!$A$5:$A$18,0))</f>
      </c>
      <c r="P190" s="0">
        <f>INDEX(Comptes!$H$5:$H$42,MATCH(E190,Comptes!$A$5:$A$42,0))</f>
      </c>
      <c r="Q190" s="0" t="inlineStr">
        <is>
          <t xml:space="preserve">5</t>
        </is>
      </c>
    </row>
    <row r="191">
      <c r="A191" s="4" t="inlineStr">
        <is>
          <t xml:space="preserve">BQ</t>
        </is>
      </c>
      <c r="B191" s="0" t="inlineStr">
        <is>
          <t xml:space="preserve">Banque Fictive</t>
        </is>
      </c>
      <c r="C191" s="0" t="inlineStr">
        <is>
          <t xml:space="preserve">BQ00134</t>
        </is>
      </c>
      <c r="D191" s="10">
        <v>45357</v>
      </c>
      <c r="E191" s="4" t="inlineStr">
        <is>
          <t xml:space="preserve">401000</t>
        </is>
      </c>
      <c r="F191" s="0" t="inlineStr">
        <is>
          <t xml:space="preserve">Fournisseurs</t>
        </is>
      </c>
      <c r="G191" s="0" t="inlineStr">
        <is>
          <t xml:space="preserve">DEC-F005-202402</t>
        </is>
      </c>
      <c r="H191" s="0" t="inlineStr">
        <is>
          <t xml:space="preserve">Reglement fournisseur Energie Plus F005-202402</t>
        </is>
      </c>
      <c r="I191" s="8">
        <v>3628.86</v>
      </c>
      <c r="J191" s="8">
        <v>0</v>
      </c>
      <c r="K191" s="0" t="inlineStr">
        <is>
          <t xml:space="preserve">ABV</t>
        </is>
      </c>
      <c r="L191" s="0" t="inlineStr">
        <is>
          <t xml:space="preserve">Energie Plus</t>
        </is>
      </c>
      <c r="M191" s="8">
        <f>I191-J191</f>
      </c>
      <c r="N191" s="0" t="inlineStr">
        <is>
          <t xml:space="preserve">2024-03</t>
        </is>
      </c>
      <c r="O191" s="0">
        <f>INDEX(Journaux!$E$5:$E$18,MATCH("2024|"&amp;A191,Journaux!$A$5:$A$18,0))</f>
      </c>
      <c r="P191" s="0">
        <f>INDEX(Comptes!$H$5:$H$42,MATCH(E191,Comptes!$A$5:$A$42,0))</f>
      </c>
      <c r="Q191" s="0" t="inlineStr">
        <is>
          <t xml:space="preserve">4</t>
        </is>
      </c>
      <c r="R191" s="7" t="inlineStr">
        <is>
          <t xml:space="preserve">401000|F005</t>
        </is>
      </c>
    </row>
    <row r="192">
      <c r="A192" s="4" t="inlineStr">
        <is>
          <t xml:space="preserve">BQ</t>
        </is>
      </c>
      <c r="B192" s="0" t="inlineStr">
        <is>
          <t xml:space="preserve">Banque Fictive</t>
        </is>
      </c>
      <c r="C192" s="0" t="inlineStr">
        <is>
          <t xml:space="preserve">BQ00134</t>
        </is>
      </c>
      <c r="D192" s="10">
        <v>45357</v>
      </c>
      <c r="E192" s="4" t="inlineStr">
        <is>
          <t xml:space="preserve">512000</t>
        </is>
      </c>
      <c r="F192" s="0" t="inlineStr">
        <is>
          <t xml:space="preserve">Banque Fictive</t>
        </is>
      </c>
      <c r="G192" s="0" t="inlineStr">
        <is>
          <t xml:space="preserve">DEC-F005-202402</t>
        </is>
      </c>
      <c r="H192" s="0" t="inlineStr">
        <is>
          <t xml:space="preserve">Reglement fournisseur Energie Plus F005-202402</t>
        </is>
      </c>
      <c r="I192" s="8">
        <v>0</v>
      </c>
      <c r="J192" s="8">
        <v>3628.86</v>
      </c>
      <c r="K192" s="0"/>
      <c r="L192" s="0"/>
      <c r="M192" s="8">
        <f>I192-J192</f>
      </c>
      <c r="N192" s="0" t="inlineStr">
        <is>
          <t xml:space="preserve">2024-03</t>
        </is>
      </c>
      <c r="O192" s="0">
        <f>INDEX(Journaux!$E$5:$E$18,MATCH("2024|"&amp;A192,Journaux!$A$5:$A$18,0))</f>
      </c>
      <c r="P192" s="0">
        <f>INDEX(Comptes!$H$5:$H$42,MATCH(E192,Comptes!$A$5:$A$42,0))</f>
      </c>
      <c r="Q192" s="0" t="inlineStr">
        <is>
          <t xml:space="preserve">5</t>
        </is>
      </c>
    </row>
    <row r="193">
      <c r="A193" s="4" t="inlineStr">
        <is>
          <t xml:space="preserve">BQ</t>
        </is>
      </c>
      <c r="B193" s="0" t="inlineStr">
        <is>
          <t xml:space="preserve">Banque Fictive</t>
        </is>
      </c>
      <c r="C193" s="0" t="inlineStr">
        <is>
          <t xml:space="preserve">BQ00135</t>
        </is>
      </c>
      <c r="D193" s="10">
        <v>45357</v>
      </c>
      <c r="E193" s="4" t="inlineStr">
        <is>
          <t xml:space="preserve">401000</t>
        </is>
      </c>
      <c r="F193" s="0" t="inlineStr">
        <is>
          <t xml:space="preserve">Fournisseurs</t>
        </is>
      </c>
      <c r="G193" s="0" t="inlineStr">
        <is>
          <t xml:space="preserve">DEC-F008-202402</t>
        </is>
      </c>
      <c r="H193" s="0" t="inlineStr">
        <is>
          <t xml:space="preserve">Reglement fournisseur Telecom Pro F008-202402</t>
        </is>
      </c>
      <c r="I193" s="8">
        <v>576</v>
      </c>
      <c r="J193" s="8">
        <v>0</v>
      </c>
      <c r="K193" s="0" t="inlineStr">
        <is>
          <t xml:space="preserve">ABW</t>
        </is>
      </c>
      <c r="L193" s="0" t="inlineStr">
        <is>
          <t xml:space="preserve">Telecom Pro</t>
        </is>
      </c>
      <c r="M193" s="8">
        <f>I193-J193</f>
      </c>
      <c r="N193" s="0" t="inlineStr">
        <is>
          <t xml:space="preserve">2024-03</t>
        </is>
      </c>
      <c r="O193" s="0">
        <f>INDEX(Journaux!$E$5:$E$18,MATCH("2024|"&amp;A193,Journaux!$A$5:$A$18,0))</f>
      </c>
      <c r="P193" s="0">
        <f>INDEX(Comptes!$H$5:$H$42,MATCH(E193,Comptes!$A$5:$A$42,0))</f>
      </c>
      <c r="Q193" s="0" t="inlineStr">
        <is>
          <t xml:space="preserve">4</t>
        </is>
      </c>
      <c r="R193" s="7" t="inlineStr">
        <is>
          <t xml:space="preserve">401000|F008</t>
        </is>
      </c>
    </row>
    <row r="194">
      <c r="A194" s="4" t="inlineStr">
        <is>
          <t xml:space="preserve">BQ</t>
        </is>
      </c>
      <c r="B194" s="0" t="inlineStr">
        <is>
          <t xml:space="preserve">Banque Fictive</t>
        </is>
      </c>
      <c r="C194" s="0" t="inlineStr">
        <is>
          <t xml:space="preserve">BQ00135</t>
        </is>
      </c>
      <c r="D194" s="10">
        <v>45357</v>
      </c>
      <c r="E194" s="4" t="inlineStr">
        <is>
          <t xml:space="preserve">512000</t>
        </is>
      </c>
      <c r="F194" s="0" t="inlineStr">
        <is>
          <t xml:space="preserve">Banque Fictive</t>
        </is>
      </c>
      <c r="G194" s="0" t="inlineStr">
        <is>
          <t xml:space="preserve">DEC-F008-202402</t>
        </is>
      </c>
      <c r="H194" s="0" t="inlineStr">
        <is>
          <t xml:space="preserve">Reglement fournisseur Telecom Pro F008-202402</t>
        </is>
      </c>
      <c r="I194" s="8">
        <v>0</v>
      </c>
      <c r="J194" s="8">
        <v>576</v>
      </c>
      <c r="K194" s="0"/>
      <c r="L194" s="0"/>
      <c r="M194" s="8">
        <f>I194-J194</f>
      </c>
      <c r="N194" s="0" t="inlineStr">
        <is>
          <t xml:space="preserve">2024-03</t>
        </is>
      </c>
      <c r="O194" s="0">
        <f>INDEX(Journaux!$E$5:$E$18,MATCH("2024|"&amp;A194,Journaux!$A$5:$A$18,0))</f>
      </c>
      <c r="P194" s="0">
        <f>INDEX(Comptes!$H$5:$H$42,MATCH(E194,Comptes!$A$5:$A$42,0))</f>
      </c>
      <c r="Q194" s="0" t="inlineStr">
        <is>
          <t xml:space="preserve">5</t>
        </is>
      </c>
    </row>
    <row r="195">
      <c r="A195" s="4" t="inlineStr">
        <is>
          <t xml:space="preserve">VT</t>
        </is>
      </c>
      <c r="B195" s="0" t="inlineStr">
        <is>
          <t xml:space="preserve">Journal des ventes</t>
        </is>
      </c>
      <c r="C195" s="0" t="inlineStr">
        <is>
          <t xml:space="preserve">VT00014</t>
        </is>
      </c>
      <c r="D195" s="10">
        <v>45358</v>
      </c>
      <c r="E195" s="4" t="inlineStr">
        <is>
          <t xml:space="preserve">411000</t>
        </is>
      </c>
      <c r="F195" s="0" t="inlineStr">
        <is>
          <t xml:space="preserve">Clients</t>
        </is>
      </c>
      <c r="G195" s="0" t="inlineStr">
        <is>
          <t xml:space="preserve">FA2024-0014</t>
        </is>
      </c>
      <c r="H195" s="0" t="inlineStr">
        <is>
          <t xml:space="preserve">Facture FA2024-0014 Agence Mobilis</t>
        </is>
      </c>
      <c r="I195" s="8">
        <v>27597.73</v>
      </c>
      <c r="J195" s="8">
        <v>0</v>
      </c>
      <c r="K195" s="0" t="inlineStr">
        <is>
          <t xml:space="preserve">AAS</t>
        </is>
      </c>
      <c r="L195" s="0" t="inlineStr">
        <is>
          <t xml:space="preserve">Agence Mobilis</t>
        </is>
      </c>
      <c r="M195" s="8">
        <f>I195-J195</f>
      </c>
      <c r="N195" s="0" t="inlineStr">
        <is>
          <t xml:space="preserve">2024-03</t>
        </is>
      </c>
      <c r="O195" s="0">
        <f>INDEX(Journaux!$E$5:$E$18,MATCH("2024|"&amp;A195,Journaux!$A$5:$A$18,0))</f>
      </c>
      <c r="P195" s="0">
        <f>INDEX(Comptes!$H$5:$H$42,MATCH(E195,Comptes!$A$5:$A$42,0))</f>
      </c>
      <c r="Q195" s="0" t="inlineStr">
        <is>
          <t xml:space="preserve">4</t>
        </is>
      </c>
      <c r="R195" s="7" t="inlineStr">
        <is>
          <t xml:space="preserve">411000|C002</t>
        </is>
      </c>
    </row>
    <row r="196">
      <c r="A196" s="4" t="inlineStr">
        <is>
          <t xml:space="preserve">VT</t>
        </is>
      </c>
      <c r="B196" s="0" t="inlineStr">
        <is>
          <t xml:space="preserve">Journal des ventes</t>
        </is>
      </c>
      <c r="C196" s="0" t="inlineStr">
        <is>
          <t xml:space="preserve">VT00014</t>
        </is>
      </c>
      <c r="D196" s="10">
        <v>45358</v>
      </c>
      <c r="E196" s="4" t="inlineStr">
        <is>
          <t xml:space="preserve">701000</t>
        </is>
      </c>
      <c r="F196" s="0" t="inlineStr">
        <is>
          <t xml:space="preserve">Ventes de produits finis</t>
        </is>
      </c>
      <c r="G196" s="0" t="inlineStr">
        <is>
          <t xml:space="preserve">FA2024-0014</t>
        </is>
      </c>
      <c r="H196" s="0" t="inlineStr">
        <is>
          <t xml:space="preserve">Facture FA2024-0014 Agence Mobilis</t>
        </is>
      </c>
      <c r="I196" s="8">
        <v>0</v>
      </c>
      <c r="J196" s="8">
        <v>22998.11</v>
      </c>
      <c r="K196" s="0"/>
      <c r="L196" s="0"/>
      <c r="M196" s="8">
        <f>I196-J196</f>
      </c>
      <c r="N196" s="0" t="inlineStr">
        <is>
          <t xml:space="preserve">2024-03</t>
        </is>
      </c>
      <c r="O196" s="0">
        <f>INDEX(Journaux!$E$5:$E$18,MATCH("2024|"&amp;A196,Journaux!$A$5:$A$18,0))</f>
      </c>
      <c r="P196" s="0">
        <f>INDEX(Comptes!$H$5:$H$42,MATCH(E196,Comptes!$A$5:$A$42,0))</f>
      </c>
      <c r="Q196" s="0" t="inlineStr">
        <is>
          <t xml:space="preserve">7</t>
        </is>
      </c>
    </row>
    <row r="197">
      <c r="A197" s="4" t="inlineStr">
        <is>
          <t xml:space="preserve">VT</t>
        </is>
      </c>
      <c r="B197" s="0" t="inlineStr">
        <is>
          <t xml:space="preserve">Journal des ventes</t>
        </is>
      </c>
      <c r="C197" s="0" t="inlineStr">
        <is>
          <t xml:space="preserve">VT00014</t>
        </is>
      </c>
      <c r="D197" s="10">
        <v>45358</v>
      </c>
      <c r="E197" s="4" t="inlineStr">
        <is>
          <t xml:space="preserve">445710</t>
        </is>
      </c>
      <c r="F197" s="0" t="inlineStr">
        <is>
          <t xml:space="preserve">TVA collectee</t>
        </is>
      </c>
      <c r="G197" s="0" t="inlineStr">
        <is>
          <t xml:space="preserve">FA2024-0014</t>
        </is>
      </c>
      <c r="H197" s="0" t="inlineStr">
        <is>
          <t xml:space="preserve">Facture FA2024-0014 Agence Mobilis</t>
        </is>
      </c>
      <c r="I197" s="8">
        <v>0</v>
      </c>
      <c r="J197" s="8">
        <v>4599.62</v>
      </c>
      <c r="K197" s="0"/>
      <c r="L197" s="0"/>
      <c r="M197" s="8">
        <f>I197-J197</f>
      </c>
      <c r="N197" s="0" t="inlineStr">
        <is>
          <t xml:space="preserve">2024-03</t>
        </is>
      </c>
      <c r="O197" s="0">
        <f>INDEX(Journaux!$E$5:$E$18,MATCH("2024|"&amp;A197,Journaux!$A$5:$A$18,0))</f>
      </c>
      <c r="P197" s="0">
        <f>INDEX(Comptes!$H$5:$H$42,MATCH(E197,Comptes!$A$5:$A$42,0))</f>
      </c>
      <c r="Q197" s="0" t="inlineStr">
        <is>
          <t xml:space="preserve">4</t>
        </is>
      </c>
    </row>
    <row r="198">
      <c r="A198" s="4" t="inlineStr">
        <is>
          <t xml:space="preserve">VT</t>
        </is>
      </c>
      <c r="B198" s="0" t="inlineStr">
        <is>
          <t xml:space="preserve">Journal des ventes</t>
        </is>
      </c>
      <c r="C198" s="0" t="inlineStr">
        <is>
          <t xml:space="preserve">VT00015</t>
        </is>
      </c>
      <c r="D198" s="10">
        <v>45358</v>
      </c>
      <c r="E198" s="4" t="inlineStr">
        <is>
          <t xml:space="preserve">411000</t>
        </is>
      </c>
      <c r="F198" s="0" t="inlineStr">
        <is>
          <t xml:space="preserve">Clients</t>
        </is>
      </c>
      <c r="G198" s="0" t="inlineStr">
        <is>
          <t xml:space="preserve">FA2024-0015</t>
        </is>
      </c>
      <c r="H198" s="0" t="inlineStr">
        <is>
          <t xml:space="preserve">Facture FA2024-0015 Clinique du Parc</t>
        </is>
      </c>
      <c r="I198" s="8">
        <v>30576.84</v>
      </c>
      <c r="J198" s="8">
        <v>0</v>
      </c>
      <c r="K198" s="0" t="inlineStr">
        <is>
          <t xml:space="preserve">AAT</t>
        </is>
      </c>
      <c r="L198" s="0" t="inlineStr">
        <is>
          <t xml:space="preserve">Clinique du Parc</t>
        </is>
      </c>
      <c r="M198" s="8">
        <f>I198-J198</f>
      </c>
      <c r="N198" s="0" t="inlineStr">
        <is>
          <t xml:space="preserve">2024-03</t>
        </is>
      </c>
      <c r="O198" s="0">
        <f>INDEX(Journaux!$E$5:$E$18,MATCH("2024|"&amp;A198,Journaux!$A$5:$A$18,0))</f>
      </c>
      <c r="P198" s="0">
        <f>INDEX(Comptes!$H$5:$H$42,MATCH(E198,Comptes!$A$5:$A$42,0))</f>
      </c>
      <c r="Q198" s="0" t="inlineStr">
        <is>
          <t xml:space="preserve">4</t>
        </is>
      </c>
      <c r="R198" s="7" t="inlineStr">
        <is>
          <t xml:space="preserve">411000|C006</t>
        </is>
      </c>
    </row>
    <row r="199">
      <c r="A199" s="4" t="inlineStr">
        <is>
          <t xml:space="preserve">VT</t>
        </is>
      </c>
      <c r="B199" s="0" t="inlineStr">
        <is>
          <t xml:space="preserve">Journal des ventes</t>
        </is>
      </c>
      <c r="C199" s="0" t="inlineStr">
        <is>
          <t xml:space="preserve">VT00015</t>
        </is>
      </c>
      <c r="D199" s="10">
        <v>45358</v>
      </c>
      <c r="E199" s="4" t="inlineStr">
        <is>
          <t xml:space="preserve">701000</t>
        </is>
      </c>
      <c r="F199" s="0" t="inlineStr">
        <is>
          <t xml:space="preserve">Ventes de produits finis</t>
        </is>
      </c>
      <c r="G199" s="0" t="inlineStr">
        <is>
          <t xml:space="preserve">FA2024-0015</t>
        </is>
      </c>
      <c r="H199" s="0" t="inlineStr">
        <is>
          <t xml:space="preserve">Facture FA2024-0015 Clinique du Parc</t>
        </is>
      </c>
      <c r="I199" s="8">
        <v>0</v>
      </c>
      <c r="J199" s="8">
        <v>25480.7</v>
      </c>
      <c r="K199" s="0"/>
      <c r="L199" s="0"/>
      <c r="M199" s="8">
        <f>I199-J199</f>
      </c>
      <c r="N199" s="0" t="inlineStr">
        <is>
          <t xml:space="preserve">2024-03</t>
        </is>
      </c>
      <c r="O199" s="0">
        <f>INDEX(Journaux!$E$5:$E$18,MATCH("2024|"&amp;A199,Journaux!$A$5:$A$18,0))</f>
      </c>
      <c r="P199" s="0">
        <f>INDEX(Comptes!$H$5:$H$42,MATCH(E199,Comptes!$A$5:$A$42,0))</f>
      </c>
      <c r="Q199" s="0" t="inlineStr">
        <is>
          <t xml:space="preserve">7</t>
        </is>
      </c>
    </row>
    <row r="200">
      <c r="A200" s="4" t="inlineStr">
        <is>
          <t xml:space="preserve">VT</t>
        </is>
      </c>
      <c r="B200" s="0" t="inlineStr">
        <is>
          <t xml:space="preserve">Journal des ventes</t>
        </is>
      </c>
      <c r="C200" s="0" t="inlineStr">
        <is>
          <t xml:space="preserve">VT00015</t>
        </is>
      </c>
      <c r="D200" s="10">
        <v>45358</v>
      </c>
      <c r="E200" s="4" t="inlineStr">
        <is>
          <t xml:space="preserve">445710</t>
        </is>
      </c>
      <c r="F200" s="0" t="inlineStr">
        <is>
          <t xml:space="preserve">TVA collectee</t>
        </is>
      </c>
      <c r="G200" s="0" t="inlineStr">
        <is>
          <t xml:space="preserve">FA2024-0015</t>
        </is>
      </c>
      <c r="H200" s="0" t="inlineStr">
        <is>
          <t xml:space="preserve">Facture FA2024-0015 Clinique du Parc</t>
        </is>
      </c>
      <c r="I200" s="8">
        <v>0</v>
      </c>
      <c r="J200" s="8">
        <v>5096.14</v>
      </c>
      <c r="K200" s="0"/>
      <c r="L200" s="0"/>
      <c r="M200" s="8">
        <f>I200-J200</f>
      </c>
      <c r="N200" s="0" t="inlineStr">
        <is>
          <t xml:space="preserve">2024-03</t>
        </is>
      </c>
      <c r="O200" s="0">
        <f>INDEX(Journaux!$E$5:$E$18,MATCH("2024|"&amp;A200,Journaux!$A$5:$A$18,0))</f>
      </c>
      <c r="P200" s="0">
        <f>INDEX(Comptes!$H$5:$H$42,MATCH(E200,Comptes!$A$5:$A$42,0))</f>
      </c>
      <c r="Q200" s="0" t="inlineStr">
        <is>
          <t xml:space="preserve">4</t>
        </is>
      </c>
    </row>
    <row r="201">
      <c r="A201" s="4" t="inlineStr">
        <is>
          <t xml:space="preserve">AC</t>
        </is>
      </c>
      <c r="B201" s="0" t="inlineStr">
        <is>
          <t xml:space="preserve">Journal des achats</t>
        </is>
      </c>
      <c r="C201" s="0" t="inlineStr">
        <is>
          <t xml:space="preserve">AC00012</t>
        </is>
      </c>
      <c r="D201" s="10">
        <v>45359</v>
      </c>
      <c r="E201" s="4" t="inlineStr">
        <is>
          <t xml:space="preserve">601000</t>
        </is>
      </c>
      <c r="F201" s="0" t="inlineStr">
        <is>
          <t xml:space="preserve">Achats de matieres premieres</t>
        </is>
      </c>
      <c r="G201" s="0" t="inlineStr">
        <is>
          <t xml:space="preserve">F002-2024031</t>
        </is>
      </c>
      <c r="H201" s="0" t="inlineStr">
        <is>
          <t xml:space="preserve">Facture Quincaillerie Pro Est F002-2024031</t>
        </is>
      </c>
      <c r="I201" s="8">
        <v>26745.78</v>
      </c>
      <c r="J201" s="8">
        <v>0</v>
      </c>
      <c r="K201" s="0"/>
      <c r="L201" s="0"/>
      <c r="M201" s="8">
        <f>I201-J201</f>
      </c>
      <c r="N201" s="0" t="inlineStr">
        <is>
          <t xml:space="preserve">2024-03</t>
        </is>
      </c>
      <c r="O201" s="0">
        <f>INDEX(Journaux!$E$5:$E$18,MATCH("2024|"&amp;A201,Journaux!$A$5:$A$18,0))</f>
      </c>
      <c r="P201" s="0">
        <f>INDEX(Comptes!$H$5:$H$42,MATCH(E201,Comptes!$A$5:$A$42,0))</f>
      </c>
      <c r="Q201" s="0" t="inlineStr">
        <is>
          <t xml:space="preserve">6</t>
        </is>
      </c>
    </row>
    <row r="202">
      <c r="A202" s="4" t="inlineStr">
        <is>
          <t xml:space="preserve">AC</t>
        </is>
      </c>
      <c r="B202" s="0" t="inlineStr">
        <is>
          <t xml:space="preserve">Journal des achats</t>
        </is>
      </c>
      <c r="C202" s="0" t="inlineStr">
        <is>
          <t xml:space="preserve">AC00012</t>
        </is>
      </c>
      <c r="D202" s="10">
        <v>45359</v>
      </c>
      <c r="E202" s="4" t="inlineStr">
        <is>
          <t xml:space="preserve">445660</t>
        </is>
      </c>
      <c r="F202" s="0" t="inlineStr">
        <is>
          <t xml:space="preserve">TVA deductible sur ABS</t>
        </is>
      </c>
      <c r="G202" s="0" t="inlineStr">
        <is>
          <t xml:space="preserve">F002-2024031</t>
        </is>
      </c>
      <c r="H202" s="0" t="inlineStr">
        <is>
          <t xml:space="preserve">Facture Quincaillerie Pro Est F002-2024031</t>
        </is>
      </c>
      <c r="I202" s="8">
        <v>5349.16</v>
      </c>
      <c r="J202" s="8">
        <v>0</v>
      </c>
      <c r="K202" s="0"/>
      <c r="L202" s="0"/>
      <c r="M202" s="8">
        <f>I202-J202</f>
      </c>
      <c r="N202" s="0" t="inlineStr">
        <is>
          <t xml:space="preserve">2024-03</t>
        </is>
      </c>
      <c r="O202" s="0">
        <f>INDEX(Journaux!$E$5:$E$18,MATCH("2024|"&amp;A202,Journaux!$A$5:$A$18,0))</f>
      </c>
      <c r="P202" s="0">
        <f>INDEX(Comptes!$H$5:$H$42,MATCH(E202,Comptes!$A$5:$A$42,0))</f>
      </c>
      <c r="Q202" s="0" t="inlineStr">
        <is>
          <t xml:space="preserve">4</t>
        </is>
      </c>
    </row>
    <row r="203">
      <c r="A203" s="4" t="inlineStr">
        <is>
          <t xml:space="preserve">AC</t>
        </is>
      </c>
      <c r="B203" s="0" t="inlineStr">
        <is>
          <t xml:space="preserve">Journal des achats</t>
        </is>
      </c>
      <c r="C203" s="0" t="inlineStr">
        <is>
          <t xml:space="preserve">AC00012</t>
        </is>
      </c>
      <c r="D203" s="10">
        <v>45359</v>
      </c>
      <c r="E203" s="4" t="inlineStr">
        <is>
          <t xml:space="preserve">401000</t>
        </is>
      </c>
      <c r="F203" s="0" t="inlineStr">
        <is>
          <t xml:space="preserve">Fournisseurs</t>
        </is>
      </c>
      <c r="G203" s="0" t="inlineStr">
        <is>
          <t xml:space="preserve">F002-2024031</t>
        </is>
      </c>
      <c r="H203" s="0" t="inlineStr">
        <is>
          <t xml:space="preserve">Facture Quincaillerie Pro Est F002-2024031</t>
        </is>
      </c>
      <c r="I203" s="8">
        <v>0</v>
      </c>
      <c r="J203" s="8">
        <v>32094.94</v>
      </c>
      <c r="K203" s="0" t="inlineStr">
        <is>
          <t xml:space="preserve">ABX</t>
        </is>
      </c>
      <c r="L203" s="0" t="inlineStr">
        <is>
          <t xml:space="preserve">Quincaillerie Pro Est</t>
        </is>
      </c>
      <c r="M203" s="8">
        <f>I203-J203</f>
      </c>
      <c r="N203" s="0" t="inlineStr">
        <is>
          <t xml:space="preserve">2024-03</t>
        </is>
      </c>
      <c r="O203" s="0">
        <f>INDEX(Journaux!$E$5:$E$18,MATCH("2024|"&amp;A203,Journaux!$A$5:$A$18,0))</f>
      </c>
      <c r="P203" s="0">
        <f>INDEX(Comptes!$H$5:$H$42,MATCH(E203,Comptes!$A$5:$A$42,0))</f>
      </c>
      <c r="Q203" s="0" t="inlineStr">
        <is>
          <t xml:space="preserve">4</t>
        </is>
      </c>
      <c r="R203" s="7" t="inlineStr">
        <is>
          <t xml:space="preserve">401000|F002</t>
        </is>
      </c>
    </row>
    <row r="204">
      <c r="A204" s="4" t="inlineStr">
        <is>
          <t xml:space="preserve">VT</t>
        </is>
      </c>
      <c r="B204" s="0" t="inlineStr">
        <is>
          <t xml:space="preserve">Journal des ventes</t>
        </is>
      </c>
      <c r="C204" s="0" t="inlineStr">
        <is>
          <t xml:space="preserve">VT00018</t>
        </is>
      </c>
      <c r="D204" s="10">
        <v>45359</v>
      </c>
      <c r="E204" s="4" t="inlineStr">
        <is>
          <t xml:space="preserve">411000</t>
        </is>
      </c>
      <c r="F204" s="0" t="inlineStr">
        <is>
          <t xml:space="preserve">Clients</t>
        </is>
      </c>
      <c r="G204" s="0" t="inlineStr">
        <is>
          <t xml:space="preserve">FA2024-0018</t>
        </is>
      </c>
      <c r="H204" s="0" t="inlineStr">
        <is>
          <t xml:space="preserve">Facture FA2024-0018 Residence Bel Air</t>
        </is>
      </c>
      <c r="I204" s="8">
        <v>44737.52</v>
      </c>
      <c r="J204" s="8">
        <v>0</v>
      </c>
      <c r="K204" s="0" t="inlineStr">
        <is>
          <t xml:space="preserve">AAW</t>
        </is>
      </c>
      <c r="L204" s="0" t="inlineStr">
        <is>
          <t xml:space="preserve">Residence Bel Air</t>
        </is>
      </c>
      <c r="M204" s="8">
        <f>I204-J204</f>
      </c>
      <c r="N204" s="0" t="inlineStr">
        <is>
          <t xml:space="preserve">2024-03</t>
        </is>
      </c>
      <c r="O204" s="0">
        <f>INDEX(Journaux!$E$5:$E$18,MATCH("2024|"&amp;A204,Journaux!$A$5:$A$18,0))</f>
      </c>
      <c r="P204" s="0">
        <f>INDEX(Comptes!$H$5:$H$42,MATCH(E204,Comptes!$A$5:$A$42,0))</f>
      </c>
      <c r="Q204" s="0" t="inlineStr">
        <is>
          <t xml:space="preserve">4</t>
        </is>
      </c>
      <c r="R204" s="7" t="inlineStr">
        <is>
          <t xml:space="preserve">411000|C003</t>
        </is>
      </c>
    </row>
    <row r="205">
      <c r="A205" s="4" t="inlineStr">
        <is>
          <t xml:space="preserve">VT</t>
        </is>
      </c>
      <c r="B205" s="0" t="inlineStr">
        <is>
          <t xml:space="preserve">Journal des ventes</t>
        </is>
      </c>
      <c r="C205" s="0" t="inlineStr">
        <is>
          <t xml:space="preserve">VT00018</t>
        </is>
      </c>
      <c r="D205" s="10">
        <v>45359</v>
      </c>
      <c r="E205" s="4" t="inlineStr">
        <is>
          <t xml:space="preserve">701000</t>
        </is>
      </c>
      <c r="F205" s="0" t="inlineStr">
        <is>
          <t xml:space="preserve">Ventes de produits finis</t>
        </is>
      </c>
      <c r="G205" s="0" t="inlineStr">
        <is>
          <t xml:space="preserve">FA2024-0018</t>
        </is>
      </c>
      <c r="H205" s="0" t="inlineStr">
        <is>
          <t xml:space="preserve">Facture FA2024-0018 Residence Bel Air</t>
        </is>
      </c>
      <c r="I205" s="8">
        <v>0</v>
      </c>
      <c r="J205" s="8">
        <v>37281.27</v>
      </c>
      <c r="K205" s="0"/>
      <c r="L205" s="0"/>
      <c r="M205" s="8">
        <f>I205-J205</f>
      </c>
      <c r="N205" s="0" t="inlineStr">
        <is>
          <t xml:space="preserve">2024-03</t>
        </is>
      </c>
      <c r="O205" s="0">
        <f>INDEX(Journaux!$E$5:$E$18,MATCH("2024|"&amp;A205,Journaux!$A$5:$A$18,0))</f>
      </c>
      <c r="P205" s="0">
        <f>INDEX(Comptes!$H$5:$H$42,MATCH(E205,Comptes!$A$5:$A$42,0))</f>
      </c>
      <c r="Q205" s="0" t="inlineStr">
        <is>
          <t xml:space="preserve">7</t>
        </is>
      </c>
    </row>
    <row r="206">
      <c r="A206" s="4" t="inlineStr">
        <is>
          <t xml:space="preserve">VT</t>
        </is>
      </c>
      <c r="B206" s="0" t="inlineStr">
        <is>
          <t xml:space="preserve">Journal des ventes</t>
        </is>
      </c>
      <c r="C206" s="0" t="inlineStr">
        <is>
          <t xml:space="preserve">VT00018</t>
        </is>
      </c>
      <c r="D206" s="10">
        <v>45359</v>
      </c>
      <c r="E206" s="4" t="inlineStr">
        <is>
          <t xml:space="preserve">445710</t>
        </is>
      </c>
      <c r="F206" s="0" t="inlineStr">
        <is>
          <t xml:space="preserve">TVA collectee</t>
        </is>
      </c>
      <c r="G206" s="0" t="inlineStr">
        <is>
          <t xml:space="preserve">FA2024-0018</t>
        </is>
      </c>
      <c r="H206" s="0" t="inlineStr">
        <is>
          <t xml:space="preserve">Facture FA2024-0018 Residence Bel Air</t>
        </is>
      </c>
      <c r="I206" s="8">
        <v>0</v>
      </c>
      <c r="J206" s="8">
        <v>7456.25</v>
      </c>
      <c r="K206" s="0"/>
      <c r="L206" s="0"/>
      <c r="M206" s="8">
        <f>I206-J206</f>
      </c>
      <c r="N206" s="0" t="inlineStr">
        <is>
          <t xml:space="preserve">2024-03</t>
        </is>
      </c>
      <c r="O206" s="0">
        <f>INDEX(Journaux!$E$5:$E$18,MATCH("2024|"&amp;A206,Journaux!$A$5:$A$18,0))</f>
      </c>
      <c r="P206" s="0">
        <f>INDEX(Comptes!$H$5:$H$42,MATCH(E206,Comptes!$A$5:$A$42,0))</f>
      </c>
      <c r="Q206" s="0" t="inlineStr">
        <is>
          <t xml:space="preserve">4</t>
        </is>
      </c>
    </row>
    <row r="207">
      <c r="A207" s="4" t="inlineStr">
        <is>
          <t xml:space="preserve">BQ</t>
        </is>
      </c>
      <c r="B207" s="0" t="inlineStr">
        <is>
          <t xml:space="preserve">Banque Fictive</t>
        </is>
      </c>
      <c r="C207" s="0" t="inlineStr">
        <is>
          <t xml:space="preserve">BQ00008</t>
        </is>
      </c>
      <c r="D207" s="10">
        <v>45361</v>
      </c>
      <c r="E207" s="4" t="inlineStr">
        <is>
          <t xml:space="preserve">164000</t>
        </is>
      </c>
      <c r="F207" s="0" t="inlineStr">
        <is>
          <t xml:space="preserve">Emprunts aupres des etablissements de credit</t>
        </is>
      </c>
      <c r="G207" s="0" t="inlineStr">
        <is>
          <t xml:space="preserve">ECH202403</t>
        </is>
      </c>
      <c r="H207" s="0" t="inlineStr">
        <is>
          <t xml:space="preserve">Echeance emprunt 03/2024</t>
        </is>
      </c>
      <c r="I207" s="8">
        <v>2000</v>
      </c>
      <c r="J207" s="8">
        <v>0</v>
      </c>
      <c r="K207" s="0"/>
      <c r="L207" s="0"/>
      <c r="M207" s="8">
        <f>I207-J207</f>
      </c>
      <c r="N207" s="0" t="inlineStr">
        <is>
          <t xml:space="preserve">2024-03</t>
        </is>
      </c>
      <c r="O207" s="0">
        <f>INDEX(Journaux!$E$5:$E$18,MATCH("2024|"&amp;A207,Journaux!$A$5:$A$18,0))</f>
      </c>
      <c r="P207" s="0">
        <f>INDEX(Comptes!$H$5:$H$42,MATCH(E207,Comptes!$A$5:$A$42,0))</f>
      </c>
      <c r="Q207" s="0" t="inlineStr">
        <is>
          <t xml:space="preserve">1</t>
        </is>
      </c>
    </row>
    <row r="208">
      <c r="A208" s="4" t="inlineStr">
        <is>
          <t xml:space="preserve">BQ</t>
        </is>
      </c>
      <c r="B208" s="0" t="inlineStr">
        <is>
          <t xml:space="preserve">Banque Fictive</t>
        </is>
      </c>
      <c r="C208" s="0" t="inlineStr">
        <is>
          <t xml:space="preserve">BQ00008</t>
        </is>
      </c>
      <c r="D208" s="10">
        <v>45361</v>
      </c>
      <c r="E208" s="4" t="inlineStr">
        <is>
          <t xml:space="preserve">661100</t>
        </is>
      </c>
      <c r="F208" s="0" t="inlineStr">
        <is>
          <t xml:space="preserve">Interets des emprunts</t>
        </is>
      </c>
      <c r="G208" s="0" t="inlineStr">
        <is>
          <t xml:space="preserve">ECH202403</t>
        </is>
      </c>
      <c r="H208" s="0" t="inlineStr">
        <is>
          <t xml:space="preserve">Echeance emprunt 03/2024</t>
        </is>
      </c>
      <c r="I208" s="8">
        <v>286.67</v>
      </c>
      <c r="J208" s="8">
        <v>0</v>
      </c>
      <c r="K208" s="0"/>
      <c r="L208" s="0"/>
      <c r="M208" s="8">
        <f>I208-J208</f>
      </c>
      <c r="N208" s="0" t="inlineStr">
        <is>
          <t xml:space="preserve">2024-03</t>
        </is>
      </c>
      <c r="O208" s="0">
        <f>INDEX(Journaux!$E$5:$E$18,MATCH("2024|"&amp;A208,Journaux!$A$5:$A$18,0))</f>
      </c>
      <c r="P208" s="0">
        <f>INDEX(Comptes!$H$5:$H$42,MATCH(E208,Comptes!$A$5:$A$42,0))</f>
      </c>
      <c r="Q208" s="0" t="inlineStr">
        <is>
          <t xml:space="preserve">6</t>
        </is>
      </c>
    </row>
    <row r="209">
      <c r="A209" s="4" t="inlineStr">
        <is>
          <t xml:space="preserve">BQ</t>
        </is>
      </c>
      <c r="B209" s="0" t="inlineStr">
        <is>
          <t xml:space="preserve">Banque Fictive</t>
        </is>
      </c>
      <c r="C209" s="0" t="inlineStr">
        <is>
          <t xml:space="preserve">BQ00008</t>
        </is>
      </c>
      <c r="D209" s="10">
        <v>45361</v>
      </c>
      <c r="E209" s="4" t="inlineStr">
        <is>
          <t xml:space="preserve">512000</t>
        </is>
      </c>
      <c r="F209" s="0" t="inlineStr">
        <is>
          <t xml:space="preserve">Banque Fictive</t>
        </is>
      </c>
      <c r="G209" s="0" t="inlineStr">
        <is>
          <t xml:space="preserve">ECH202403</t>
        </is>
      </c>
      <c r="H209" s="0" t="inlineStr">
        <is>
          <t xml:space="preserve">Echeance emprunt 03/2024</t>
        </is>
      </c>
      <c r="I209" s="8">
        <v>0</v>
      </c>
      <c r="J209" s="8">
        <v>2286.67</v>
      </c>
      <c r="K209" s="0"/>
      <c r="L209" s="0"/>
      <c r="M209" s="8">
        <f>I209-J209</f>
      </c>
      <c r="N209" s="0" t="inlineStr">
        <is>
          <t xml:space="preserve">2024-03</t>
        </is>
      </c>
      <c r="O209" s="0">
        <f>INDEX(Journaux!$E$5:$E$18,MATCH("2024|"&amp;A209,Journaux!$A$5:$A$18,0))</f>
      </c>
      <c r="P209" s="0">
        <f>INDEX(Comptes!$H$5:$H$42,MATCH(E209,Comptes!$A$5:$A$42,0))</f>
      </c>
      <c r="Q209" s="0" t="inlineStr">
        <is>
          <t xml:space="preserve">5</t>
        </is>
      </c>
    </row>
    <row r="210">
      <c r="A210" s="4" t="inlineStr">
        <is>
          <t xml:space="preserve">VT</t>
        </is>
      </c>
      <c r="B210" s="0" t="inlineStr">
        <is>
          <t xml:space="preserve">Journal des ventes</t>
        </is>
      </c>
      <c r="C210" s="0" t="inlineStr">
        <is>
          <t xml:space="preserve">VT00013</t>
        </is>
      </c>
      <c r="D210" s="10">
        <v>45364</v>
      </c>
      <c r="E210" s="4" t="inlineStr">
        <is>
          <t xml:space="preserve">411000</t>
        </is>
      </c>
      <c r="F210" s="0" t="inlineStr">
        <is>
          <t xml:space="preserve">Clients</t>
        </is>
      </c>
      <c r="G210" s="0" t="inlineStr">
        <is>
          <t xml:space="preserve">FA2024-0013</t>
        </is>
      </c>
      <c r="H210" s="0" t="inlineStr">
        <is>
          <t xml:space="preserve">Facture FA2024-0013 Clinique du Parc</t>
        </is>
      </c>
      <c r="I210" s="8">
        <v>40933.76</v>
      </c>
      <c r="J210" s="8">
        <v>0</v>
      </c>
      <c r="K210" s="0" t="inlineStr">
        <is>
          <t xml:space="preserve">AAR</t>
        </is>
      </c>
      <c r="L210" s="0" t="inlineStr">
        <is>
          <t xml:space="preserve">Clinique du Parc</t>
        </is>
      </c>
      <c r="M210" s="8">
        <f>I210-J210</f>
      </c>
      <c r="N210" s="0" t="inlineStr">
        <is>
          <t xml:space="preserve">2024-03</t>
        </is>
      </c>
      <c r="O210" s="0">
        <f>INDEX(Journaux!$E$5:$E$18,MATCH("2024|"&amp;A210,Journaux!$A$5:$A$18,0))</f>
      </c>
      <c r="P210" s="0">
        <f>INDEX(Comptes!$H$5:$H$42,MATCH(E210,Comptes!$A$5:$A$42,0))</f>
      </c>
      <c r="Q210" s="0" t="inlineStr">
        <is>
          <t xml:space="preserve">4</t>
        </is>
      </c>
      <c r="R210" s="7" t="inlineStr">
        <is>
          <t xml:space="preserve">411000|C006</t>
        </is>
      </c>
    </row>
    <row r="211">
      <c r="A211" s="4" t="inlineStr">
        <is>
          <t xml:space="preserve">VT</t>
        </is>
      </c>
      <c r="B211" s="0" t="inlineStr">
        <is>
          <t xml:space="preserve">Journal des ventes</t>
        </is>
      </c>
      <c r="C211" s="0" t="inlineStr">
        <is>
          <t xml:space="preserve">VT00013</t>
        </is>
      </c>
      <c r="D211" s="10">
        <v>45364</v>
      </c>
      <c r="E211" s="4" t="inlineStr">
        <is>
          <t xml:space="preserve">701000</t>
        </is>
      </c>
      <c r="F211" s="0" t="inlineStr">
        <is>
          <t xml:space="preserve">Ventes de produits finis</t>
        </is>
      </c>
      <c r="G211" s="0" t="inlineStr">
        <is>
          <t xml:space="preserve">FA2024-0013</t>
        </is>
      </c>
      <c r="H211" s="0" t="inlineStr">
        <is>
          <t xml:space="preserve">Facture FA2024-0013 Clinique du Parc</t>
        </is>
      </c>
      <c r="I211" s="8">
        <v>0</v>
      </c>
      <c r="J211" s="8">
        <v>34111.47</v>
      </c>
      <c r="K211" s="0"/>
      <c r="L211" s="0"/>
      <c r="M211" s="8">
        <f>I211-J211</f>
      </c>
      <c r="N211" s="0" t="inlineStr">
        <is>
          <t xml:space="preserve">2024-03</t>
        </is>
      </c>
      <c r="O211" s="0">
        <f>INDEX(Journaux!$E$5:$E$18,MATCH("2024|"&amp;A211,Journaux!$A$5:$A$18,0))</f>
      </c>
      <c r="P211" s="0">
        <f>INDEX(Comptes!$H$5:$H$42,MATCH(E211,Comptes!$A$5:$A$42,0))</f>
      </c>
      <c r="Q211" s="0" t="inlineStr">
        <is>
          <t xml:space="preserve">7</t>
        </is>
      </c>
    </row>
    <row r="212">
      <c r="A212" s="4" t="inlineStr">
        <is>
          <t xml:space="preserve">VT</t>
        </is>
      </c>
      <c r="B212" s="0" t="inlineStr">
        <is>
          <t xml:space="preserve">Journal des ventes</t>
        </is>
      </c>
      <c r="C212" s="0" t="inlineStr">
        <is>
          <t xml:space="preserve">VT00013</t>
        </is>
      </c>
      <c r="D212" s="10">
        <v>45364</v>
      </c>
      <c r="E212" s="4" t="inlineStr">
        <is>
          <t xml:space="preserve">445710</t>
        </is>
      </c>
      <c r="F212" s="0" t="inlineStr">
        <is>
          <t xml:space="preserve">TVA collectee</t>
        </is>
      </c>
      <c r="G212" s="0" t="inlineStr">
        <is>
          <t xml:space="preserve">FA2024-0013</t>
        </is>
      </c>
      <c r="H212" s="0" t="inlineStr">
        <is>
          <t xml:space="preserve">Facture FA2024-0013 Clinique du Parc</t>
        </is>
      </c>
      <c r="I212" s="8">
        <v>0</v>
      </c>
      <c r="J212" s="8">
        <v>6822.29</v>
      </c>
      <c r="K212" s="0"/>
      <c r="L212" s="0"/>
      <c r="M212" s="8">
        <f>I212-J212</f>
      </c>
      <c r="N212" s="0" t="inlineStr">
        <is>
          <t xml:space="preserve">2024-03</t>
        </is>
      </c>
      <c r="O212" s="0">
        <f>INDEX(Journaux!$E$5:$E$18,MATCH("2024|"&amp;A212,Journaux!$A$5:$A$18,0))</f>
      </c>
      <c r="P212" s="0">
        <f>INDEX(Comptes!$H$5:$H$42,MATCH(E212,Comptes!$A$5:$A$42,0))</f>
      </c>
      <c r="Q212" s="0" t="inlineStr">
        <is>
          <t xml:space="preserve">4</t>
        </is>
      </c>
    </row>
    <row r="213">
      <c r="A213" s="4" t="inlineStr">
        <is>
          <t xml:space="preserve">VT</t>
        </is>
      </c>
      <c r="B213" s="0" t="inlineStr">
        <is>
          <t xml:space="preserve">Journal des ventes</t>
        </is>
      </c>
      <c r="C213" s="0" t="inlineStr">
        <is>
          <t xml:space="preserve">VT00016</t>
        </is>
      </c>
      <c r="D213" s="10">
        <v>45364</v>
      </c>
      <c r="E213" s="4" t="inlineStr">
        <is>
          <t xml:space="preserve">411000</t>
        </is>
      </c>
      <c r="F213" s="0" t="inlineStr">
        <is>
          <t xml:space="preserve">Clients</t>
        </is>
      </c>
      <c r="G213" s="0" t="inlineStr">
        <is>
          <t xml:space="preserve">FA2024-0016</t>
        </is>
      </c>
      <c r="H213" s="0" t="inlineStr">
        <is>
          <t xml:space="preserve">Facture FA2024-0016 Coworking Atelier 9</t>
        </is>
      </c>
      <c r="I213" s="8">
        <v>43215.08</v>
      </c>
      <c r="J213" s="8">
        <v>0</v>
      </c>
      <c r="K213" s="0" t="inlineStr">
        <is>
          <t xml:space="preserve">AAU</t>
        </is>
      </c>
      <c r="L213" s="0" t="inlineStr">
        <is>
          <t xml:space="preserve">Coworking Atelier 9</t>
        </is>
      </c>
      <c r="M213" s="8">
        <f>I213-J213</f>
      </c>
      <c r="N213" s="0" t="inlineStr">
        <is>
          <t xml:space="preserve">2024-03</t>
        </is>
      </c>
      <c r="O213" s="0">
        <f>INDEX(Journaux!$E$5:$E$18,MATCH("2024|"&amp;A213,Journaux!$A$5:$A$18,0))</f>
      </c>
      <c r="P213" s="0">
        <f>INDEX(Comptes!$H$5:$H$42,MATCH(E213,Comptes!$A$5:$A$42,0))</f>
      </c>
      <c r="Q213" s="0" t="inlineStr">
        <is>
          <t xml:space="preserve">4</t>
        </is>
      </c>
      <c r="R213" s="7" t="inlineStr">
        <is>
          <t xml:space="preserve">411000|C008</t>
        </is>
      </c>
    </row>
    <row r="214">
      <c r="A214" s="4" t="inlineStr">
        <is>
          <t xml:space="preserve">VT</t>
        </is>
      </c>
      <c r="B214" s="0" t="inlineStr">
        <is>
          <t xml:space="preserve">Journal des ventes</t>
        </is>
      </c>
      <c r="C214" s="0" t="inlineStr">
        <is>
          <t xml:space="preserve">VT00016</t>
        </is>
      </c>
      <c r="D214" s="10">
        <v>45364</v>
      </c>
      <c r="E214" s="4" t="inlineStr">
        <is>
          <t xml:space="preserve">701000</t>
        </is>
      </c>
      <c r="F214" s="0" t="inlineStr">
        <is>
          <t xml:space="preserve">Ventes de produits finis</t>
        </is>
      </c>
      <c r="G214" s="0" t="inlineStr">
        <is>
          <t xml:space="preserve">FA2024-0016</t>
        </is>
      </c>
      <c r="H214" s="0" t="inlineStr">
        <is>
          <t xml:space="preserve">Facture FA2024-0016 Coworking Atelier 9</t>
        </is>
      </c>
      <c r="I214" s="8">
        <v>0</v>
      </c>
      <c r="J214" s="8">
        <v>36012.57</v>
      </c>
      <c r="K214" s="0"/>
      <c r="L214" s="0"/>
      <c r="M214" s="8">
        <f>I214-J214</f>
      </c>
      <c r="N214" s="0" t="inlineStr">
        <is>
          <t xml:space="preserve">2024-03</t>
        </is>
      </c>
      <c r="O214" s="0">
        <f>INDEX(Journaux!$E$5:$E$18,MATCH("2024|"&amp;A214,Journaux!$A$5:$A$18,0))</f>
      </c>
      <c r="P214" s="0">
        <f>INDEX(Comptes!$H$5:$H$42,MATCH(E214,Comptes!$A$5:$A$42,0))</f>
      </c>
      <c r="Q214" s="0" t="inlineStr">
        <is>
          <t xml:space="preserve">7</t>
        </is>
      </c>
    </row>
    <row r="215">
      <c r="A215" s="4" t="inlineStr">
        <is>
          <t xml:space="preserve">VT</t>
        </is>
      </c>
      <c r="B215" s="0" t="inlineStr">
        <is>
          <t xml:space="preserve">Journal des ventes</t>
        </is>
      </c>
      <c r="C215" s="0" t="inlineStr">
        <is>
          <t xml:space="preserve">VT00016</t>
        </is>
      </c>
      <c r="D215" s="10">
        <v>45364</v>
      </c>
      <c r="E215" s="4" t="inlineStr">
        <is>
          <t xml:space="preserve">445710</t>
        </is>
      </c>
      <c r="F215" s="0" t="inlineStr">
        <is>
          <t xml:space="preserve">TVA collectee</t>
        </is>
      </c>
      <c r="G215" s="0" t="inlineStr">
        <is>
          <t xml:space="preserve">FA2024-0016</t>
        </is>
      </c>
      <c r="H215" s="0" t="inlineStr">
        <is>
          <t xml:space="preserve">Facture FA2024-0016 Coworking Atelier 9</t>
        </is>
      </c>
      <c r="I215" s="8">
        <v>0</v>
      </c>
      <c r="J215" s="8">
        <v>7202.51</v>
      </c>
      <c r="K215" s="0"/>
      <c r="L215" s="0"/>
      <c r="M215" s="8">
        <f>I215-J215</f>
      </c>
      <c r="N215" s="0" t="inlineStr">
        <is>
          <t xml:space="preserve">2024-03</t>
        </is>
      </c>
      <c r="O215" s="0">
        <f>INDEX(Journaux!$E$5:$E$18,MATCH("2024|"&amp;A215,Journaux!$A$5:$A$18,0))</f>
      </c>
      <c r="P215" s="0">
        <f>INDEX(Comptes!$H$5:$H$42,MATCH(E215,Comptes!$A$5:$A$42,0))</f>
      </c>
      <c r="Q215" s="0" t="inlineStr">
        <is>
          <t xml:space="preserve">4</t>
        </is>
      </c>
    </row>
    <row r="216">
      <c r="A216" s="4" t="inlineStr">
        <is>
          <t xml:space="preserve">BQ</t>
        </is>
      </c>
      <c r="B216" s="0" t="inlineStr">
        <is>
          <t xml:space="preserve">Banque Fictive</t>
        </is>
      </c>
      <c r="C216" s="0" t="inlineStr">
        <is>
          <t xml:space="preserve">BQ00041</t>
        </is>
      </c>
      <c r="D216" s="10">
        <v>45366</v>
      </c>
      <c r="E216" s="4" t="inlineStr">
        <is>
          <t xml:space="preserve">431000</t>
        </is>
      </c>
      <c r="F216" s="0" t="inlineStr">
        <is>
          <t xml:space="preserve">Securite sociale</t>
        </is>
      </c>
      <c r="G216" s="0" t="inlineStr">
        <is>
          <t xml:space="preserve">URSSAF202402</t>
        </is>
      </c>
      <c r="H216" s="0" t="inlineStr">
        <is>
          <t xml:space="preserve">Reglement URSSAF 02/2024</t>
        </is>
      </c>
      <c r="I216" s="8">
        <v>32973.76</v>
      </c>
      <c r="J216" s="8">
        <v>0</v>
      </c>
      <c r="K216" s="0"/>
      <c r="L216" s="0"/>
      <c r="M216" s="8">
        <f>I216-J216</f>
      </c>
      <c r="N216" s="0" t="inlineStr">
        <is>
          <t xml:space="preserve">2024-03</t>
        </is>
      </c>
      <c r="O216" s="0">
        <f>INDEX(Journaux!$E$5:$E$18,MATCH("2024|"&amp;A216,Journaux!$A$5:$A$18,0))</f>
      </c>
      <c r="P216" s="0">
        <f>INDEX(Comptes!$H$5:$H$42,MATCH(E216,Comptes!$A$5:$A$42,0))</f>
      </c>
      <c r="Q216" s="0" t="inlineStr">
        <is>
          <t xml:space="preserve">4</t>
        </is>
      </c>
    </row>
    <row r="217">
      <c r="A217" s="4" t="inlineStr">
        <is>
          <t xml:space="preserve">BQ</t>
        </is>
      </c>
      <c r="B217" s="0" t="inlineStr">
        <is>
          <t xml:space="preserve">Banque Fictive</t>
        </is>
      </c>
      <c r="C217" s="0" t="inlineStr">
        <is>
          <t xml:space="preserve">BQ00041</t>
        </is>
      </c>
      <c r="D217" s="10">
        <v>45366</v>
      </c>
      <c r="E217" s="4" t="inlineStr">
        <is>
          <t xml:space="preserve">512000</t>
        </is>
      </c>
      <c r="F217" s="0" t="inlineStr">
        <is>
          <t xml:space="preserve">Banque Fictive</t>
        </is>
      </c>
      <c r="G217" s="0" t="inlineStr">
        <is>
          <t xml:space="preserve">URSSAF202402</t>
        </is>
      </c>
      <c r="H217" s="0" t="inlineStr">
        <is>
          <t xml:space="preserve">Reglement URSSAF 02/2024</t>
        </is>
      </c>
      <c r="I217" s="8">
        <v>0</v>
      </c>
      <c r="J217" s="8">
        <v>32973.76</v>
      </c>
      <c r="K217" s="0"/>
      <c r="L217" s="0"/>
      <c r="M217" s="8">
        <f>I217-J217</f>
      </c>
      <c r="N217" s="0" t="inlineStr">
        <is>
          <t xml:space="preserve">2024-03</t>
        </is>
      </c>
      <c r="O217" s="0">
        <f>INDEX(Journaux!$E$5:$E$18,MATCH("2024|"&amp;A217,Journaux!$A$5:$A$18,0))</f>
      </c>
      <c r="P217" s="0">
        <f>INDEX(Comptes!$H$5:$H$42,MATCH(E217,Comptes!$A$5:$A$42,0))</f>
      </c>
      <c r="Q217" s="0" t="inlineStr">
        <is>
          <t xml:space="preserve">5</t>
        </is>
      </c>
    </row>
    <row r="218">
      <c r="A218" s="4" t="inlineStr">
        <is>
          <t xml:space="preserve">BQ</t>
        </is>
      </c>
      <c r="B218" s="0" t="inlineStr">
        <is>
          <t xml:space="preserve">Banque Fictive</t>
        </is>
      </c>
      <c r="C218" s="0" t="inlineStr">
        <is>
          <t xml:space="preserve">BQ00076</t>
        </is>
      </c>
      <c r="D218" s="10">
        <v>45369</v>
      </c>
      <c r="E218" s="4" t="inlineStr">
        <is>
          <t xml:space="preserve">512000</t>
        </is>
      </c>
      <c r="F218" s="0" t="inlineStr">
        <is>
          <t xml:space="preserve">Banque Fictive</t>
        </is>
      </c>
      <c r="G218" s="0" t="inlineStr">
        <is>
          <t xml:space="preserve">ENC-FA2024-0011</t>
        </is>
      </c>
      <c r="H218" s="0" t="inlineStr">
        <is>
          <t xml:space="preserve">Reglement client Agence Mobilis FA2024-0011</t>
        </is>
      </c>
      <c r="I218" s="8">
        <v>47082.47</v>
      </c>
      <c r="J218" s="8">
        <v>0</v>
      </c>
      <c r="K218" s="0"/>
      <c r="L218" s="0"/>
      <c r="M218" s="8">
        <f>I218-J218</f>
      </c>
      <c r="N218" s="0" t="inlineStr">
        <is>
          <t xml:space="preserve">2024-03</t>
        </is>
      </c>
      <c r="O218" s="0">
        <f>INDEX(Journaux!$E$5:$E$18,MATCH("2024|"&amp;A218,Journaux!$A$5:$A$18,0))</f>
      </c>
      <c r="P218" s="0">
        <f>INDEX(Comptes!$H$5:$H$42,MATCH(E218,Comptes!$A$5:$A$42,0))</f>
      </c>
      <c r="Q218" s="0" t="inlineStr">
        <is>
          <t xml:space="preserve">5</t>
        </is>
      </c>
    </row>
    <row r="219">
      <c r="A219" s="4" t="inlineStr">
        <is>
          <t xml:space="preserve">BQ</t>
        </is>
      </c>
      <c r="B219" s="0" t="inlineStr">
        <is>
          <t xml:space="preserve">Banque Fictive</t>
        </is>
      </c>
      <c r="C219" s="0" t="inlineStr">
        <is>
          <t xml:space="preserve">BQ00076</t>
        </is>
      </c>
      <c r="D219" s="10">
        <v>45369</v>
      </c>
      <c r="E219" s="4" t="inlineStr">
        <is>
          <t xml:space="preserve">411000</t>
        </is>
      </c>
      <c r="F219" s="0" t="inlineStr">
        <is>
          <t xml:space="preserve">Clients</t>
        </is>
      </c>
      <c r="G219" s="0" t="inlineStr">
        <is>
          <t xml:space="preserve">ENC-FA2024-0011</t>
        </is>
      </c>
      <c r="H219" s="0" t="inlineStr">
        <is>
          <t xml:space="preserve">Reglement client Agence Mobilis FA2024-0011</t>
        </is>
      </c>
      <c r="I219" s="8">
        <v>0</v>
      </c>
      <c r="J219" s="8">
        <v>47082.47</v>
      </c>
      <c r="K219" s="0" t="inlineStr">
        <is>
          <t xml:space="preserve">AAP</t>
        </is>
      </c>
      <c r="L219" s="0" t="inlineStr">
        <is>
          <t xml:space="preserve">Agence Mobilis</t>
        </is>
      </c>
      <c r="M219" s="8">
        <f>I219-J219</f>
      </c>
      <c r="N219" s="0" t="inlineStr">
        <is>
          <t xml:space="preserve">2024-03</t>
        </is>
      </c>
      <c r="O219" s="0">
        <f>INDEX(Journaux!$E$5:$E$18,MATCH("2024|"&amp;A219,Journaux!$A$5:$A$18,0))</f>
      </c>
      <c r="P219" s="0">
        <f>INDEX(Comptes!$H$5:$H$42,MATCH(E219,Comptes!$A$5:$A$42,0))</f>
      </c>
      <c r="Q219" s="0" t="inlineStr">
        <is>
          <t xml:space="preserve">4</t>
        </is>
      </c>
      <c r="R219" s="7" t="inlineStr">
        <is>
          <t xml:space="preserve">411000|C002</t>
        </is>
      </c>
    </row>
    <row r="220">
      <c r="A220" s="4" t="inlineStr">
        <is>
          <t xml:space="preserve">BQ</t>
        </is>
      </c>
      <c r="B220" s="0" t="inlineStr">
        <is>
          <t xml:space="preserve">Banque Fictive</t>
        </is>
      </c>
      <c r="C220" s="0" t="inlineStr">
        <is>
          <t xml:space="preserve">BQ00074</t>
        </is>
      </c>
      <c r="D220" s="10">
        <v>45370</v>
      </c>
      <c r="E220" s="4" t="inlineStr">
        <is>
          <t xml:space="preserve">512000</t>
        </is>
      </c>
      <c r="F220" s="0" t="inlineStr">
        <is>
          <t xml:space="preserve">Banque Fictive</t>
        </is>
      </c>
      <c r="G220" s="0" t="inlineStr">
        <is>
          <t xml:space="preserve">ENC-FA2024-0009</t>
        </is>
      </c>
      <c r="H220" s="0" t="inlineStr">
        <is>
          <t xml:space="preserve">Reglement client Agence Mobilis FA2024-0009</t>
        </is>
      </c>
      <c r="I220" s="8">
        <v>34050.62</v>
      </c>
      <c r="J220" s="8">
        <v>0</v>
      </c>
      <c r="K220" s="0"/>
      <c r="L220" s="0"/>
      <c r="M220" s="8">
        <f>I220-J220</f>
      </c>
      <c r="N220" s="0" t="inlineStr">
        <is>
          <t xml:space="preserve">2024-03</t>
        </is>
      </c>
      <c r="O220" s="0">
        <f>INDEX(Journaux!$E$5:$E$18,MATCH("2024|"&amp;A220,Journaux!$A$5:$A$18,0))</f>
      </c>
      <c r="P220" s="0">
        <f>INDEX(Comptes!$H$5:$H$42,MATCH(E220,Comptes!$A$5:$A$42,0))</f>
      </c>
      <c r="Q220" s="0" t="inlineStr">
        <is>
          <t xml:space="preserve">5</t>
        </is>
      </c>
    </row>
    <row r="221">
      <c r="A221" s="4" t="inlineStr">
        <is>
          <t xml:space="preserve">BQ</t>
        </is>
      </c>
      <c r="B221" s="0" t="inlineStr">
        <is>
          <t xml:space="preserve">Banque Fictive</t>
        </is>
      </c>
      <c r="C221" s="0" t="inlineStr">
        <is>
          <t xml:space="preserve">BQ00074</t>
        </is>
      </c>
      <c r="D221" s="10">
        <v>45370</v>
      </c>
      <c r="E221" s="4" t="inlineStr">
        <is>
          <t xml:space="preserve">411000</t>
        </is>
      </c>
      <c r="F221" s="0" t="inlineStr">
        <is>
          <t xml:space="preserve">Clients</t>
        </is>
      </c>
      <c r="G221" s="0" t="inlineStr">
        <is>
          <t xml:space="preserve">ENC-FA2024-0009</t>
        </is>
      </c>
      <c r="H221" s="0" t="inlineStr">
        <is>
          <t xml:space="preserve">Reglement client Agence Mobilis FA2024-0009</t>
        </is>
      </c>
      <c r="I221" s="8">
        <v>0</v>
      </c>
      <c r="J221" s="8">
        <v>34050.62</v>
      </c>
      <c r="K221" s="0" t="inlineStr">
        <is>
          <t xml:space="preserve">AAN</t>
        </is>
      </c>
      <c r="L221" s="0" t="inlineStr">
        <is>
          <t xml:space="preserve">Agence Mobilis</t>
        </is>
      </c>
      <c r="M221" s="8">
        <f>I221-J221</f>
      </c>
      <c r="N221" s="0" t="inlineStr">
        <is>
          <t xml:space="preserve">2024-03</t>
        </is>
      </c>
      <c r="O221" s="0">
        <f>INDEX(Journaux!$E$5:$E$18,MATCH("2024|"&amp;A221,Journaux!$A$5:$A$18,0))</f>
      </c>
      <c r="P221" s="0">
        <f>INDEX(Comptes!$H$5:$H$42,MATCH(E221,Comptes!$A$5:$A$42,0))</f>
      </c>
      <c r="Q221" s="0" t="inlineStr">
        <is>
          <t xml:space="preserve">4</t>
        </is>
      </c>
      <c r="R221" s="7" t="inlineStr">
        <is>
          <t xml:space="preserve">411000|C002</t>
        </is>
      </c>
    </row>
    <row r="222">
      <c r="A222" s="4" t="inlineStr">
        <is>
          <t xml:space="preserve">BQ</t>
        </is>
      </c>
      <c r="B222" s="0" t="inlineStr">
        <is>
          <t xml:space="preserve">Banque Fictive</t>
        </is>
      </c>
      <c r="C222" s="0" t="inlineStr">
        <is>
          <t xml:space="preserve">BQ00042</t>
        </is>
      </c>
      <c r="D222" s="10">
        <v>45371</v>
      </c>
      <c r="E222" s="4" t="inlineStr">
        <is>
          <t xml:space="preserve">445510</t>
        </is>
      </c>
      <c r="F222" s="0" t="inlineStr">
        <is>
          <t xml:space="preserve">TVA a decaisser</t>
        </is>
      </c>
      <c r="G222" s="0" t="inlineStr">
        <is>
          <t xml:space="preserve">TVA202402</t>
        </is>
      </c>
      <c r="H222" s="0" t="inlineStr">
        <is>
          <t xml:space="preserve">Reglement TVA 02/2024</t>
        </is>
      </c>
      <c r="I222" s="8">
        <v>14999.19</v>
      </c>
      <c r="J222" s="8">
        <v>0</v>
      </c>
      <c r="K222" s="0"/>
      <c r="L222" s="0"/>
      <c r="M222" s="8">
        <f>I222-J222</f>
      </c>
      <c r="N222" s="0" t="inlineStr">
        <is>
          <t xml:space="preserve">2024-03</t>
        </is>
      </c>
      <c r="O222" s="0">
        <f>INDEX(Journaux!$E$5:$E$18,MATCH("2024|"&amp;A222,Journaux!$A$5:$A$18,0))</f>
      </c>
      <c r="P222" s="0">
        <f>INDEX(Comptes!$H$5:$H$42,MATCH(E222,Comptes!$A$5:$A$42,0))</f>
      </c>
      <c r="Q222" s="0" t="inlineStr">
        <is>
          <t xml:space="preserve">4</t>
        </is>
      </c>
    </row>
    <row r="223">
      <c r="A223" s="4" t="inlineStr">
        <is>
          <t xml:space="preserve">BQ</t>
        </is>
      </c>
      <c r="B223" s="0" t="inlineStr">
        <is>
          <t xml:space="preserve">Banque Fictive</t>
        </is>
      </c>
      <c r="C223" s="0" t="inlineStr">
        <is>
          <t xml:space="preserve">BQ00042</t>
        </is>
      </c>
      <c r="D223" s="10">
        <v>45371</v>
      </c>
      <c r="E223" s="4" t="inlineStr">
        <is>
          <t xml:space="preserve">512000</t>
        </is>
      </c>
      <c r="F223" s="0" t="inlineStr">
        <is>
          <t xml:space="preserve">Banque Fictive</t>
        </is>
      </c>
      <c r="G223" s="0" t="inlineStr">
        <is>
          <t xml:space="preserve">TVA202402</t>
        </is>
      </c>
      <c r="H223" s="0" t="inlineStr">
        <is>
          <t xml:space="preserve">Reglement TVA 02/2024</t>
        </is>
      </c>
      <c r="I223" s="8">
        <v>0</v>
      </c>
      <c r="J223" s="8">
        <v>14999.19</v>
      </c>
      <c r="K223" s="0"/>
      <c r="L223" s="0"/>
      <c r="M223" s="8">
        <f>I223-J223</f>
      </c>
      <c r="N223" s="0" t="inlineStr">
        <is>
          <t xml:space="preserve">2024-03</t>
        </is>
      </c>
      <c r="O223" s="0">
        <f>INDEX(Journaux!$E$5:$E$18,MATCH("2024|"&amp;A223,Journaux!$A$5:$A$18,0))</f>
      </c>
      <c r="P223" s="0">
        <f>INDEX(Comptes!$H$5:$H$42,MATCH(E223,Comptes!$A$5:$A$42,0))</f>
      </c>
      <c r="Q223" s="0" t="inlineStr">
        <is>
          <t xml:space="preserve">5</t>
        </is>
      </c>
    </row>
    <row r="224">
      <c r="A224" s="4" t="inlineStr">
        <is>
          <t xml:space="preserve">BQ</t>
        </is>
      </c>
      <c r="B224" s="0" t="inlineStr">
        <is>
          <t xml:space="preserve">Banque Fictive</t>
        </is>
      </c>
      <c r="C224" s="0" t="inlineStr">
        <is>
          <t xml:space="preserve">BQ00073</t>
        </is>
      </c>
      <c r="D224" s="10">
        <v>45372</v>
      </c>
      <c r="E224" s="4" t="inlineStr">
        <is>
          <t xml:space="preserve">512000</t>
        </is>
      </c>
      <c r="F224" s="0" t="inlineStr">
        <is>
          <t xml:space="preserve">Banque Fictive</t>
        </is>
      </c>
      <c r="G224" s="0" t="inlineStr">
        <is>
          <t xml:space="preserve">ENC-FA2024-0008</t>
        </is>
      </c>
      <c r="H224" s="0" t="inlineStr">
        <is>
          <t xml:space="preserve">Reglement client Clinique du Parc FA2024-0008</t>
        </is>
      </c>
      <c r="I224" s="8">
        <v>22339.12</v>
      </c>
      <c r="J224" s="8">
        <v>0</v>
      </c>
      <c r="K224" s="0"/>
      <c r="L224" s="0"/>
      <c r="M224" s="8">
        <f>I224-J224</f>
      </c>
      <c r="N224" s="0" t="inlineStr">
        <is>
          <t xml:space="preserve">2024-03</t>
        </is>
      </c>
      <c r="O224" s="0">
        <f>INDEX(Journaux!$E$5:$E$18,MATCH("2024|"&amp;A224,Journaux!$A$5:$A$18,0))</f>
      </c>
      <c r="P224" s="0">
        <f>INDEX(Comptes!$H$5:$H$42,MATCH(E224,Comptes!$A$5:$A$42,0))</f>
      </c>
      <c r="Q224" s="0" t="inlineStr">
        <is>
          <t xml:space="preserve">5</t>
        </is>
      </c>
    </row>
    <row r="225">
      <c r="A225" s="4" t="inlineStr">
        <is>
          <t xml:space="preserve">BQ</t>
        </is>
      </c>
      <c r="B225" s="0" t="inlineStr">
        <is>
          <t xml:space="preserve">Banque Fictive</t>
        </is>
      </c>
      <c r="C225" s="0" t="inlineStr">
        <is>
          <t xml:space="preserve">BQ00073</t>
        </is>
      </c>
      <c r="D225" s="10">
        <v>45372</v>
      </c>
      <c r="E225" s="4" t="inlineStr">
        <is>
          <t xml:space="preserve">411000</t>
        </is>
      </c>
      <c r="F225" s="0" t="inlineStr">
        <is>
          <t xml:space="preserve">Clients</t>
        </is>
      </c>
      <c r="G225" s="0" t="inlineStr">
        <is>
          <t xml:space="preserve">ENC-FA2024-0008</t>
        </is>
      </c>
      <c r="H225" s="0" t="inlineStr">
        <is>
          <t xml:space="preserve">Reglement client Clinique du Parc FA2024-0008</t>
        </is>
      </c>
      <c r="I225" s="8">
        <v>0</v>
      </c>
      <c r="J225" s="8">
        <v>22339.12</v>
      </c>
      <c r="K225" s="0" t="inlineStr">
        <is>
          <t xml:space="preserve">AAM</t>
        </is>
      </c>
      <c r="L225" s="0" t="inlineStr">
        <is>
          <t xml:space="preserve">Clinique du Parc</t>
        </is>
      </c>
      <c r="M225" s="8">
        <f>I225-J225</f>
      </c>
      <c r="N225" s="0" t="inlineStr">
        <is>
          <t xml:space="preserve">2024-03</t>
        </is>
      </c>
      <c r="O225" s="0">
        <f>INDEX(Journaux!$E$5:$E$18,MATCH("2024|"&amp;A225,Journaux!$A$5:$A$18,0))</f>
      </c>
      <c r="P225" s="0">
        <f>INDEX(Comptes!$H$5:$H$42,MATCH(E225,Comptes!$A$5:$A$42,0))</f>
      </c>
      <c r="Q225" s="0" t="inlineStr">
        <is>
          <t xml:space="preserve">4</t>
        </is>
      </c>
      <c r="R225" s="7" t="inlineStr">
        <is>
          <t xml:space="preserve">411000|C006</t>
        </is>
      </c>
    </row>
    <row r="226">
      <c r="A226" s="4" t="inlineStr">
        <is>
          <t xml:space="preserve">AC</t>
        </is>
      </c>
      <c r="B226" s="0" t="inlineStr">
        <is>
          <t xml:space="preserve">Journal des achats</t>
        </is>
      </c>
      <c r="C226" s="0" t="inlineStr">
        <is>
          <t xml:space="preserve">AC00013</t>
        </is>
      </c>
      <c r="D226" s="10">
        <v>45376</v>
      </c>
      <c r="E226" s="4" t="inlineStr">
        <is>
          <t xml:space="preserve">601000</t>
        </is>
      </c>
      <c r="F226" s="0" t="inlineStr">
        <is>
          <t xml:space="preserve">Achats de matieres premieres</t>
        </is>
      </c>
      <c r="G226" s="0" t="inlineStr">
        <is>
          <t xml:space="preserve">F003-2024032</t>
        </is>
      </c>
      <c r="H226" s="0" t="inlineStr">
        <is>
          <t xml:space="preserve">Facture Vernis et Finitions F003-2024032</t>
        </is>
      </c>
      <c r="I226" s="8">
        <v>22293.27</v>
      </c>
      <c r="J226" s="8">
        <v>0</v>
      </c>
      <c r="K226" s="0"/>
      <c r="L226" s="0"/>
      <c r="M226" s="8">
        <f>I226-J226</f>
      </c>
      <c r="N226" s="0" t="inlineStr">
        <is>
          <t xml:space="preserve">2024-03</t>
        </is>
      </c>
      <c r="O226" s="0">
        <f>INDEX(Journaux!$E$5:$E$18,MATCH("2024|"&amp;A226,Journaux!$A$5:$A$18,0))</f>
      </c>
      <c r="P226" s="0">
        <f>INDEX(Comptes!$H$5:$H$42,MATCH(E226,Comptes!$A$5:$A$42,0))</f>
      </c>
      <c r="Q226" s="0" t="inlineStr">
        <is>
          <t xml:space="preserve">6</t>
        </is>
      </c>
    </row>
    <row r="227">
      <c r="A227" s="4" t="inlineStr">
        <is>
          <t xml:space="preserve">AC</t>
        </is>
      </c>
      <c r="B227" s="0" t="inlineStr">
        <is>
          <t xml:space="preserve">Journal des achats</t>
        </is>
      </c>
      <c r="C227" s="0" t="inlineStr">
        <is>
          <t xml:space="preserve">AC00013</t>
        </is>
      </c>
      <c r="D227" s="10">
        <v>45376</v>
      </c>
      <c r="E227" s="4" t="inlineStr">
        <is>
          <t xml:space="preserve">445660</t>
        </is>
      </c>
      <c r="F227" s="0" t="inlineStr">
        <is>
          <t xml:space="preserve">TVA deductible sur ABS</t>
        </is>
      </c>
      <c r="G227" s="0" t="inlineStr">
        <is>
          <t xml:space="preserve">F003-2024032</t>
        </is>
      </c>
      <c r="H227" s="0" t="inlineStr">
        <is>
          <t xml:space="preserve">Facture Vernis et Finitions F003-2024032</t>
        </is>
      </c>
      <c r="I227" s="8">
        <v>4458.65</v>
      </c>
      <c r="J227" s="8">
        <v>0</v>
      </c>
      <c r="K227" s="0"/>
      <c r="L227" s="0"/>
      <c r="M227" s="8">
        <f>I227-J227</f>
      </c>
      <c r="N227" s="0" t="inlineStr">
        <is>
          <t xml:space="preserve">2024-03</t>
        </is>
      </c>
      <c r="O227" s="0">
        <f>INDEX(Journaux!$E$5:$E$18,MATCH("2024|"&amp;A227,Journaux!$A$5:$A$18,0))</f>
      </c>
      <c r="P227" s="0">
        <f>INDEX(Comptes!$H$5:$H$42,MATCH(E227,Comptes!$A$5:$A$42,0))</f>
      </c>
      <c r="Q227" s="0" t="inlineStr">
        <is>
          <t xml:space="preserve">4</t>
        </is>
      </c>
    </row>
    <row r="228">
      <c r="A228" s="4" t="inlineStr">
        <is>
          <t xml:space="preserve">AC</t>
        </is>
      </c>
      <c r="B228" s="0" t="inlineStr">
        <is>
          <t xml:space="preserve">Journal des achats</t>
        </is>
      </c>
      <c r="C228" s="0" t="inlineStr">
        <is>
          <t xml:space="preserve">AC00013</t>
        </is>
      </c>
      <c r="D228" s="10">
        <v>45376</v>
      </c>
      <c r="E228" s="4" t="inlineStr">
        <is>
          <t xml:space="preserve">401000</t>
        </is>
      </c>
      <c r="F228" s="0" t="inlineStr">
        <is>
          <t xml:space="preserve">Fournisseurs</t>
        </is>
      </c>
      <c r="G228" s="0" t="inlineStr">
        <is>
          <t xml:space="preserve">F003-2024032</t>
        </is>
      </c>
      <c r="H228" s="0" t="inlineStr">
        <is>
          <t xml:space="preserve">Facture Vernis et Finitions F003-2024032</t>
        </is>
      </c>
      <c r="I228" s="8">
        <v>0</v>
      </c>
      <c r="J228" s="8">
        <v>26751.92</v>
      </c>
      <c r="K228" s="0" t="inlineStr">
        <is>
          <t xml:space="preserve">ABY</t>
        </is>
      </c>
      <c r="L228" s="0" t="inlineStr">
        <is>
          <t xml:space="preserve">Vernis et Finitions</t>
        </is>
      </c>
      <c r="M228" s="8">
        <f>I228-J228</f>
      </c>
      <c r="N228" s="0" t="inlineStr">
        <is>
          <t xml:space="preserve">2024-03</t>
        </is>
      </c>
      <c r="O228" s="0">
        <f>INDEX(Journaux!$E$5:$E$18,MATCH("2024|"&amp;A228,Journaux!$A$5:$A$18,0))</f>
      </c>
      <c r="P228" s="0">
        <f>INDEX(Comptes!$H$5:$H$42,MATCH(E228,Comptes!$A$5:$A$42,0))</f>
      </c>
      <c r="Q228" s="0" t="inlineStr">
        <is>
          <t xml:space="preserve">4</t>
        </is>
      </c>
      <c r="R228" s="7" t="inlineStr">
        <is>
          <t xml:space="preserve">401000|F003</t>
        </is>
      </c>
    </row>
    <row r="229">
      <c r="A229" s="4" t="inlineStr">
        <is>
          <t xml:space="preserve">BQ</t>
        </is>
      </c>
      <c r="B229" s="0" t="inlineStr">
        <is>
          <t xml:space="preserve">Banque Fictive</t>
        </is>
      </c>
      <c r="C229" s="0" t="inlineStr">
        <is>
          <t xml:space="preserve">BQ00125</t>
        </is>
      </c>
      <c r="D229" s="10">
        <v>45377</v>
      </c>
      <c r="E229" s="4" t="inlineStr">
        <is>
          <t xml:space="preserve">401000</t>
        </is>
      </c>
      <c r="F229" s="0" t="inlineStr">
        <is>
          <t xml:space="preserve">Fournisseurs</t>
        </is>
      </c>
      <c r="G229" s="0" t="inlineStr">
        <is>
          <t xml:space="preserve">DEC-F001-2024011</t>
        </is>
      </c>
      <c r="H229" s="0" t="inlineStr">
        <is>
          <t xml:space="preserve">Reglement fournisseur Scierie du Nord F001-2024011</t>
        </is>
      </c>
      <c r="I229" s="8">
        <v>39489.35</v>
      </c>
      <c r="J229" s="8">
        <v>0</v>
      </c>
      <c r="K229" s="0" t="inlineStr">
        <is>
          <t xml:space="preserve">ABM</t>
        </is>
      </c>
      <c r="L229" s="0" t="inlineStr">
        <is>
          <t xml:space="preserve">Scierie du Nord</t>
        </is>
      </c>
      <c r="M229" s="8">
        <f>I229-J229</f>
      </c>
      <c r="N229" s="0" t="inlineStr">
        <is>
          <t xml:space="preserve">2024-03</t>
        </is>
      </c>
      <c r="O229" s="0">
        <f>INDEX(Journaux!$E$5:$E$18,MATCH("2024|"&amp;A229,Journaux!$A$5:$A$18,0))</f>
      </c>
      <c r="P229" s="0">
        <f>INDEX(Comptes!$H$5:$H$42,MATCH(E229,Comptes!$A$5:$A$42,0))</f>
      </c>
      <c r="Q229" s="0" t="inlineStr">
        <is>
          <t xml:space="preserve">4</t>
        </is>
      </c>
      <c r="R229" s="7" t="inlineStr">
        <is>
          <t xml:space="preserve">401000|F001</t>
        </is>
      </c>
    </row>
    <row r="230">
      <c r="A230" s="4" t="inlineStr">
        <is>
          <t xml:space="preserve">BQ</t>
        </is>
      </c>
      <c r="B230" s="0" t="inlineStr">
        <is>
          <t xml:space="preserve">Banque Fictive</t>
        </is>
      </c>
      <c r="C230" s="0" t="inlineStr">
        <is>
          <t xml:space="preserve">BQ00125</t>
        </is>
      </c>
      <c r="D230" s="10">
        <v>45377</v>
      </c>
      <c r="E230" s="4" t="inlineStr">
        <is>
          <t xml:space="preserve">512000</t>
        </is>
      </c>
      <c r="F230" s="0" t="inlineStr">
        <is>
          <t xml:space="preserve">Banque Fictive</t>
        </is>
      </c>
      <c r="G230" s="0" t="inlineStr">
        <is>
          <t xml:space="preserve">DEC-F001-2024011</t>
        </is>
      </c>
      <c r="H230" s="0" t="inlineStr">
        <is>
          <t xml:space="preserve">Reglement fournisseur Scierie du Nord F001-2024011</t>
        </is>
      </c>
      <c r="I230" s="8">
        <v>0</v>
      </c>
      <c r="J230" s="8">
        <v>39489.35</v>
      </c>
      <c r="K230" s="0"/>
      <c r="L230" s="0"/>
      <c r="M230" s="8">
        <f>I230-J230</f>
      </c>
      <c r="N230" s="0" t="inlineStr">
        <is>
          <t xml:space="preserve">2024-03</t>
        </is>
      </c>
      <c r="O230" s="0">
        <f>INDEX(Journaux!$E$5:$E$18,MATCH("2024|"&amp;A230,Journaux!$A$5:$A$18,0))</f>
      </c>
      <c r="P230" s="0">
        <f>INDEX(Comptes!$H$5:$H$42,MATCH(E230,Comptes!$A$5:$A$42,0))</f>
      </c>
      <c r="Q230" s="0" t="inlineStr">
        <is>
          <t xml:space="preserve">5</t>
        </is>
      </c>
    </row>
    <row r="231">
      <c r="A231" s="4" t="inlineStr">
        <is>
          <t xml:space="preserve">BQ</t>
        </is>
      </c>
      <c r="B231" s="0" t="inlineStr">
        <is>
          <t xml:space="preserve">Banque Fictive</t>
        </is>
      </c>
      <c r="C231" s="0" t="inlineStr">
        <is>
          <t xml:space="preserve">BQ00077</t>
        </is>
      </c>
      <c r="D231" s="10">
        <v>45379</v>
      </c>
      <c r="E231" s="4" t="inlineStr">
        <is>
          <t xml:space="preserve">512000</t>
        </is>
      </c>
      <c r="F231" s="0" t="inlineStr">
        <is>
          <t xml:space="preserve">Banque Fictive</t>
        </is>
      </c>
      <c r="G231" s="0" t="inlineStr">
        <is>
          <t xml:space="preserve">ENC-FA2024-0012</t>
        </is>
      </c>
      <c r="H231" s="0" t="inlineStr">
        <is>
          <t xml:space="preserve">Reglement client Coworking Atelier 9 FA2024-0012</t>
        </is>
      </c>
      <c r="I231" s="8">
        <v>23334.37</v>
      </c>
      <c r="J231" s="8">
        <v>0</v>
      </c>
      <c r="K231" s="0"/>
      <c r="L231" s="0"/>
      <c r="M231" s="8">
        <f>I231-J231</f>
      </c>
      <c r="N231" s="0" t="inlineStr">
        <is>
          <t xml:space="preserve">2024-03</t>
        </is>
      </c>
      <c r="O231" s="0">
        <f>INDEX(Journaux!$E$5:$E$18,MATCH("2024|"&amp;A231,Journaux!$A$5:$A$18,0))</f>
      </c>
      <c r="P231" s="0">
        <f>INDEX(Comptes!$H$5:$H$42,MATCH(E231,Comptes!$A$5:$A$42,0))</f>
      </c>
      <c r="Q231" s="0" t="inlineStr">
        <is>
          <t xml:space="preserve">5</t>
        </is>
      </c>
    </row>
    <row r="232">
      <c r="A232" s="4" t="inlineStr">
        <is>
          <t xml:space="preserve">BQ</t>
        </is>
      </c>
      <c r="B232" s="0" t="inlineStr">
        <is>
          <t xml:space="preserve">Banque Fictive</t>
        </is>
      </c>
      <c r="C232" s="0" t="inlineStr">
        <is>
          <t xml:space="preserve">BQ00077</t>
        </is>
      </c>
      <c r="D232" s="10">
        <v>45379</v>
      </c>
      <c r="E232" s="4" t="inlineStr">
        <is>
          <t xml:space="preserve">411000</t>
        </is>
      </c>
      <c r="F232" s="0" t="inlineStr">
        <is>
          <t xml:space="preserve">Clients</t>
        </is>
      </c>
      <c r="G232" s="0" t="inlineStr">
        <is>
          <t xml:space="preserve">ENC-FA2024-0012</t>
        </is>
      </c>
      <c r="H232" s="0" t="inlineStr">
        <is>
          <t xml:space="preserve">Reglement client Coworking Atelier 9 FA2024-0012</t>
        </is>
      </c>
      <c r="I232" s="8">
        <v>0</v>
      </c>
      <c r="J232" s="8">
        <v>23334.37</v>
      </c>
      <c r="K232" s="0" t="inlineStr">
        <is>
          <t xml:space="preserve">AAQ</t>
        </is>
      </c>
      <c r="L232" s="0" t="inlineStr">
        <is>
          <t xml:space="preserve">Coworking Atelier 9</t>
        </is>
      </c>
      <c r="M232" s="8">
        <f>I232-J232</f>
      </c>
      <c r="N232" s="0" t="inlineStr">
        <is>
          <t xml:space="preserve">2024-03</t>
        </is>
      </c>
      <c r="O232" s="0">
        <f>INDEX(Journaux!$E$5:$E$18,MATCH("2024|"&amp;A232,Journaux!$A$5:$A$18,0))</f>
      </c>
      <c r="P232" s="0">
        <f>INDEX(Comptes!$H$5:$H$42,MATCH(E232,Comptes!$A$5:$A$42,0))</f>
      </c>
      <c r="Q232" s="0" t="inlineStr">
        <is>
          <t xml:space="preserve">4</t>
        </is>
      </c>
      <c r="R232" s="7" t="inlineStr">
        <is>
          <t xml:space="preserve">411000|C008</t>
        </is>
      </c>
    </row>
    <row r="233">
      <c r="A233" s="4" t="inlineStr">
        <is>
          <t xml:space="preserve">BQ</t>
        </is>
      </c>
      <c r="B233" s="0" t="inlineStr">
        <is>
          <t xml:space="preserve">Banque Fictive</t>
        </is>
      </c>
      <c r="C233" s="0" t="inlineStr">
        <is>
          <t xml:space="preserve">BQ00132</t>
        </is>
      </c>
      <c r="D233" s="10">
        <v>45380</v>
      </c>
      <c r="E233" s="4" t="inlineStr">
        <is>
          <t xml:space="preserve">401000</t>
        </is>
      </c>
      <c r="F233" s="0" t="inlineStr">
        <is>
          <t xml:space="preserve">Fournisseurs</t>
        </is>
      </c>
      <c r="G233" s="0" t="inlineStr">
        <is>
          <t xml:space="preserve">DEC-F001-2024022</t>
        </is>
      </c>
      <c r="H233" s="0" t="inlineStr">
        <is>
          <t xml:space="preserve">Reglement fournisseur Scierie du Nord F001-2024022</t>
        </is>
      </c>
      <c r="I233" s="8">
        <v>35715.06</v>
      </c>
      <c r="J233" s="8">
        <v>0</v>
      </c>
      <c r="K233" s="0" t="inlineStr">
        <is>
          <t xml:space="preserve">ABT</t>
        </is>
      </c>
      <c r="L233" s="0" t="inlineStr">
        <is>
          <t xml:space="preserve">Scierie du Nord</t>
        </is>
      </c>
      <c r="M233" s="8">
        <f>I233-J233</f>
      </c>
      <c r="N233" s="0" t="inlineStr">
        <is>
          <t xml:space="preserve">2024-03</t>
        </is>
      </c>
      <c r="O233" s="0">
        <f>INDEX(Journaux!$E$5:$E$18,MATCH("2024|"&amp;A233,Journaux!$A$5:$A$18,0))</f>
      </c>
      <c r="P233" s="0">
        <f>INDEX(Comptes!$H$5:$H$42,MATCH(E233,Comptes!$A$5:$A$42,0))</f>
      </c>
      <c r="Q233" s="0" t="inlineStr">
        <is>
          <t xml:space="preserve">4</t>
        </is>
      </c>
      <c r="R233" s="7" t="inlineStr">
        <is>
          <t xml:space="preserve">401000|F001</t>
        </is>
      </c>
    </row>
    <row r="234">
      <c r="A234" s="4" t="inlineStr">
        <is>
          <t xml:space="preserve">BQ</t>
        </is>
      </c>
      <c r="B234" s="0" t="inlineStr">
        <is>
          <t xml:space="preserve">Banque Fictive</t>
        </is>
      </c>
      <c r="C234" s="0" t="inlineStr">
        <is>
          <t xml:space="preserve">BQ00132</t>
        </is>
      </c>
      <c r="D234" s="10">
        <v>45380</v>
      </c>
      <c r="E234" s="4" t="inlineStr">
        <is>
          <t xml:space="preserve">512000</t>
        </is>
      </c>
      <c r="F234" s="0" t="inlineStr">
        <is>
          <t xml:space="preserve">Banque Fictive</t>
        </is>
      </c>
      <c r="G234" s="0" t="inlineStr">
        <is>
          <t xml:space="preserve">DEC-F001-2024022</t>
        </is>
      </c>
      <c r="H234" s="0" t="inlineStr">
        <is>
          <t xml:space="preserve">Reglement fournisseur Scierie du Nord F001-2024022</t>
        </is>
      </c>
      <c r="I234" s="8">
        <v>0</v>
      </c>
      <c r="J234" s="8">
        <v>35715.06</v>
      </c>
      <c r="K234" s="0"/>
      <c r="L234" s="0"/>
      <c r="M234" s="8">
        <f>I234-J234</f>
      </c>
      <c r="N234" s="0" t="inlineStr">
        <is>
          <t xml:space="preserve">2024-03</t>
        </is>
      </c>
      <c r="O234" s="0">
        <f>INDEX(Journaux!$E$5:$E$18,MATCH("2024|"&amp;A234,Journaux!$A$5:$A$18,0))</f>
      </c>
      <c r="P234" s="0">
        <f>INDEX(Comptes!$H$5:$H$42,MATCH(E234,Comptes!$A$5:$A$42,0))</f>
      </c>
      <c r="Q234" s="0" t="inlineStr">
        <is>
          <t xml:space="preserve">5</t>
        </is>
      </c>
    </row>
    <row r="235">
      <c r="A235" s="4" t="inlineStr">
        <is>
          <t xml:space="preserve">BQ</t>
        </is>
      </c>
      <c r="B235" s="0" t="inlineStr">
        <is>
          <t xml:space="preserve">Banque Fictive</t>
        </is>
      </c>
      <c r="C235" s="0" t="inlineStr">
        <is>
          <t xml:space="preserve">BQ00007</t>
        </is>
      </c>
      <c r="D235" s="10">
        <v>45382</v>
      </c>
      <c r="E235" s="4" t="inlineStr">
        <is>
          <t xml:space="preserve">421000</t>
        </is>
      </c>
      <c r="F235" s="0" t="inlineStr">
        <is>
          <t xml:space="preserve">Personnel remunerations dues</t>
        </is>
      </c>
      <c r="G235" s="0" t="inlineStr">
        <is>
          <t xml:space="preserve">VIRSAL202403</t>
        </is>
      </c>
      <c r="H235" s="0" t="inlineStr">
        <is>
          <t xml:space="preserve">Virement salaires 03/2024</t>
        </is>
      </c>
      <c r="I235" s="8">
        <v>40433.71</v>
      </c>
      <c r="J235" s="8">
        <v>0</v>
      </c>
      <c r="K235" s="0"/>
      <c r="L235" s="0"/>
      <c r="M235" s="8">
        <f>I235-J235</f>
      </c>
      <c r="N235" s="0" t="inlineStr">
        <is>
          <t xml:space="preserve">2024-03</t>
        </is>
      </c>
      <c r="O235" s="0">
        <f>INDEX(Journaux!$E$5:$E$18,MATCH("2024|"&amp;A235,Journaux!$A$5:$A$18,0))</f>
      </c>
      <c r="P235" s="0">
        <f>INDEX(Comptes!$H$5:$H$42,MATCH(E235,Comptes!$A$5:$A$42,0))</f>
      </c>
      <c r="Q235" s="0" t="inlineStr">
        <is>
          <t xml:space="preserve">4</t>
        </is>
      </c>
    </row>
    <row r="236">
      <c r="A236" s="4" t="inlineStr">
        <is>
          <t xml:space="preserve">BQ</t>
        </is>
      </c>
      <c r="B236" s="0" t="inlineStr">
        <is>
          <t xml:space="preserve">Banque Fictive</t>
        </is>
      </c>
      <c r="C236" s="0" t="inlineStr">
        <is>
          <t xml:space="preserve">BQ00007</t>
        </is>
      </c>
      <c r="D236" s="10">
        <v>45382</v>
      </c>
      <c r="E236" s="4" t="inlineStr">
        <is>
          <t xml:space="preserve">512000</t>
        </is>
      </c>
      <c r="F236" s="0" t="inlineStr">
        <is>
          <t xml:space="preserve">Banque Fictive</t>
        </is>
      </c>
      <c r="G236" s="0" t="inlineStr">
        <is>
          <t xml:space="preserve">VIRSAL202403</t>
        </is>
      </c>
      <c r="H236" s="0" t="inlineStr">
        <is>
          <t xml:space="preserve">Virement salaires 03/2024</t>
        </is>
      </c>
      <c r="I236" s="8">
        <v>0</v>
      </c>
      <c r="J236" s="8">
        <v>40433.71</v>
      </c>
      <c r="K236" s="0"/>
      <c r="L236" s="0"/>
      <c r="M236" s="8">
        <f>I236-J236</f>
      </c>
      <c r="N236" s="0" t="inlineStr">
        <is>
          <t xml:space="preserve">2024-03</t>
        </is>
      </c>
      <c r="O236" s="0">
        <f>INDEX(Journaux!$E$5:$E$18,MATCH("2024|"&amp;A236,Journaux!$A$5:$A$18,0))</f>
      </c>
      <c r="P236" s="0">
        <f>INDEX(Comptes!$H$5:$H$42,MATCH(E236,Comptes!$A$5:$A$42,0))</f>
      </c>
      <c r="Q236" s="0" t="inlineStr">
        <is>
          <t xml:space="preserve">5</t>
        </is>
      </c>
    </row>
    <row r="237">
      <c r="A237" s="4" t="inlineStr">
        <is>
          <t xml:space="preserve">BQ</t>
        </is>
      </c>
      <c r="B237" s="0" t="inlineStr">
        <is>
          <t xml:space="preserve">Banque Fictive</t>
        </is>
      </c>
      <c r="C237" s="0" t="inlineStr">
        <is>
          <t xml:space="preserve">BQ00009</t>
        </is>
      </c>
      <c r="D237" s="10">
        <v>45382</v>
      </c>
      <c r="E237" s="4" t="inlineStr">
        <is>
          <t xml:space="preserve">627000</t>
        </is>
      </c>
      <c r="F237" s="0" t="inlineStr">
        <is>
          <t xml:space="preserve">Services bancaires</t>
        </is>
      </c>
      <c r="G237" s="0" t="inlineStr">
        <is>
          <t xml:space="preserve">FRB202403</t>
        </is>
      </c>
      <c r="H237" s="0" t="inlineStr">
        <is>
          <t xml:space="preserve">Frais bancaires 03/2024</t>
        </is>
      </c>
      <c r="I237" s="8">
        <v>85</v>
      </c>
      <c r="J237" s="8">
        <v>0</v>
      </c>
      <c r="K237" s="0"/>
      <c r="L237" s="0"/>
      <c r="M237" s="8">
        <f>I237-J237</f>
      </c>
      <c r="N237" s="0" t="inlineStr">
        <is>
          <t xml:space="preserve">2024-03</t>
        </is>
      </c>
      <c r="O237" s="0">
        <f>INDEX(Journaux!$E$5:$E$18,MATCH("2024|"&amp;A237,Journaux!$A$5:$A$18,0))</f>
      </c>
      <c r="P237" s="0">
        <f>INDEX(Comptes!$H$5:$H$42,MATCH(E237,Comptes!$A$5:$A$42,0))</f>
      </c>
      <c r="Q237" s="0" t="inlineStr">
        <is>
          <t xml:space="preserve">6</t>
        </is>
      </c>
    </row>
    <row r="238">
      <c r="A238" s="4" t="inlineStr">
        <is>
          <t xml:space="preserve">BQ</t>
        </is>
      </c>
      <c r="B238" s="0" t="inlineStr">
        <is>
          <t xml:space="preserve">Banque Fictive</t>
        </is>
      </c>
      <c r="C238" s="0" t="inlineStr">
        <is>
          <t xml:space="preserve">BQ00009</t>
        </is>
      </c>
      <c r="D238" s="10">
        <v>45382</v>
      </c>
      <c r="E238" s="4" t="inlineStr">
        <is>
          <t xml:space="preserve">512000</t>
        </is>
      </c>
      <c r="F238" s="0" t="inlineStr">
        <is>
          <t xml:space="preserve">Banque Fictive</t>
        </is>
      </c>
      <c r="G238" s="0" t="inlineStr">
        <is>
          <t xml:space="preserve">FRB202403</t>
        </is>
      </c>
      <c r="H238" s="0" t="inlineStr">
        <is>
          <t xml:space="preserve">Frais bancaires 03/2024</t>
        </is>
      </c>
      <c r="I238" s="8">
        <v>0</v>
      </c>
      <c r="J238" s="8">
        <v>85</v>
      </c>
      <c r="K238" s="0"/>
      <c r="L238" s="0"/>
      <c r="M238" s="8">
        <f>I238-J238</f>
      </c>
      <c r="N238" s="0" t="inlineStr">
        <is>
          <t xml:space="preserve">2024-03</t>
        </is>
      </c>
      <c r="O238" s="0">
        <f>INDEX(Journaux!$E$5:$E$18,MATCH("2024|"&amp;A238,Journaux!$A$5:$A$18,0))</f>
      </c>
      <c r="P238" s="0">
        <f>INDEX(Comptes!$H$5:$H$42,MATCH(E238,Comptes!$A$5:$A$42,0))</f>
      </c>
      <c r="Q238" s="0" t="inlineStr">
        <is>
          <t xml:space="preserve">5</t>
        </is>
      </c>
    </row>
    <row r="239">
      <c r="A239" s="4" t="inlineStr">
        <is>
          <t xml:space="preserve">OD</t>
        </is>
      </c>
      <c r="B239" s="0" t="inlineStr">
        <is>
          <t xml:space="preserve">Operations diverses</t>
        </is>
      </c>
      <c r="C239" s="0" t="inlineStr">
        <is>
          <t xml:space="preserve">OD00003</t>
        </is>
      </c>
      <c r="D239" s="10">
        <v>45382</v>
      </c>
      <c r="E239" s="4" t="inlineStr">
        <is>
          <t xml:space="preserve">445710</t>
        </is>
      </c>
      <c r="F239" s="0" t="inlineStr">
        <is>
          <t xml:space="preserve">TVA collectee</t>
        </is>
      </c>
      <c r="G239" s="0" t="inlineStr">
        <is>
          <t xml:space="preserve">CA3-202403</t>
        </is>
      </c>
      <c r="H239" s="0" t="inlineStr">
        <is>
          <t xml:space="preserve">Declaration TVA 03/2024</t>
        </is>
      </c>
      <c r="I239" s="8">
        <v>34999.99</v>
      </c>
      <c r="J239" s="8">
        <v>0</v>
      </c>
      <c r="K239" s="0"/>
      <c r="L239" s="0"/>
      <c r="M239" s="8">
        <f>I239-J239</f>
      </c>
      <c r="N239" s="0" t="inlineStr">
        <is>
          <t xml:space="preserve">2024-03</t>
        </is>
      </c>
      <c r="O239" s="0">
        <f>INDEX(Journaux!$E$5:$E$18,MATCH("2024|"&amp;A239,Journaux!$A$5:$A$18,0))</f>
      </c>
      <c r="P239" s="0">
        <f>INDEX(Comptes!$H$5:$H$42,MATCH(E239,Comptes!$A$5:$A$42,0))</f>
      </c>
      <c r="Q239" s="0" t="inlineStr">
        <is>
          <t xml:space="preserve">4</t>
        </is>
      </c>
    </row>
    <row r="240">
      <c r="A240" s="4" t="inlineStr">
        <is>
          <t xml:space="preserve">OD</t>
        </is>
      </c>
      <c r="B240" s="0" t="inlineStr">
        <is>
          <t xml:space="preserve">Operations diverses</t>
        </is>
      </c>
      <c r="C240" s="0" t="inlineStr">
        <is>
          <t xml:space="preserve">OD00003</t>
        </is>
      </c>
      <c r="D240" s="10">
        <v>45382</v>
      </c>
      <c r="E240" s="4" t="inlineStr">
        <is>
          <t xml:space="preserve">445660</t>
        </is>
      </c>
      <c r="F240" s="0" t="inlineStr">
        <is>
          <t xml:space="preserve">TVA deductible sur ABS</t>
        </is>
      </c>
      <c r="G240" s="0" t="inlineStr">
        <is>
          <t xml:space="preserve">CA3-202403</t>
        </is>
      </c>
      <c r="H240" s="0" t="inlineStr">
        <is>
          <t xml:space="preserve">Declaration TVA 03/2024</t>
        </is>
      </c>
      <c r="I240" s="8">
        <v>0</v>
      </c>
      <c r="J240" s="8">
        <v>18389.86</v>
      </c>
      <c r="K240" s="0"/>
      <c r="L240" s="0"/>
      <c r="M240" s="8">
        <f>I240-J240</f>
      </c>
      <c r="N240" s="0" t="inlineStr">
        <is>
          <t xml:space="preserve">2024-03</t>
        </is>
      </c>
      <c r="O240" s="0">
        <f>INDEX(Journaux!$E$5:$E$18,MATCH("2024|"&amp;A240,Journaux!$A$5:$A$18,0))</f>
      </c>
      <c r="P240" s="0">
        <f>INDEX(Comptes!$H$5:$H$42,MATCH(E240,Comptes!$A$5:$A$42,0))</f>
      </c>
      <c r="Q240" s="0" t="inlineStr">
        <is>
          <t xml:space="preserve">4</t>
        </is>
      </c>
    </row>
    <row r="241">
      <c r="A241" s="4" t="inlineStr">
        <is>
          <t xml:space="preserve">OD</t>
        </is>
      </c>
      <c r="B241" s="0" t="inlineStr">
        <is>
          <t xml:space="preserve">Operations diverses</t>
        </is>
      </c>
      <c r="C241" s="0" t="inlineStr">
        <is>
          <t xml:space="preserve">OD00003</t>
        </is>
      </c>
      <c r="D241" s="10">
        <v>45382</v>
      </c>
      <c r="E241" s="4" t="inlineStr">
        <is>
          <t xml:space="preserve">445510</t>
        </is>
      </c>
      <c r="F241" s="0" t="inlineStr">
        <is>
          <t xml:space="preserve">TVA a decaisser</t>
        </is>
      </c>
      <c r="G241" s="0" t="inlineStr">
        <is>
          <t xml:space="preserve">CA3-202403</t>
        </is>
      </c>
      <c r="H241" s="0" t="inlineStr">
        <is>
          <t xml:space="preserve">Declaration TVA 03/2024</t>
        </is>
      </c>
      <c r="I241" s="8">
        <v>0</v>
      </c>
      <c r="J241" s="8">
        <v>16610.13</v>
      </c>
      <c r="K241" s="0"/>
      <c r="L241" s="0"/>
      <c r="M241" s="8">
        <f>I241-J241</f>
      </c>
      <c r="N241" s="0" t="inlineStr">
        <is>
          <t xml:space="preserve">2024-03</t>
        </is>
      </c>
      <c r="O241" s="0">
        <f>INDEX(Journaux!$E$5:$E$18,MATCH("2024|"&amp;A241,Journaux!$A$5:$A$18,0))</f>
      </c>
      <c r="P241" s="0">
        <f>INDEX(Comptes!$H$5:$H$42,MATCH(E241,Comptes!$A$5:$A$42,0))</f>
      </c>
      <c r="Q241" s="0" t="inlineStr">
        <is>
          <t xml:space="preserve">4</t>
        </is>
      </c>
    </row>
    <row r="242">
      <c r="A242" s="4" t="inlineStr">
        <is>
          <t xml:space="preserve">SA</t>
        </is>
      </c>
      <c r="B242" s="0" t="inlineStr">
        <is>
          <t xml:space="preserve">Salaires</t>
        </is>
      </c>
      <c r="C242" s="0" t="inlineStr">
        <is>
          <t xml:space="preserve">SA00003</t>
        </is>
      </c>
      <c r="D242" s="10">
        <v>45382</v>
      </c>
      <c r="E242" s="4" t="inlineStr">
        <is>
          <t xml:space="preserve">641000</t>
        </is>
      </c>
      <c r="F242" s="0" t="inlineStr">
        <is>
          <t xml:space="preserve">Remunerations du personnel</t>
        </is>
      </c>
      <c r="G242" s="0" t="inlineStr">
        <is>
          <t xml:space="preserve">PAIE202403</t>
        </is>
      </c>
      <c r="H242" s="0" t="inlineStr">
        <is>
          <t xml:space="preserve">Paie 03/2024</t>
        </is>
      </c>
      <c r="I242" s="8">
        <v>51838.09</v>
      </c>
      <c r="J242" s="8">
        <v>0</v>
      </c>
      <c r="K242" s="0"/>
      <c r="L242" s="0"/>
      <c r="M242" s="8">
        <f>I242-J242</f>
      </c>
      <c r="N242" s="0" t="inlineStr">
        <is>
          <t xml:space="preserve">2024-03</t>
        </is>
      </c>
      <c r="O242" s="0">
        <f>INDEX(Journaux!$E$5:$E$18,MATCH("2024|"&amp;A242,Journaux!$A$5:$A$18,0))</f>
      </c>
      <c r="P242" s="0">
        <f>INDEX(Comptes!$H$5:$H$42,MATCH(E242,Comptes!$A$5:$A$42,0))</f>
      </c>
      <c r="Q242" s="0" t="inlineStr">
        <is>
          <t xml:space="preserve">6</t>
        </is>
      </c>
    </row>
    <row r="243">
      <c r="A243" s="4" t="inlineStr">
        <is>
          <t xml:space="preserve">SA</t>
        </is>
      </c>
      <c r="B243" s="0" t="inlineStr">
        <is>
          <t xml:space="preserve">Salaires</t>
        </is>
      </c>
      <c r="C243" s="0" t="inlineStr">
        <is>
          <t xml:space="preserve">SA00003</t>
        </is>
      </c>
      <c r="D243" s="10">
        <v>45382</v>
      </c>
      <c r="E243" s="4" t="inlineStr">
        <is>
          <t xml:space="preserve">645100</t>
        </is>
      </c>
      <c r="F243" s="0" t="inlineStr">
        <is>
          <t xml:space="preserve">Cotisations URSSAF</t>
        </is>
      </c>
      <c r="G243" s="0" t="inlineStr">
        <is>
          <t xml:space="preserve">PAIE202403</t>
        </is>
      </c>
      <c r="H243" s="0" t="inlineStr">
        <is>
          <t xml:space="preserve">Paie 03/2024</t>
        </is>
      </c>
      <c r="I243" s="8">
        <v>21772</v>
      </c>
      <c r="J243" s="8">
        <v>0</v>
      </c>
      <c r="K243" s="0"/>
      <c r="L243" s="0"/>
      <c r="M243" s="8">
        <f>I243-J243</f>
      </c>
      <c r="N243" s="0" t="inlineStr">
        <is>
          <t xml:space="preserve">2024-03</t>
        </is>
      </c>
      <c r="O243" s="0">
        <f>INDEX(Journaux!$E$5:$E$18,MATCH("2024|"&amp;A243,Journaux!$A$5:$A$18,0))</f>
      </c>
      <c r="P243" s="0">
        <f>INDEX(Comptes!$H$5:$H$42,MATCH(E243,Comptes!$A$5:$A$42,0))</f>
      </c>
      <c r="Q243" s="0" t="inlineStr">
        <is>
          <t xml:space="preserve">6</t>
        </is>
      </c>
    </row>
    <row r="244">
      <c r="A244" s="4" t="inlineStr">
        <is>
          <t xml:space="preserve">SA</t>
        </is>
      </c>
      <c r="B244" s="0" t="inlineStr">
        <is>
          <t xml:space="preserve">Salaires</t>
        </is>
      </c>
      <c r="C244" s="0" t="inlineStr">
        <is>
          <t xml:space="preserve">SA00003</t>
        </is>
      </c>
      <c r="D244" s="10">
        <v>45382</v>
      </c>
      <c r="E244" s="4" t="inlineStr">
        <is>
          <t xml:space="preserve">421000</t>
        </is>
      </c>
      <c r="F244" s="0" t="inlineStr">
        <is>
          <t xml:space="preserve">Personnel remunerations dues</t>
        </is>
      </c>
      <c r="G244" s="0" t="inlineStr">
        <is>
          <t xml:space="preserve">PAIE202403</t>
        </is>
      </c>
      <c r="H244" s="0" t="inlineStr">
        <is>
          <t xml:space="preserve">Paie 03/2024</t>
        </is>
      </c>
      <c r="I244" s="8">
        <v>0</v>
      </c>
      <c r="J244" s="8">
        <v>40433.71</v>
      </c>
      <c r="K244" s="0"/>
      <c r="L244" s="0"/>
      <c r="M244" s="8">
        <f>I244-J244</f>
      </c>
      <c r="N244" s="0" t="inlineStr">
        <is>
          <t xml:space="preserve">2024-03</t>
        </is>
      </c>
      <c r="O244" s="0">
        <f>INDEX(Journaux!$E$5:$E$18,MATCH("2024|"&amp;A244,Journaux!$A$5:$A$18,0))</f>
      </c>
      <c r="P244" s="0">
        <f>INDEX(Comptes!$H$5:$H$42,MATCH(E244,Comptes!$A$5:$A$42,0))</f>
      </c>
      <c r="Q244" s="0" t="inlineStr">
        <is>
          <t xml:space="preserve">4</t>
        </is>
      </c>
    </row>
    <row r="245">
      <c r="A245" s="4" t="inlineStr">
        <is>
          <t xml:space="preserve">SA</t>
        </is>
      </c>
      <c r="B245" s="0" t="inlineStr">
        <is>
          <t xml:space="preserve">Salaires</t>
        </is>
      </c>
      <c r="C245" s="0" t="inlineStr">
        <is>
          <t xml:space="preserve">SA00003</t>
        </is>
      </c>
      <c r="D245" s="10">
        <v>45382</v>
      </c>
      <c r="E245" s="4" t="inlineStr">
        <is>
          <t xml:space="preserve">431000</t>
        </is>
      </c>
      <c r="F245" s="0" t="inlineStr">
        <is>
          <t xml:space="preserve">Securite sociale</t>
        </is>
      </c>
      <c r="G245" s="0" t="inlineStr">
        <is>
          <t xml:space="preserve">PAIE202403</t>
        </is>
      </c>
      <c r="H245" s="0" t="inlineStr">
        <is>
          <t xml:space="preserve">Paie 03/2024</t>
        </is>
      </c>
      <c r="I245" s="8">
        <v>0</v>
      </c>
      <c r="J245" s="8">
        <v>33176.38</v>
      </c>
      <c r="K245" s="0"/>
      <c r="L245" s="0"/>
      <c r="M245" s="8">
        <f>I245-J245</f>
      </c>
      <c r="N245" s="0" t="inlineStr">
        <is>
          <t xml:space="preserve">2024-03</t>
        </is>
      </c>
      <c r="O245" s="0">
        <f>INDEX(Journaux!$E$5:$E$18,MATCH("2024|"&amp;A245,Journaux!$A$5:$A$18,0))</f>
      </c>
      <c r="P245" s="0">
        <f>INDEX(Comptes!$H$5:$H$42,MATCH(E245,Comptes!$A$5:$A$42,0))</f>
      </c>
      <c r="Q245" s="0" t="inlineStr">
        <is>
          <t xml:space="preserve">4</t>
        </is>
      </c>
    </row>
    <row r="246">
      <c r="A246" s="4" t="inlineStr">
        <is>
          <t xml:space="preserve">BQ</t>
        </is>
      </c>
      <c r="B246" s="0" t="inlineStr">
        <is>
          <t xml:space="preserve">Banque Fictive</t>
        </is>
      </c>
      <c r="C246" s="0" t="inlineStr">
        <is>
          <t xml:space="preserve">BQ00075</t>
        </is>
      </c>
      <c r="D246" s="10">
        <v>45383</v>
      </c>
      <c r="E246" s="4" t="inlineStr">
        <is>
          <t xml:space="preserve">512000</t>
        </is>
      </c>
      <c r="F246" s="0" t="inlineStr">
        <is>
          <t xml:space="preserve">Banque Fictive</t>
        </is>
      </c>
      <c r="G246" s="0" t="inlineStr">
        <is>
          <t xml:space="preserve">ENC-FA2024-0010</t>
        </is>
      </c>
      <c r="H246" s="0" t="inlineStr">
        <is>
          <t xml:space="preserve">Reglement client Cabinet Varenne Associes FA2024-0010</t>
        </is>
      </c>
      <c r="I246" s="8">
        <v>24630.2</v>
      </c>
      <c r="J246" s="8">
        <v>0</v>
      </c>
      <c r="K246" s="0"/>
      <c r="L246" s="0"/>
      <c r="M246" s="8">
        <f>I246-J246</f>
      </c>
      <c r="N246" s="0" t="inlineStr">
        <is>
          <t xml:space="preserve">2024-04</t>
        </is>
      </c>
      <c r="O246" s="0">
        <f>INDEX(Journaux!$E$5:$E$18,MATCH("2024|"&amp;A246,Journaux!$A$5:$A$18,0))</f>
      </c>
      <c r="P246" s="0">
        <f>INDEX(Comptes!$H$5:$H$42,MATCH(E246,Comptes!$A$5:$A$42,0))</f>
      </c>
      <c r="Q246" s="0" t="inlineStr">
        <is>
          <t xml:space="preserve">5</t>
        </is>
      </c>
    </row>
    <row r="247">
      <c r="A247" s="4" t="inlineStr">
        <is>
          <t xml:space="preserve">BQ</t>
        </is>
      </c>
      <c r="B247" s="0" t="inlineStr">
        <is>
          <t xml:space="preserve">Banque Fictive</t>
        </is>
      </c>
      <c r="C247" s="0" t="inlineStr">
        <is>
          <t xml:space="preserve">BQ00075</t>
        </is>
      </c>
      <c r="D247" s="10">
        <v>45383</v>
      </c>
      <c r="E247" s="4" t="inlineStr">
        <is>
          <t xml:space="preserve">411000</t>
        </is>
      </c>
      <c r="F247" s="0" t="inlineStr">
        <is>
          <t xml:space="preserve">Clients</t>
        </is>
      </c>
      <c r="G247" s="0" t="inlineStr">
        <is>
          <t xml:space="preserve">ENC-FA2024-0010</t>
        </is>
      </c>
      <c r="H247" s="0" t="inlineStr">
        <is>
          <t xml:space="preserve">Reglement client Cabinet Varenne Associes FA2024-0010</t>
        </is>
      </c>
      <c r="I247" s="8">
        <v>0</v>
      </c>
      <c r="J247" s="8">
        <v>24630.2</v>
      </c>
      <c r="K247" s="0" t="inlineStr">
        <is>
          <t xml:space="preserve">AAO</t>
        </is>
      </c>
      <c r="L247" s="0" t="inlineStr">
        <is>
          <t xml:space="preserve">Cabinet Varenne Associes</t>
        </is>
      </c>
      <c r="M247" s="8">
        <f>I247-J247</f>
      </c>
      <c r="N247" s="0" t="inlineStr">
        <is>
          <t xml:space="preserve">2024-04</t>
        </is>
      </c>
      <c r="O247" s="0">
        <f>INDEX(Journaux!$E$5:$E$18,MATCH("2024|"&amp;A247,Journaux!$A$5:$A$18,0))</f>
      </c>
      <c r="P247" s="0">
        <f>INDEX(Comptes!$H$5:$H$42,MATCH(E247,Comptes!$A$5:$A$42,0))</f>
      </c>
      <c r="Q247" s="0" t="inlineStr">
        <is>
          <t xml:space="preserve">4</t>
        </is>
      </c>
      <c r="R247" s="7" t="inlineStr">
        <is>
          <t xml:space="preserve">411000|C004</t>
        </is>
      </c>
    </row>
    <row r="248">
      <c r="A248" s="4" t="inlineStr">
        <is>
          <t xml:space="preserve">BQ</t>
        </is>
      </c>
      <c r="B248" s="0" t="inlineStr">
        <is>
          <t xml:space="preserve">Banque Fictive</t>
        </is>
      </c>
      <c r="C248" s="0" t="inlineStr">
        <is>
          <t xml:space="preserve">BQ00139</t>
        </is>
      </c>
      <c r="D248" s="10">
        <v>45386</v>
      </c>
      <c r="E248" s="4" t="inlineStr">
        <is>
          <t xml:space="preserve">401000</t>
        </is>
      </c>
      <c r="F248" s="0" t="inlineStr">
        <is>
          <t xml:space="preserve">Fournisseurs</t>
        </is>
      </c>
      <c r="G248" s="0" t="inlineStr">
        <is>
          <t xml:space="preserve">DEC-F004-202403</t>
        </is>
      </c>
      <c r="H248" s="0" t="inlineStr">
        <is>
          <t xml:space="preserve">Reglement fournisseur SCI Les Halles F004-202403</t>
        </is>
      </c>
      <c r="I248" s="8">
        <v>10200</v>
      </c>
      <c r="J248" s="8">
        <v>0</v>
      </c>
      <c r="K248" s="0" t="inlineStr">
        <is>
          <t xml:space="preserve">ACA</t>
        </is>
      </c>
      <c r="L248" s="0" t="inlineStr">
        <is>
          <t xml:space="preserve">SCI Les Halles</t>
        </is>
      </c>
      <c r="M248" s="8">
        <f>I248-J248</f>
      </c>
      <c r="N248" s="0" t="inlineStr">
        <is>
          <t xml:space="preserve">2024-04</t>
        </is>
      </c>
      <c r="O248" s="0">
        <f>INDEX(Journaux!$E$5:$E$18,MATCH("2024|"&amp;A248,Journaux!$A$5:$A$18,0))</f>
      </c>
      <c r="P248" s="0">
        <f>INDEX(Comptes!$H$5:$H$42,MATCH(E248,Comptes!$A$5:$A$42,0))</f>
      </c>
      <c r="Q248" s="0" t="inlineStr">
        <is>
          <t xml:space="preserve">4</t>
        </is>
      </c>
      <c r="R248" s="7" t="inlineStr">
        <is>
          <t xml:space="preserve">401000|F004</t>
        </is>
      </c>
    </row>
    <row r="249">
      <c r="A249" s="4" t="inlineStr">
        <is>
          <t xml:space="preserve">BQ</t>
        </is>
      </c>
      <c r="B249" s="0" t="inlineStr">
        <is>
          <t xml:space="preserve">Banque Fictive</t>
        </is>
      </c>
      <c r="C249" s="0" t="inlineStr">
        <is>
          <t xml:space="preserve">BQ00139</t>
        </is>
      </c>
      <c r="D249" s="10">
        <v>45386</v>
      </c>
      <c r="E249" s="4" t="inlineStr">
        <is>
          <t xml:space="preserve">512000</t>
        </is>
      </c>
      <c r="F249" s="0" t="inlineStr">
        <is>
          <t xml:space="preserve">Banque Fictive</t>
        </is>
      </c>
      <c r="G249" s="0" t="inlineStr">
        <is>
          <t xml:space="preserve">DEC-F004-202403</t>
        </is>
      </c>
      <c r="H249" s="0" t="inlineStr">
        <is>
          <t xml:space="preserve">Reglement fournisseur SCI Les Halles F004-202403</t>
        </is>
      </c>
      <c r="I249" s="8">
        <v>0</v>
      </c>
      <c r="J249" s="8">
        <v>10200</v>
      </c>
      <c r="K249" s="0"/>
      <c r="L249" s="0"/>
      <c r="M249" s="8">
        <f>I249-J249</f>
      </c>
      <c r="N249" s="0" t="inlineStr">
        <is>
          <t xml:space="preserve">2024-04</t>
        </is>
      </c>
      <c r="O249" s="0">
        <f>INDEX(Journaux!$E$5:$E$18,MATCH("2024|"&amp;A249,Journaux!$A$5:$A$18,0))</f>
      </c>
      <c r="P249" s="0">
        <f>INDEX(Comptes!$H$5:$H$42,MATCH(E249,Comptes!$A$5:$A$42,0))</f>
      </c>
      <c r="Q249" s="0" t="inlineStr">
        <is>
          <t xml:space="preserve">5</t>
        </is>
      </c>
    </row>
    <row r="250">
      <c r="A250" s="4" t="inlineStr">
        <is>
          <t xml:space="preserve">BQ</t>
        </is>
      </c>
      <c r="B250" s="0" t="inlineStr">
        <is>
          <t xml:space="preserve">Banque Fictive</t>
        </is>
      </c>
      <c r="C250" s="0" t="inlineStr">
        <is>
          <t xml:space="preserve">BQ00140</t>
        </is>
      </c>
      <c r="D250" s="10">
        <v>45386</v>
      </c>
      <c r="E250" s="4" t="inlineStr">
        <is>
          <t xml:space="preserve">401000</t>
        </is>
      </c>
      <c r="F250" s="0" t="inlineStr">
        <is>
          <t xml:space="preserve">Fournisseurs</t>
        </is>
      </c>
      <c r="G250" s="0" t="inlineStr">
        <is>
          <t xml:space="preserve">DEC-F005-202403</t>
        </is>
      </c>
      <c r="H250" s="0" t="inlineStr">
        <is>
          <t xml:space="preserve">Reglement fournisseur Energie Plus F005-202403</t>
        </is>
      </c>
      <c r="I250" s="8">
        <v>4163.17</v>
      </c>
      <c r="J250" s="8">
        <v>0</v>
      </c>
      <c r="K250" s="0" t="inlineStr">
        <is>
          <t xml:space="preserve">ACB</t>
        </is>
      </c>
      <c r="L250" s="0" t="inlineStr">
        <is>
          <t xml:space="preserve">Energie Plus</t>
        </is>
      </c>
      <c r="M250" s="8">
        <f>I250-J250</f>
      </c>
      <c r="N250" s="0" t="inlineStr">
        <is>
          <t xml:space="preserve">2024-04</t>
        </is>
      </c>
      <c r="O250" s="0">
        <f>INDEX(Journaux!$E$5:$E$18,MATCH("2024|"&amp;A250,Journaux!$A$5:$A$18,0))</f>
      </c>
      <c r="P250" s="0">
        <f>INDEX(Comptes!$H$5:$H$42,MATCH(E250,Comptes!$A$5:$A$42,0))</f>
      </c>
      <c r="Q250" s="0" t="inlineStr">
        <is>
          <t xml:space="preserve">4</t>
        </is>
      </c>
      <c r="R250" s="7" t="inlineStr">
        <is>
          <t xml:space="preserve">401000|F005</t>
        </is>
      </c>
    </row>
    <row r="251">
      <c r="A251" s="4" t="inlineStr">
        <is>
          <t xml:space="preserve">BQ</t>
        </is>
      </c>
      <c r="B251" s="0" t="inlineStr">
        <is>
          <t xml:space="preserve">Banque Fictive</t>
        </is>
      </c>
      <c r="C251" s="0" t="inlineStr">
        <is>
          <t xml:space="preserve">BQ00140</t>
        </is>
      </c>
      <c r="D251" s="10">
        <v>45386</v>
      </c>
      <c r="E251" s="4" t="inlineStr">
        <is>
          <t xml:space="preserve">512000</t>
        </is>
      </c>
      <c r="F251" s="0" t="inlineStr">
        <is>
          <t xml:space="preserve">Banque Fictive</t>
        </is>
      </c>
      <c r="G251" s="0" t="inlineStr">
        <is>
          <t xml:space="preserve">DEC-F005-202403</t>
        </is>
      </c>
      <c r="H251" s="0" t="inlineStr">
        <is>
          <t xml:space="preserve">Reglement fournisseur Energie Plus F005-202403</t>
        </is>
      </c>
      <c r="I251" s="8">
        <v>0</v>
      </c>
      <c r="J251" s="8">
        <v>4163.17</v>
      </c>
      <c r="K251" s="0"/>
      <c r="L251" s="0"/>
      <c r="M251" s="8">
        <f>I251-J251</f>
      </c>
      <c r="N251" s="0" t="inlineStr">
        <is>
          <t xml:space="preserve">2024-04</t>
        </is>
      </c>
      <c r="O251" s="0">
        <f>INDEX(Journaux!$E$5:$E$18,MATCH("2024|"&amp;A251,Journaux!$A$5:$A$18,0))</f>
      </c>
      <c r="P251" s="0">
        <f>INDEX(Comptes!$H$5:$H$42,MATCH(E251,Comptes!$A$5:$A$42,0))</f>
      </c>
      <c r="Q251" s="0" t="inlineStr">
        <is>
          <t xml:space="preserve">5</t>
        </is>
      </c>
    </row>
    <row r="252">
      <c r="A252" s="4" t="inlineStr">
        <is>
          <t xml:space="preserve">BQ</t>
        </is>
      </c>
      <c r="B252" s="0" t="inlineStr">
        <is>
          <t xml:space="preserve">Banque Fictive</t>
        </is>
      </c>
      <c r="C252" s="0" t="inlineStr">
        <is>
          <t xml:space="preserve">BQ00141</t>
        </is>
      </c>
      <c r="D252" s="10">
        <v>45386</v>
      </c>
      <c r="E252" s="4" t="inlineStr">
        <is>
          <t xml:space="preserve">401000</t>
        </is>
      </c>
      <c r="F252" s="0" t="inlineStr">
        <is>
          <t xml:space="preserve">Fournisseurs</t>
        </is>
      </c>
      <c r="G252" s="0" t="inlineStr">
        <is>
          <t xml:space="preserve">DEC-F008-202403</t>
        </is>
      </c>
      <c r="H252" s="0" t="inlineStr">
        <is>
          <t xml:space="preserve">Reglement fournisseur Telecom Pro F008-202403</t>
        </is>
      </c>
      <c r="I252" s="8">
        <v>576</v>
      </c>
      <c r="J252" s="8">
        <v>0</v>
      </c>
      <c r="K252" s="0" t="inlineStr">
        <is>
          <t xml:space="preserve">ACC</t>
        </is>
      </c>
      <c r="L252" s="0" t="inlineStr">
        <is>
          <t xml:space="preserve">Telecom Pro</t>
        </is>
      </c>
      <c r="M252" s="8">
        <f>I252-J252</f>
      </c>
      <c r="N252" s="0" t="inlineStr">
        <is>
          <t xml:space="preserve">2024-04</t>
        </is>
      </c>
      <c r="O252" s="0">
        <f>INDEX(Journaux!$E$5:$E$18,MATCH("2024|"&amp;A252,Journaux!$A$5:$A$18,0))</f>
      </c>
      <c r="P252" s="0">
        <f>INDEX(Comptes!$H$5:$H$42,MATCH(E252,Comptes!$A$5:$A$42,0))</f>
      </c>
      <c r="Q252" s="0" t="inlineStr">
        <is>
          <t xml:space="preserve">4</t>
        </is>
      </c>
      <c r="R252" s="7" t="inlineStr">
        <is>
          <t xml:space="preserve">401000|F008</t>
        </is>
      </c>
    </row>
    <row r="253">
      <c r="A253" s="4" t="inlineStr">
        <is>
          <t xml:space="preserve">BQ</t>
        </is>
      </c>
      <c r="B253" s="0" t="inlineStr">
        <is>
          <t xml:space="preserve">Banque Fictive</t>
        </is>
      </c>
      <c r="C253" s="0" t="inlineStr">
        <is>
          <t xml:space="preserve">BQ00141</t>
        </is>
      </c>
      <c r="D253" s="10">
        <v>45386</v>
      </c>
      <c r="E253" s="4" t="inlineStr">
        <is>
          <t xml:space="preserve">512000</t>
        </is>
      </c>
      <c r="F253" s="0" t="inlineStr">
        <is>
          <t xml:space="preserve">Banque Fictive</t>
        </is>
      </c>
      <c r="G253" s="0" t="inlineStr">
        <is>
          <t xml:space="preserve">DEC-F008-202403</t>
        </is>
      </c>
      <c r="H253" s="0" t="inlineStr">
        <is>
          <t xml:space="preserve">Reglement fournisseur Telecom Pro F008-202403</t>
        </is>
      </c>
      <c r="I253" s="8">
        <v>0</v>
      </c>
      <c r="J253" s="8">
        <v>576</v>
      </c>
      <c r="K253" s="0"/>
      <c r="L253" s="0"/>
      <c r="M253" s="8">
        <f>I253-J253</f>
      </c>
      <c r="N253" s="0" t="inlineStr">
        <is>
          <t xml:space="preserve">2024-04</t>
        </is>
      </c>
      <c r="O253" s="0">
        <f>INDEX(Journaux!$E$5:$E$18,MATCH("2024|"&amp;A253,Journaux!$A$5:$A$18,0))</f>
      </c>
      <c r="P253" s="0">
        <f>INDEX(Comptes!$H$5:$H$42,MATCH(E253,Comptes!$A$5:$A$42,0))</f>
      </c>
      <c r="Q253" s="0" t="inlineStr">
        <is>
          <t xml:space="preserve">5</t>
        </is>
      </c>
    </row>
    <row r="254">
      <c r="A254" s="4" t="inlineStr">
        <is>
          <t xml:space="preserve">BQ</t>
        </is>
      </c>
      <c r="B254" s="0" t="inlineStr">
        <is>
          <t xml:space="preserve">Banque Fictive</t>
        </is>
      </c>
      <c r="C254" s="0" t="inlineStr">
        <is>
          <t xml:space="preserve">BQ00142</t>
        </is>
      </c>
      <c r="D254" s="10">
        <v>45386</v>
      </c>
      <c r="E254" s="4" t="inlineStr">
        <is>
          <t xml:space="preserve">401000</t>
        </is>
      </c>
      <c r="F254" s="0" t="inlineStr">
        <is>
          <t xml:space="preserve">Fournisseurs</t>
        </is>
      </c>
      <c r="G254" s="0" t="inlineStr">
        <is>
          <t xml:space="preserve">DEC-F007-202403</t>
        </is>
      </c>
      <c r="H254" s="0" t="inlineStr">
        <is>
          <t xml:space="preserve">Reglement fournisseur Cabinet Comptable Exemple F007-202403</t>
        </is>
      </c>
      <c r="I254" s="8">
        <v>7200</v>
      </c>
      <c r="J254" s="8">
        <v>0</v>
      </c>
      <c r="K254" s="0" t="inlineStr">
        <is>
          <t xml:space="preserve">ACD</t>
        </is>
      </c>
      <c r="L254" s="0" t="inlineStr">
        <is>
          <t xml:space="preserve">Cabinet Comptable Exemple</t>
        </is>
      </c>
      <c r="M254" s="8">
        <f>I254-J254</f>
      </c>
      <c r="N254" s="0" t="inlineStr">
        <is>
          <t xml:space="preserve">2024-04</t>
        </is>
      </c>
      <c r="O254" s="0">
        <f>INDEX(Journaux!$E$5:$E$18,MATCH("2024|"&amp;A254,Journaux!$A$5:$A$18,0))</f>
      </c>
      <c r="P254" s="0">
        <f>INDEX(Comptes!$H$5:$H$42,MATCH(E254,Comptes!$A$5:$A$42,0))</f>
      </c>
      <c r="Q254" s="0" t="inlineStr">
        <is>
          <t xml:space="preserve">4</t>
        </is>
      </c>
      <c r="R254" s="7" t="inlineStr">
        <is>
          <t xml:space="preserve">401000|F007</t>
        </is>
      </c>
    </row>
    <row r="255">
      <c r="A255" s="4" t="inlineStr">
        <is>
          <t xml:space="preserve">BQ</t>
        </is>
      </c>
      <c r="B255" s="0" t="inlineStr">
        <is>
          <t xml:space="preserve">Banque Fictive</t>
        </is>
      </c>
      <c r="C255" s="0" t="inlineStr">
        <is>
          <t xml:space="preserve">BQ00142</t>
        </is>
      </c>
      <c r="D255" s="10">
        <v>45386</v>
      </c>
      <c r="E255" s="4" t="inlineStr">
        <is>
          <t xml:space="preserve">512000</t>
        </is>
      </c>
      <c r="F255" s="0" t="inlineStr">
        <is>
          <t xml:space="preserve">Banque Fictive</t>
        </is>
      </c>
      <c r="G255" s="0" t="inlineStr">
        <is>
          <t xml:space="preserve">DEC-F007-202403</t>
        </is>
      </c>
      <c r="H255" s="0" t="inlineStr">
        <is>
          <t xml:space="preserve">Reglement fournisseur Cabinet Comptable Exemple F007-202403</t>
        </is>
      </c>
      <c r="I255" s="8">
        <v>0</v>
      </c>
      <c r="J255" s="8">
        <v>7200</v>
      </c>
      <c r="K255" s="0"/>
      <c r="L255" s="0"/>
      <c r="M255" s="8">
        <f>I255-J255</f>
      </c>
      <c r="N255" s="0" t="inlineStr">
        <is>
          <t xml:space="preserve">2024-04</t>
        </is>
      </c>
      <c r="O255" s="0">
        <f>INDEX(Journaux!$E$5:$E$18,MATCH("2024|"&amp;A255,Journaux!$A$5:$A$18,0))</f>
      </c>
      <c r="P255" s="0">
        <f>INDEX(Comptes!$H$5:$H$42,MATCH(E255,Comptes!$A$5:$A$42,0))</f>
      </c>
      <c r="Q255" s="0" t="inlineStr">
        <is>
          <t xml:space="preserve">5</t>
        </is>
      </c>
    </row>
    <row r="256">
      <c r="A256" s="4" t="inlineStr">
        <is>
          <t xml:space="preserve">VT</t>
        </is>
      </c>
      <c r="B256" s="0" t="inlineStr">
        <is>
          <t xml:space="preserve">Journal des ventes</t>
        </is>
      </c>
      <c r="C256" s="0" t="inlineStr">
        <is>
          <t xml:space="preserve">VT00022</t>
        </is>
      </c>
      <c r="D256" s="10">
        <v>45386</v>
      </c>
      <c r="E256" s="4" t="inlineStr">
        <is>
          <t xml:space="preserve">411000</t>
        </is>
      </c>
      <c r="F256" s="0" t="inlineStr">
        <is>
          <t xml:space="preserve">Clients</t>
        </is>
      </c>
      <c r="G256" s="0" t="inlineStr">
        <is>
          <t xml:space="preserve">FA2024-0022</t>
        </is>
      </c>
      <c r="H256" s="0" t="inlineStr">
        <is>
          <t xml:space="preserve">Facture FA2024-0022 Clinique du Parc</t>
        </is>
      </c>
      <c r="I256" s="8">
        <v>44742.9</v>
      </c>
      <c r="J256" s="8">
        <v>0</v>
      </c>
      <c r="K256" s="0" t="inlineStr">
        <is>
          <t xml:space="preserve">AAA</t>
        </is>
      </c>
      <c r="L256" s="0" t="inlineStr">
        <is>
          <t xml:space="preserve">Clinique du Parc</t>
        </is>
      </c>
      <c r="M256" s="8">
        <f>I256-J256</f>
      </c>
      <c r="N256" s="0" t="inlineStr">
        <is>
          <t xml:space="preserve">2024-04</t>
        </is>
      </c>
      <c r="O256" s="0">
        <f>INDEX(Journaux!$E$5:$E$18,MATCH("2024|"&amp;A256,Journaux!$A$5:$A$18,0))</f>
      </c>
      <c r="P256" s="0">
        <f>INDEX(Comptes!$H$5:$H$42,MATCH(E256,Comptes!$A$5:$A$42,0))</f>
      </c>
      <c r="Q256" s="0" t="inlineStr">
        <is>
          <t xml:space="preserve">4</t>
        </is>
      </c>
      <c r="R256" s="7" t="inlineStr">
        <is>
          <t xml:space="preserve">411000|C006</t>
        </is>
      </c>
    </row>
    <row r="257">
      <c r="A257" s="4" t="inlineStr">
        <is>
          <t xml:space="preserve">VT</t>
        </is>
      </c>
      <c r="B257" s="0" t="inlineStr">
        <is>
          <t xml:space="preserve">Journal des ventes</t>
        </is>
      </c>
      <c r="C257" s="0" t="inlineStr">
        <is>
          <t xml:space="preserve">VT00022</t>
        </is>
      </c>
      <c r="D257" s="10">
        <v>45386</v>
      </c>
      <c r="E257" s="4" t="inlineStr">
        <is>
          <t xml:space="preserve">701000</t>
        </is>
      </c>
      <c r="F257" s="0" t="inlineStr">
        <is>
          <t xml:space="preserve">Ventes de produits finis</t>
        </is>
      </c>
      <c r="G257" s="0" t="inlineStr">
        <is>
          <t xml:space="preserve">FA2024-0022</t>
        </is>
      </c>
      <c r="H257" s="0" t="inlineStr">
        <is>
          <t xml:space="preserve">Facture FA2024-0022 Clinique du Parc</t>
        </is>
      </c>
      <c r="I257" s="8">
        <v>0</v>
      </c>
      <c r="J257" s="8">
        <v>37285.75</v>
      </c>
      <c r="K257" s="0"/>
      <c r="L257" s="0"/>
      <c r="M257" s="8">
        <f>I257-J257</f>
      </c>
      <c r="N257" s="0" t="inlineStr">
        <is>
          <t xml:space="preserve">2024-04</t>
        </is>
      </c>
      <c r="O257" s="0">
        <f>INDEX(Journaux!$E$5:$E$18,MATCH("2024|"&amp;A257,Journaux!$A$5:$A$18,0))</f>
      </c>
      <c r="P257" s="0">
        <f>INDEX(Comptes!$H$5:$H$42,MATCH(E257,Comptes!$A$5:$A$42,0))</f>
      </c>
      <c r="Q257" s="0" t="inlineStr">
        <is>
          <t xml:space="preserve">7</t>
        </is>
      </c>
    </row>
    <row r="258">
      <c r="A258" s="4" t="inlineStr">
        <is>
          <t xml:space="preserve">VT</t>
        </is>
      </c>
      <c r="B258" s="0" t="inlineStr">
        <is>
          <t xml:space="preserve">Journal des ventes</t>
        </is>
      </c>
      <c r="C258" s="0" t="inlineStr">
        <is>
          <t xml:space="preserve">VT00022</t>
        </is>
      </c>
      <c r="D258" s="10">
        <v>45386</v>
      </c>
      <c r="E258" s="4" t="inlineStr">
        <is>
          <t xml:space="preserve">445710</t>
        </is>
      </c>
      <c r="F258" s="0" t="inlineStr">
        <is>
          <t xml:space="preserve">TVA collectee</t>
        </is>
      </c>
      <c r="G258" s="0" t="inlineStr">
        <is>
          <t xml:space="preserve">FA2024-0022</t>
        </is>
      </c>
      <c r="H258" s="0" t="inlineStr">
        <is>
          <t xml:space="preserve">Facture FA2024-0022 Clinique du Parc</t>
        </is>
      </c>
      <c r="I258" s="8">
        <v>0</v>
      </c>
      <c r="J258" s="8">
        <v>7457.15</v>
      </c>
      <c r="K258" s="0"/>
      <c r="L258" s="0"/>
      <c r="M258" s="8">
        <f>I258-J258</f>
      </c>
      <c r="N258" s="0" t="inlineStr">
        <is>
          <t xml:space="preserve">2024-04</t>
        </is>
      </c>
      <c r="O258" s="0">
        <f>INDEX(Journaux!$E$5:$E$18,MATCH("2024|"&amp;A258,Journaux!$A$5:$A$18,0))</f>
      </c>
      <c r="P258" s="0">
        <f>INDEX(Comptes!$H$5:$H$42,MATCH(E258,Comptes!$A$5:$A$42,0))</f>
      </c>
      <c r="Q258" s="0" t="inlineStr">
        <is>
          <t xml:space="preserve">4</t>
        </is>
      </c>
    </row>
    <row r="259">
      <c r="A259" s="4" t="inlineStr">
        <is>
          <t xml:space="preserve">AC</t>
        </is>
      </c>
      <c r="B259" s="0" t="inlineStr">
        <is>
          <t xml:space="preserve">Journal des achats</t>
        </is>
      </c>
      <c r="C259" s="0" t="inlineStr">
        <is>
          <t xml:space="preserve">AC00022</t>
        </is>
      </c>
      <c r="D259" s="10">
        <v>45387</v>
      </c>
      <c r="E259" s="4" t="inlineStr">
        <is>
          <t xml:space="preserve">613200</t>
        </is>
      </c>
      <c r="F259" s="0" t="inlineStr">
        <is>
          <t xml:space="preserve">Locations immobilieres</t>
        </is>
      </c>
      <c r="G259" s="0" t="inlineStr">
        <is>
          <t xml:space="preserve">F004-202404</t>
        </is>
      </c>
      <c r="H259" s="0" t="inlineStr">
        <is>
          <t xml:space="preserve">Facture SCI Les Halles 2024-04</t>
        </is>
      </c>
      <c r="I259" s="8">
        <v>8500</v>
      </c>
      <c r="J259" s="8">
        <v>0</v>
      </c>
      <c r="K259" s="0"/>
      <c r="L259" s="0"/>
      <c r="M259" s="8">
        <f>I259-J259</f>
      </c>
      <c r="N259" s="0" t="inlineStr">
        <is>
          <t xml:space="preserve">2024-04</t>
        </is>
      </c>
      <c r="O259" s="0">
        <f>INDEX(Journaux!$E$5:$E$18,MATCH("2024|"&amp;A259,Journaux!$A$5:$A$18,0))</f>
      </c>
      <c r="P259" s="0">
        <f>INDEX(Comptes!$H$5:$H$42,MATCH(E259,Comptes!$A$5:$A$42,0))</f>
      </c>
      <c r="Q259" s="0" t="inlineStr">
        <is>
          <t xml:space="preserve">6</t>
        </is>
      </c>
    </row>
    <row r="260">
      <c r="A260" s="4" t="inlineStr">
        <is>
          <t xml:space="preserve">AC</t>
        </is>
      </c>
      <c r="B260" s="0" t="inlineStr">
        <is>
          <t xml:space="preserve">Journal des achats</t>
        </is>
      </c>
      <c r="C260" s="0" t="inlineStr">
        <is>
          <t xml:space="preserve">AC00022</t>
        </is>
      </c>
      <c r="D260" s="10">
        <v>45387</v>
      </c>
      <c r="E260" s="4" t="inlineStr">
        <is>
          <t xml:space="preserve">445660</t>
        </is>
      </c>
      <c r="F260" s="0" t="inlineStr">
        <is>
          <t xml:space="preserve">TVA deductible sur ABS</t>
        </is>
      </c>
      <c r="G260" s="0" t="inlineStr">
        <is>
          <t xml:space="preserve">F004-202404</t>
        </is>
      </c>
      <c r="H260" s="0" t="inlineStr">
        <is>
          <t xml:space="preserve">Facture SCI Les Halles 2024-04</t>
        </is>
      </c>
      <c r="I260" s="8">
        <v>1700</v>
      </c>
      <c r="J260" s="8">
        <v>0</v>
      </c>
      <c r="K260" s="0"/>
      <c r="L260" s="0"/>
      <c r="M260" s="8">
        <f>I260-J260</f>
      </c>
      <c r="N260" s="0" t="inlineStr">
        <is>
          <t xml:space="preserve">2024-04</t>
        </is>
      </c>
      <c r="O260" s="0">
        <f>INDEX(Journaux!$E$5:$E$18,MATCH("2024|"&amp;A260,Journaux!$A$5:$A$18,0))</f>
      </c>
      <c r="P260" s="0">
        <f>INDEX(Comptes!$H$5:$H$42,MATCH(E260,Comptes!$A$5:$A$42,0))</f>
      </c>
      <c r="Q260" s="0" t="inlineStr">
        <is>
          <t xml:space="preserve">4</t>
        </is>
      </c>
    </row>
    <row r="261">
      <c r="A261" s="4" t="inlineStr">
        <is>
          <t xml:space="preserve">AC</t>
        </is>
      </c>
      <c r="B261" s="0" t="inlineStr">
        <is>
          <t xml:space="preserve">Journal des achats</t>
        </is>
      </c>
      <c r="C261" s="0" t="inlineStr">
        <is>
          <t xml:space="preserve">AC00022</t>
        </is>
      </c>
      <c r="D261" s="10">
        <v>45387</v>
      </c>
      <c r="E261" s="4" t="inlineStr">
        <is>
          <t xml:space="preserve">401000</t>
        </is>
      </c>
      <c r="F261" s="0" t="inlineStr">
        <is>
          <t xml:space="preserve">Fournisseurs</t>
        </is>
      </c>
      <c r="G261" s="0" t="inlineStr">
        <is>
          <t xml:space="preserve">F004-202404</t>
        </is>
      </c>
      <c r="H261" s="0" t="inlineStr">
        <is>
          <t xml:space="preserve">Facture SCI Les Halles 2024-04</t>
        </is>
      </c>
      <c r="I261" s="8">
        <v>0</v>
      </c>
      <c r="J261" s="8">
        <v>10200</v>
      </c>
      <c r="K261" s="0" t="inlineStr">
        <is>
          <t xml:space="preserve">ACH</t>
        </is>
      </c>
      <c r="L261" s="0" t="inlineStr">
        <is>
          <t xml:space="preserve">SCI Les Halles</t>
        </is>
      </c>
      <c r="M261" s="8">
        <f>I261-J261</f>
      </c>
      <c r="N261" s="0" t="inlineStr">
        <is>
          <t xml:space="preserve">2024-04</t>
        </is>
      </c>
      <c r="O261" s="0">
        <f>INDEX(Journaux!$E$5:$E$18,MATCH("2024|"&amp;A261,Journaux!$A$5:$A$18,0))</f>
      </c>
      <c r="P261" s="0">
        <f>INDEX(Comptes!$H$5:$H$42,MATCH(E261,Comptes!$A$5:$A$42,0))</f>
      </c>
      <c r="Q261" s="0" t="inlineStr">
        <is>
          <t xml:space="preserve">4</t>
        </is>
      </c>
      <c r="R261" s="7" t="inlineStr">
        <is>
          <t xml:space="preserve">401000|F004</t>
        </is>
      </c>
    </row>
    <row r="262">
      <c r="A262" s="4" t="inlineStr">
        <is>
          <t xml:space="preserve">AC</t>
        </is>
      </c>
      <c r="B262" s="0" t="inlineStr">
        <is>
          <t xml:space="preserve">Journal des achats</t>
        </is>
      </c>
      <c r="C262" s="0" t="inlineStr">
        <is>
          <t xml:space="preserve">AC00023</t>
        </is>
      </c>
      <c r="D262" s="10">
        <v>45387</v>
      </c>
      <c r="E262" s="4" t="inlineStr">
        <is>
          <t xml:space="preserve">606100</t>
        </is>
      </c>
      <c r="F262" s="0" t="inlineStr">
        <is>
          <t xml:space="preserve">Fournitures non stockables energie</t>
        </is>
      </c>
      <c r="G262" s="0" t="inlineStr">
        <is>
          <t xml:space="preserve">F005-202404</t>
        </is>
      </c>
      <c r="H262" s="0" t="inlineStr">
        <is>
          <t xml:space="preserve">Facture Energie Plus 2024-04</t>
        </is>
      </c>
      <c r="I262" s="8">
        <v>3128.16</v>
      </c>
      <c r="J262" s="8">
        <v>0</v>
      </c>
      <c r="K262" s="0"/>
      <c r="L262" s="0"/>
      <c r="M262" s="8">
        <f>I262-J262</f>
      </c>
      <c r="N262" s="0" t="inlineStr">
        <is>
          <t xml:space="preserve">2024-04</t>
        </is>
      </c>
      <c r="O262" s="0">
        <f>INDEX(Journaux!$E$5:$E$18,MATCH("2024|"&amp;A262,Journaux!$A$5:$A$18,0))</f>
      </c>
      <c r="P262" s="0">
        <f>INDEX(Comptes!$H$5:$H$42,MATCH(E262,Comptes!$A$5:$A$42,0))</f>
      </c>
      <c r="Q262" s="0" t="inlineStr">
        <is>
          <t xml:space="preserve">6</t>
        </is>
      </c>
    </row>
    <row r="263">
      <c r="A263" s="4" t="inlineStr">
        <is>
          <t xml:space="preserve">AC</t>
        </is>
      </c>
      <c r="B263" s="0" t="inlineStr">
        <is>
          <t xml:space="preserve">Journal des achats</t>
        </is>
      </c>
      <c r="C263" s="0" t="inlineStr">
        <is>
          <t xml:space="preserve">AC00023</t>
        </is>
      </c>
      <c r="D263" s="10">
        <v>45387</v>
      </c>
      <c r="E263" s="4" t="inlineStr">
        <is>
          <t xml:space="preserve">445660</t>
        </is>
      </c>
      <c r="F263" s="0" t="inlineStr">
        <is>
          <t xml:space="preserve">TVA deductible sur ABS</t>
        </is>
      </c>
      <c r="G263" s="0" t="inlineStr">
        <is>
          <t xml:space="preserve">F005-202404</t>
        </is>
      </c>
      <c r="H263" s="0" t="inlineStr">
        <is>
          <t xml:space="preserve">Facture Energie Plus 2024-04</t>
        </is>
      </c>
      <c r="I263" s="8">
        <v>625.63</v>
      </c>
      <c r="J263" s="8">
        <v>0</v>
      </c>
      <c r="K263" s="0"/>
      <c r="L263" s="0"/>
      <c r="M263" s="8">
        <f>I263-J263</f>
      </c>
      <c r="N263" s="0" t="inlineStr">
        <is>
          <t xml:space="preserve">2024-04</t>
        </is>
      </c>
      <c r="O263" s="0">
        <f>INDEX(Journaux!$E$5:$E$18,MATCH("2024|"&amp;A263,Journaux!$A$5:$A$18,0))</f>
      </c>
      <c r="P263" s="0">
        <f>INDEX(Comptes!$H$5:$H$42,MATCH(E263,Comptes!$A$5:$A$42,0))</f>
      </c>
      <c r="Q263" s="0" t="inlineStr">
        <is>
          <t xml:space="preserve">4</t>
        </is>
      </c>
    </row>
    <row r="264">
      <c r="A264" s="4" t="inlineStr">
        <is>
          <t xml:space="preserve">AC</t>
        </is>
      </c>
      <c r="B264" s="0" t="inlineStr">
        <is>
          <t xml:space="preserve">Journal des achats</t>
        </is>
      </c>
      <c r="C264" s="0" t="inlineStr">
        <is>
          <t xml:space="preserve">AC00023</t>
        </is>
      </c>
      <c r="D264" s="10">
        <v>45387</v>
      </c>
      <c r="E264" s="4" t="inlineStr">
        <is>
          <t xml:space="preserve">401000</t>
        </is>
      </c>
      <c r="F264" s="0" t="inlineStr">
        <is>
          <t xml:space="preserve">Fournisseurs</t>
        </is>
      </c>
      <c r="G264" s="0" t="inlineStr">
        <is>
          <t xml:space="preserve">F005-202404</t>
        </is>
      </c>
      <c r="H264" s="0" t="inlineStr">
        <is>
          <t xml:space="preserve">Facture Energie Plus 2024-04</t>
        </is>
      </c>
      <c r="I264" s="8">
        <v>0</v>
      </c>
      <c r="J264" s="8">
        <v>3753.79</v>
      </c>
      <c r="K264" s="0" t="inlineStr">
        <is>
          <t xml:space="preserve">ACI</t>
        </is>
      </c>
      <c r="L264" s="0" t="inlineStr">
        <is>
          <t xml:space="preserve">Energie Plus</t>
        </is>
      </c>
      <c r="M264" s="8">
        <f>I264-J264</f>
      </c>
      <c r="N264" s="0" t="inlineStr">
        <is>
          <t xml:space="preserve">2024-04</t>
        </is>
      </c>
      <c r="O264" s="0">
        <f>INDEX(Journaux!$E$5:$E$18,MATCH("2024|"&amp;A264,Journaux!$A$5:$A$18,0))</f>
      </c>
      <c r="P264" s="0">
        <f>INDEX(Comptes!$H$5:$H$42,MATCH(E264,Comptes!$A$5:$A$42,0))</f>
      </c>
      <c r="Q264" s="0" t="inlineStr">
        <is>
          <t xml:space="preserve">4</t>
        </is>
      </c>
      <c r="R264" s="7" t="inlineStr">
        <is>
          <t xml:space="preserve">401000|F005</t>
        </is>
      </c>
    </row>
    <row r="265">
      <c r="A265" s="4" t="inlineStr">
        <is>
          <t xml:space="preserve">AC</t>
        </is>
      </c>
      <c r="B265" s="0" t="inlineStr">
        <is>
          <t xml:space="preserve">Journal des achats</t>
        </is>
      </c>
      <c r="C265" s="0" t="inlineStr">
        <is>
          <t xml:space="preserve">AC00024</t>
        </is>
      </c>
      <c r="D265" s="10">
        <v>45387</v>
      </c>
      <c r="E265" s="4" t="inlineStr">
        <is>
          <t xml:space="preserve">626000</t>
        </is>
      </c>
      <c r="F265" s="0" t="inlineStr">
        <is>
          <t xml:space="preserve">Frais postaux et telecommunications</t>
        </is>
      </c>
      <c r="G265" s="0" t="inlineStr">
        <is>
          <t xml:space="preserve">F008-202404</t>
        </is>
      </c>
      <c r="H265" s="0" t="inlineStr">
        <is>
          <t xml:space="preserve">Facture Telecom Pro 2024-04</t>
        </is>
      </c>
      <c r="I265" s="8">
        <v>480</v>
      </c>
      <c r="J265" s="8">
        <v>0</v>
      </c>
      <c r="K265" s="0"/>
      <c r="L265" s="0"/>
      <c r="M265" s="8">
        <f>I265-J265</f>
      </c>
      <c r="N265" s="0" t="inlineStr">
        <is>
          <t xml:space="preserve">2024-04</t>
        </is>
      </c>
      <c r="O265" s="0">
        <f>INDEX(Journaux!$E$5:$E$18,MATCH("2024|"&amp;A265,Journaux!$A$5:$A$18,0))</f>
      </c>
      <c r="P265" s="0">
        <f>INDEX(Comptes!$H$5:$H$42,MATCH(E265,Comptes!$A$5:$A$42,0))</f>
      </c>
      <c r="Q265" s="0" t="inlineStr">
        <is>
          <t xml:space="preserve">6</t>
        </is>
      </c>
    </row>
    <row r="266">
      <c r="A266" s="4" t="inlineStr">
        <is>
          <t xml:space="preserve">AC</t>
        </is>
      </c>
      <c r="B266" s="0" t="inlineStr">
        <is>
          <t xml:space="preserve">Journal des achats</t>
        </is>
      </c>
      <c r="C266" s="0" t="inlineStr">
        <is>
          <t xml:space="preserve">AC00024</t>
        </is>
      </c>
      <c r="D266" s="10">
        <v>45387</v>
      </c>
      <c r="E266" s="4" t="inlineStr">
        <is>
          <t xml:space="preserve">445660</t>
        </is>
      </c>
      <c r="F266" s="0" t="inlineStr">
        <is>
          <t xml:space="preserve">TVA deductible sur ABS</t>
        </is>
      </c>
      <c r="G266" s="0" t="inlineStr">
        <is>
          <t xml:space="preserve">F008-202404</t>
        </is>
      </c>
      <c r="H266" s="0" t="inlineStr">
        <is>
          <t xml:space="preserve">Facture Telecom Pro 2024-04</t>
        </is>
      </c>
      <c r="I266" s="8">
        <v>96</v>
      </c>
      <c r="J266" s="8">
        <v>0</v>
      </c>
      <c r="K266" s="0"/>
      <c r="L266" s="0"/>
      <c r="M266" s="8">
        <f>I266-J266</f>
      </c>
      <c r="N266" s="0" t="inlineStr">
        <is>
          <t xml:space="preserve">2024-04</t>
        </is>
      </c>
      <c r="O266" s="0">
        <f>INDEX(Journaux!$E$5:$E$18,MATCH("2024|"&amp;A266,Journaux!$A$5:$A$18,0))</f>
      </c>
      <c r="P266" s="0">
        <f>INDEX(Comptes!$H$5:$H$42,MATCH(E266,Comptes!$A$5:$A$42,0))</f>
      </c>
      <c r="Q266" s="0" t="inlineStr">
        <is>
          <t xml:space="preserve">4</t>
        </is>
      </c>
    </row>
    <row r="267">
      <c r="A267" s="4" t="inlineStr">
        <is>
          <t xml:space="preserve">AC</t>
        </is>
      </c>
      <c r="B267" s="0" t="inlineStr">
        <is>
          <t xml:space="preserve">Journal des achats</t>
        </is>
      </c>
      <c r="C267" s="0" t="inlineStr">
        <is>
          <t xml:space="preserve">AC00024</t>
        </is>
      </c>
      <c r="D267" s="10">
        <v>45387</v>
      </c>
      <c r="E267" s="4" t="inlineStr">
        <is>
          <t xml:space="preserve">401000</t>
        </is>
      </c>
      <c r="F267" s="0" t="inlineStr">
        <is>
          <t xml:space="preserve">Fournisseurs</t>
        </is>
      </c>
      <c r="G267" s="0" t="inlineStr">
        <is>
          <t xml:space="preserve">F008-202404</t>
        </is>
      </c>
      <c r="H267" s="0" t="inlineStr">
        <is>
          <t xml:space="preserve">Facture Telecom Pro 2024-04</t>
        </is>
      </c>
      <c r="I267" s="8">
        <v>0</v>
      </c>
      <c r="J267" s="8">
        <v>576</v>
      </c>
      <c r="K267" s="0" t="inlineStr">
        <is>
          <t xml:space="preserve">ACJ</t>
        </is>
      </c>
      <c r="L267" s="0" t="inlineStr">
        <is>
          <t xml:space="preserve">Telecom Pro</t>
        </is>
      </c>
      <c r="M267" s="8">
        <f>I267-J267</f>
      </c>
      <c r="N267" s="0" t="inlineStr">
        <is>
          <t xml:space="preserve">2024-04</t>
        </is>
      </c>
      <c r="O267" s="0">
        <f>INDEX(Journaux!$E$5:$E$18,MATCH("2024|"&amp;A267,Journaux!$A$5:$A$18,0))</f>
      </c>
      <c r="P267" s="0">
        <f>INDEX(Comptes!$H$5:$H$42,MATCH(E267,Comptes!$A$5:$A$42,0))</f>
      </c>
      <c r="Q267" s="0" t="inlineStr">
        <is>
          <t xml:space="preserve">4</t>
        </is>
      </c>
      <c r="R267" s="7" t="inlineStr">
        <is>
          <t xml:space="preserve">401000|F008</t>
        </is>
      </c>
    </row>
    <row r="268">
      <c r="A268" s="4" t="inlineStr">
        <is>
          <t xml:space="preserve">AC</t>
        </is>
      </c>
      <c r="B268" s="0" t="inlineStr">
        <is>
          <t xml:space="preserve">Journal des achats</t>
        </is>
      </c>
      <c r="C268" s="0" t="inlineStr">
        <is>
          <t xml:space="preserve">AC00025</t>
        </is>
      </c>
      <c r="D268" s="10">
        <v>45387</v>
      </c>
      <c r="E268" s="4" t="inlineStr">
        <is>
          <t xml:space="preserve">616000</t>
        </is>
      </c>
      <c r="F268" s="0" t="inlineStr">
        <is>
          <t xml:space="preserve">Primes d'assurance</t>
        </is>
      </c>
      <c r="G268" s="0" t="inlineStr">
        <is>
          <t xml:space="preserve">F006-202404</t>
        </is>
      </c>
      <c r="H268" s="0" t="inlineStr">
        <is>
          <t xml:space="preserve">Facture Assurances Mutuelles Exemple 2024-04</t>
        </is>
      </c>
      <c r="I268" s="8">
        <v>3000</v>
      </c>
      <c r="J268" s="8">
        <v>0</v>
      </c>
      <c r="K268" s="0"/>
      <c r="L268" s="0"/>
      <c r="M268" s="8">
        <f>I268-J268</f>
      </c>
      <c r="N268" s="0" t="inlineStr">
        <is>
          <t xml:space="preserve">2024-04</t>
        </is>
      </c>
      <c r="O268" s="0">
        <f>INDEX(Journaux!$E$5:$E$18,MATCH("2024|"&amp;A268,Journaux!$A$5:$A$18,0))</f>
      </c>
      <c r="P268" s="0">
        <f>INDEX(Comptes!$H$5:$H$42,MATCH(E268,Comptes!$A$5:$A$42,0))</f>
      </c>
      <c r="Q268" s="0" t="inlineStr">
        <is>
          <t xml:space="preserve">6</t>
        </is>
      </c>
    </row>
    <row r="269">
      <c r="A269" s="4" t="inlineStr">
        <is>
          <t xml:space="preserve">AC</t>
        </is>
      </c>
      <c r="B269" s="0" t="inlineStr">
        <is>
          <t xml:space="preserve">Journal des achats</t>
        </is>
      </c>
      <c r="C269" s="0" t="inlineStr">
        <is>
          <t xml:space="preserve">AC00025</t>
        </is>
      </c>
      <c r="D269" s="10">
        <v>45387</v>
      </c>
      <c r="E269" s="4" t="inlineStr">
        <is>
          <t xml:space="preserve">401000</t>
        </is>
      </c>
      <c r="F269" s="0" t="inlineStr">
        <is>
          <t xml:space="preserve">Fournisseurs</t>
        </is>
      </c>
      <c r="G269" s="0" t="inlineStr">
        <is>
          <t xml:space="preserve">F006-202404</t>
        </is>
      </c>
      <c r="H269" s="0" t="inlineStr">
        <is>
          <t xml:space="preserve">Facture Assurances Mutuelles Exemple 2024-04</t>
        </is>
      </c>
      <c r="I269" s="8">
        <v>0</v>
      </c>
      <c r="J269" s="8">
        <v>3000</v>
      </c>
      <c r="K269" s="0" t="inlineStr">
        <is>
          <t xml:space="preserve">ACK</t>
        </is>
      </c>
      <c r="L269" s="0" t="inlineStr">
        <is>
          <t xml:space="preserve">Assurances Mutuelles Exemple</t>
        </is>
      </c>
      <c r="M269" s="8">
        <f>I269-J269</f>
      </c>
      <c r="N269" s="0" t="inlineStr">
        <is>
          <t xml:space="preserve">2024-04</t>
        </is>
      </c>
      <c r="O269" s="0">
        <f>INDEX(Journaux!$E$5:$E$18,MATCH("2024|"&amp;A269,Journaux!$A$5:$A$18,0))</f>
      </c>
      <c r="P269" s="0">
        <f>INDEX(Comptes!$H$5:$H$42,MATCH(E269,Comptes!$A$5:$A$42,0))</f>
      </c>
      <c r="Q269" s="0" t="inlineStr">
        <is>
          <t xml:space="preserve">4</t>
        </is>
      </c>
      <c r="R269" s="7" t="inlineStr">
        <is>
          <t xml:space="preserve">401000|F006</t>
        </is>
      </c>
    </row>
    <row r="270">
      <c r="A270" s="4" t="inlineStr">
        <is>
          <t xml:space="preserve">BQ</t>
        </is>
      </c>
      <c r="B270" s="0" t="inlineStr">
        <is>
          <t xml:space="preserve">Banque Fictive</t>
        </is>
      </c>
      <c r="C270" s="0" t="inlineStr">
        <is>
          <t xml:space="preserve">BQ00082</t>
        </is>
      </c>
      <c r="D270" s="10">
        <v>45390</v>
      </c>
      <c r="E270" s="4" t="inlineStr">
        <is>
          <t xml:space="preserve">512000</t>
        </is>
      </c>
      <c r="F270" s="0" t="inlineStr">
        <is>
          <t xml:space="preserve">Banque Fictive</t>
        </is>
      </c>
      <c r="G270" s="0" t="inlineStr">
        <is>
          <t xml:space="preserve">ENC-FA2024-0017</t>
        </is>
      </c>
      <c r="H270" s="0" t="inlineStr">
        <is>
          <t xml:space="preserve">Reglement client Coworking Atelier 9 FA2024-0017</t>
        </is>
      </c>
      <c r="I270" s="8">
        <v>22939.06</v>
      </c>
      <c r="J270" s="8">
        <v>0</v>
      </c>
      <c r="K270" s="0"/>
      <c r="L270" s="0"/>
      <c r="M270" s="8">
        <f>I270-J270</f>
      </c>
      <c r="N270" s="0" t="inlineStr">
        <is>
          <t xml:space="preserve">2024-04</t>
        </is>
      </c>
      <c r="O270" s="0">
        <f>INDEX(Journaux!$E$5:$E$18,MATCH("2024|"&amp;A270,Journaux!$A$5:$A$18,0))</f>
      </c>
      <c r="P270" s="0">
        <f>INDEX(Comptes!$H$5:$H$42,MATCH(E270,Comptes!$A$5:$A$42,0))</f>
      </c>
      <c r="Q270" s="0" t="inlineStr">
        <is>
          <t xml:space="preserve">5</t>
        </is>
      </c>
    </row>
    <row r="271">
      <c r="A271" s="4" t="inlineStr">
        <is>
          <t xml:space="preserve">BQ</t>
        </is>
      </c>
      <c r="B271" s="0" t="inlineStr">
        <is>
          <t xml:space="preserve">Banque Fictive</t>
        </is>
      </c>
      <c r="C271" s="0" t="inlineStr">
        <is>
          <t xml:space="preserve">BQ00082</t>
        </is>
      </c>
      <c r="D271" s="10">
        <v>45390</v>
      </c>
      <c r="E271" s="4" t="inlineStr">
        <is>
          <t xml:space="preserve">411000</t>
        </is>
      </c>
      <c r="F271" s="0" t="inlineStr">
        <is>
          <t xml:space="preserve">Clients</t>
        </is>
      </c>
      <c r="G271" s="0" t="inlineStr">
        <is>
          <t xml:space="preserve">ENC-FA2024-0017</t>
        </is>
      </c>
      <c r="H271" s="0" t="inlineStr">
        <is>
          <t xml:space="preserve">Reglement client Coworking Atelier 9 FA2024-0017</t>
        </is>
      </c>
      <c r="I271" s="8">
        <v>0</v>
      </c>
      <c r="J271" s="8">
        <v>22939.06</v>
      </c>
      <c r="K271" s="0" t="inlineStr">
        <is>
          <t xml:space="preserve">AAV</t>
        </is>
      </c>
      <c r="L271" s="0" t="inlineStr">
        <is>
          <t xml:space="preserve">Coworking Atelier 9</t>
        </is>
      </c>
      <c r="M271" s="8">
        <f>I271-J271</f>
      </c>
      <c r="N271" s="0" t="inlineStr">
        <is>
          <t xml:space="preserve">2024-04</t>
        </is>
      </c>
      <c r="O271" s="0">
        <f>INDEX(Journaux!$E$5:$E$18,MATCH("2024|"&amp;A271,Journaux!$A$5:$A$18,0))</f>
      </c>
      <c r="P271" s="0">
        <f>INDEX(Comptes!$H$5:$H$42,MATCH(E271,Comptes!$A$5:$A$42,0))</f>
      </c>
      <c r="Q271" s="0" t="inlineStr">
        <is>
          <t xml:space="preserve">4</t>
        </is>
      </c>
      <c r="R271" s="7" t="inlineStr">
        <is>
          <t xml:space="preserve">411000|C008</t>
        </is>
      </c>
    </row>
    <row r="272">
      <c r="A272" s="4" t="inlineStr">
        <is>
          <t xml:space="preserve">AC</t>
        </is>
      </c>
      <c r="B272" s="0" t="inlineStr">
        <is>
          <t xml:space="preserve">Journal des achats</t>
        </is>
      </c>
      <c r="C272" s="0" t="inlineStr">
        <is>
          <t xml:space="preserve">AC00020</t>
        </is>
      </c>
      <c r="D272" s="10">
        <v>45392</v>
      </c>
      <c r="E272" s="4" t="inlineStr">
        <is>
          <t xml:space="preserve">601000</t>
        </is>
      </c>
      <c r="F272" s="0" t="inlineStr">
        <is>
          <t xml:space="preserve">Achats de matieres premieres</t>
        </is>
      </c>
      <c r="G272" s="0" t="inlineStr">
        <is>
          <t xml:space="preserve">F001-2024042</t>
        </is>
      </c>
      <c r="H272" s="0" t="inlineStr">
        <is>
          <t xml:space="preserve">Facture Scierie du Nord F001-2024042</t>
        </is>
      </c>
      <c r="I272" s="8">
        <v>19616.43</v>
      </c>
      <c r="J272" s="8">
        <v>0</v>
      </c>
      <c r="K272" s="0"/>
      <c r="L272" s="0"/>
      <c r="M272" s="8">
        <f>I272-J272</f>
      </c>
      <c r="N272" s="0" t="inlineStr">
        <is>
          <t xml:space="preserve">2024-04</t>
        </is>
      </c>
      <c r="O272" s="0">
        <f>INDEX(Journaux!$E$5:$E$18,MATCH("2024|"&amp;A272,Journaux!$A$5:$A$18,0))</f>
      </c>
      <c r="P272" s="0">
        <f>INDEX(Comptes!$H$5:$H$42,MATCH(E272,Comptes!$A$5:$A$42,0))</f>
      </c>
      <c r="Q272" s="0" t="inlineStr">
        <is>
          <t xml:space="preserve">6</t>
        </is>
      </c>
    </row>
    <row r="273">
      <c r="A273" s="4" t="inlineStr">
        <is>
          <t xml:space="preserve">AC</t>
        </is>
      </c>
      <c r="B273" s="0" t="inlineStr">
        <is>
          <t xml:space="preserve">Journal des achats</t>
        </is>
      </c>
      <c r="C273" s="0" t="inlineStr">
        <is>
          <t xml:space="preserve">AC00020</t>
        </is>
      </c>
      <c r="D273" s="10">
        <v>45392</v>
      </c>
      <c r="E273" s="4" t="inlineStr">
        <is>
          <t xml:space="preserve">445660</t>
        </is>
      </c>
      <c r="F273" s="0" t="inlineStr">
        <is>
          <t xml:space="preserve">TVA deductible sur ABS</t>
        </is>
      </c>
      <c r="G273" s="0" t="inlineStr">
        <is>
          <t xml:space="preserve">F001-2024042</t>
        </is>
      </c>
      <c r="H273" s="0" t="inlineStr">
        <is>
          <t xml:space="preserve">Facture Scierie du Nord F001-2024042</t>
        </is>
      </c>
      <c r="I273" s="8">
        <v>3923.29</v>
      </c>
      <c r="J273" s="8">
        <v>0</v>
      </c>
      <c r="K273" s="0"/>
      <c r="L273" s="0"/>
      <c r="M273" s="8">
        <f>I273-J273</f>
      </c>
      <c r="N273" s="0" t="inlineStr">
        <is>
          <t xml:space="preserve">2024-04</t>
        </is>
      </c>
      <c r="O273" s="0">
        <f>INDEX(Journaux!$E$5:$E$18,MATCH("2024|"&amp;A273,Journaux!$A$5:$A$18,0))</f>
      </c>
      <c r="P273" s="0">
        <f>INDEX(Comptes!$H$5:$H$42,MATCH(E273,Comptes!$A$5:$A$42,0))</f>
      </c>
      <c r="Q273" s="0" t="inlineStr">
        <is>
          <t xml:space="preserve">4</t>
        </is>
      </c>
    </row>
    <row r="274">
      <c r="A274" s="4" t="inlineStr">
        <is>
          <t xml:space="preserve">AC</t>
        </is>
      </c>
      <c r="B274" s="0" t="inlineStr">
        <is>
          <t xml:space="preserve">Journal des achats</t>
        </is>
      </c>
      <c r="C274" s="0" t="inlineStr">
        <is>
          <t xml:space="preserve">AC00020</t>
        </is>
      </c>
      <c r="D274" s="10">
        <v>45392</v>
      </c>
      <c r="E274" s="4" t="inlineStr">
        <is>
          <t xml:space="preserve">401000</t>
        </is>
      </c>
      <c r="F274" s="0" t="inlineStr">
        <is>
          <t xml:space="preserve">Fournisseurs</t>
        </is>
      </c>
      <c r="G274" s="0" t="inlineStr">
        <is>
          <t xml:space="preserve">F001-2024042</t>
        </is>
      </c>
      <c r="H274" s="0" t="inlineStr">
        <is>
          <t xml:space="preserve">Facture Scierie du Nord F001-2024042</t>
        </is>
      </c>
      <c r="I274" s="8">
        <v>0</v>
      </c>
      <c r="J274" s="8">
        <v>23539.72</v>
      </c>
      <c r="K274" s="0" t="inlineStr">
        <is>
          <t xml:space="preserve">ACF</t>
        </is>
      </c>
      <c r="L274" s="0" t="inlineStr">
        <is>
          <t xml:space="preserve">Scierie du Nord</t>
        </is>
      </c>
      <c r="M274" s="8">
        <f>I274-J274</f>
      </c>
      <c r="N274" s="0" t="inlineStr">
        <is>
          <t xml:space="preserve">2024-04</t>
        </is>
      </c>
      <c r="O274" s="0">
        <f>INDEX(Journaux!$E$5:$E$18,MATCH("2024|"&amp;A274,Journaux!$A$5:$A$18,0))</f>
      </c>
      <c r="P274" s="0">
        <f>INDEX(Comptes!$H$5:$H$42,MATCH(E274,Comptes!$A$5:$A$42,0))</f>
      </c>
      <c r="Q274" s="0" t="inlineStr">
        <is>
          <t xml:space="preserve">4</t>
        </is>
      </c>
      <c r="R274" s="7" t="inlineStr">
        <is>
          <t xml:space="preserve">401000|F001</t>
        </is>
      </c>
    </row>
    <row r="275">
      <c r="A275" s="4" t="inlineStr">
        <is>
          <t xml:space="preserve">BQ</t>
        </is>
      </c>
      <c r="B275" s="0" t="inlineStr">
        <is>
          <t xml:space="preserve">Banque Fictive</t>
        </is>
      </c>
      <c r="C275" s="0" t="inlineStr">
        <is>
          <t xml:space="preserve">BQ00011</t>
        </is>
      </c>
      <c r="D275" s="10">
        <v>45392</v>
      </c>
      <c r="E275" s="4" t="inlineStr">
        <is>
          <t xml:space="preserve">164000</t>
        </is>
      </c>
      <c r="F275" s="0" t="inlineStr">
        <is>
          <t xml:space="preserve">Emprunts aupres des etablissements de credit</t>
        </is>
      </c>
      <c r="G275" s="0" t="inlineStr">
        <is>
          <t xml:space="preserve">ECH202404</t>
        </is>
      </c>
      <c r="H275" s="0" t="inlineStr">
        <is>
          <t xml:space="preserve">Echeance emprunt 04/2024</t>
        </is>
      </c>
      <c r="I275" s="8">
        <v>2000</v>
      </c>
      <c r="J275" s="8">
        <v>0</v>
      </c>
      <c r="K275" s="0"/>
      <c r="L275" s="0"/>
      <c r="M275" s="8">
        <f>I275-J275</f>
      </c>
      <c r="N275" s="0" t="inlineStr">
        <is>
          <t xml:space="preserve">2024-04</t>
        </is>
      </c>
      <c r="O275" s="0">
        <f>INDEX(Journaux!$E$5:$E$18,MATCH("2024|"&amp;A275,Journaux!$A$5:$A$18,0))</f>
      </c>
      <c r="P275" s="0">
        <f>INDEX(Comptes!$H$5:$H$42,MATCH(E275,Comptes!$A$5:$A$42,0))</f>
      </c>
      <c r="Q275" s="0" t="inlineStr">
        <is>
          <t xml:space="preserve">1</t>
        </is>
      </c>
    </row>
    <row r="276">
      <c r="A276" s="4" t="inlineStr">
        <is>
          <t xml:space="preserve">BQ</t>
        </is>
      </c>
      <c r="B276" s="0" t="inlineStr">
        <is>
          <t xml:space="preserve">Banque Fictive</t>
        </is>
      </c>
      <c r="C276" s="0" t="inlineStr">
        <is>
          <t xml:space="preserve">BQ00011</t>
        </is>
      </c>
      <c r="D276" s="10">
        <v>45392</v>
      </c>
      <c r="E276" s="4" t="inlineStr">
        <is>
          <t xml:space="preserve">661100</t>
        </is>
      </c>
      <c r="F276" s="0" t="inlineStr">
        <is>
          <t xml:space="preserve">Interets des emprunts</t>
        </is>
      </c>
      <c r="G276" s="0" t="inlineStr">
        <is>
          <t xml:space="preserve">ECH202404</t>
        </is>
      </c>
      <c r="H276" s="0" t="inlineStr">
        <is>
          <t xml:space="preserve">Echeance emprunt 04/2024</t>
        </is>
      </c>
      <c r="I276" s="8">
        <v>280</v>
      </c>
      <c r="J276" s="8">
        <v>0</v>
      </c>
      <c r="K276" s="0"/>
      <c r="L276" s="0"/>
      <c r="M276" s="8">
        <f>I276-J276</f>
      </c>
      <c r="N276" s="0" t="inlineStr">
        <is>
          <t xml:space="preserve">2024-04</t>
        </is>
      </c>
      <c r="O276" s="0">
        <f>INDEX(Journaux!$E$5:$E$18,MATCH("2024|"&amp;A276,Journaux!$A$5:$A$18,0))</f>
      </c>
      <c r="P276" s="0">
        <f>INDEX(Comptes!$H$5:$H$42,MATCH(E276,Comptes!$A$5:$A$42,0))</f>
      </c>
      <c r="Q276" s="0" t="inlineStr">
        <is>
          <t xml:space="preserve">6</t>
        </is>
      </c>
    </row>
    <row r="277">
      <c r="A277" s="4" t="inlineStr">
        <is>
          <t xml:space="preserve">BQ</t>
        </is>
      </c>
      <c r="B277" s="0" t="inlineStr">
        <is>
          <t xml:space="preserve">Banque Fictive</t>
        </is>
      </c>
      <c r="C277" s="0" t="inlineStr">
        <is>
          <t xml:space="preserve">BQ00011</t>
        </is>
      </c>
      <c r="D277" s="10">
        <v>45392</v>
      </c>
      <c r="E277" s="4" t="inlineStr">
        <is>
          <t xml:space="preserve">512000</t>
        </is>
      </c>
      <c r="F277" s="0" t="inlineStr">
        <is>
          <t xml:space="preserve">Banque Fictive</t>
        </is>
      </c>
      <c r="G277" s="0" t="inlineStr">
        <is>
          <t xml:space="preserve">ECH202404</t>
        </is>
      </c>
      <c r="H277" s="0" t="inlineStr">
        <is>
          <t xml:space="preserve">Echeance emprunt 04/2024</t>
        </is>
      </c>
      <c r="I277" s="8">
        <v>0</v>
      </c>
      <c r="J277" s="8">
        <v>2280</v>
      </c>
      <c r="K277" s="0"/>
      <c r="L277" s="0"/>
      <c r="M277" s="8">
        <f>I277-J277</f>
      </c>
      <c r="N277" s="0" t="inlineStr">
        <is>
          <t xml:space="preserve">2024-04</t>
        </is>
      </c>
      <c r="O277" s="0">
        <f>INDEX(Journaux!$E$5:$E$18,MATCH("2024|"&amp;A277,Journaux!$A$5:$A$18,0))</f>
      </c>
      <c r="P277" s="0">
        <f>INDEX(Comptes!$H$5:$H$42,MATCH(E277,Comptes!$A$5:$A$42,0))</f>
      </c>
      <c r="Q277" s="0" t="inlineStr">
        <is>
          <t xml:space="preserve">5</t>
        </is>
      </c>
    </row>
    <row r="278">
      <c r="A278" s="4" t="inlineStr">
        <is>
          <t xml:space="preserve">BQ</t>
        </is>
      </c>
      <c r="B278" s="0" t="inlineStr">
        <is>
          <t xml:space="preserve">Banque Fictive</t>
        </is>
      </c>
      <c r="C278" s="0" t="inlineStr">
        <is>
          <t xml:space="preserve">BQ00131</t>
        </is>
      </c>
      <c r="D278" s="10">
        <v>45392</v>
      </c>
      <c r="E278" s="4" t="inlineStr">
        <is>
          <t xml:space="preserve">401000</t>
        </is>
      </c>
      <c r="F278" s="0" t="inlineStr">
        <is>
          <t xml:space="preserve">Fournisseurs</t>
        </is>
      </c>
      <c r="G278" s="0" t="inlineStr">
        <is>
          <t xml:space="preserve">DEC-F002-2024021</t>
        </is>
      </c>
      <c r="H278" s="0" t="inlineStr">
        <is>
          <t xml:space="preserve">Reglement fournisseur Quincaillerie Pro Est F002-2024021</t>
        </is>
      </c>
      <c r="I278" s="8">
        <v>39884.94</v>
      </c>
      <c r="J278" s="8">
        <v>0</v>
      </c>
      <c r="K278" s="0" t="inlineStr">
        <is>
          <t xml:space="preserve">ABS</t>
        </is>
      </c>
      <c r="L278" s="0" t="inlineStr">
        <is>
          <t xml:space="preserve">Quincaillerie Pro Est</t>
        </is>
      </c>
      <c r="M278" s="8">
        <f>I278-J278</f>
      </c>
      <c r="N278" s="0" t="inlineStr">
        <is>
          <t xml:space="preserve">2024-04</t>
        </is>
      </c>
      <c r="O278" s="0">
        <f>INDEX(Journaux!$E$5:$E$18,MATCH("2024|"&amp;A278,Journaux!$A$5:$A$18,0))</f>
      </c>
      <c r="P278" s="0">
        <f>INDEX(Comptes!$H$5:$H$42,MATCH(E278,Comptes!$A$5:$A$42,0))</f>
      </c>
      <c r="Q278" s="0" t="inlineStr">
        <is>
          <t xml:space="preserve">4</t>
        </is>
      </c>
      <c r="R278" s="7" t="inlineStr">
        <is>
          <t xml:space="preserve">401000|F002</t>
        </is>
      </c>
    </row>
    <row r="279">
      <c r="A279" s="4" t="inlineStr">
        <is>
          <t xml:space="preserve">BQ</t>
        </is>
      </c>
      <c r="B279" s="0" t="inlineStr">
        <is>
          <t xml:space="preserve">Banque Fictive</t>
        </is>
      </c>
      <c r="C279" s="0" t="inlineStr">
        <is>
          <t xml:space="preserve">BQ00131</t>
        </is>
      </c>
      <c r="D279" s="10">
        <v>45392</v>
      </c>
      <c r="E279" s="4" t="inlineStr">
        <is>
          <t xml:space="preserve">512000</t>
        </is>
      </c>
      <c r="F279" s="0" t="inlineStr">
        <is>
          <t xml:space="preserve">Banque Fictive</t>
        </is>
      </c>
      <c r="G279" s="0" t="inlineStr">
        <is>
          <t xml:space="preserve">DEC-F002-2024021</t>
        </is>
      </c>
      <c r="H279" s="0" t="inlineStr">
        <is>
          <t xml:space="preserve">Reglement fournisseur Quincaillerie Pro Est F002-2024021</t>
        </is>
      </c>
      <c r="I279" s="8">
        <v>0</v>
      </c>
      <c r="J279" s="8">
        <v>39884.94</v>
      </c>
      <c r="K279" s="0"/>
      <c r="L279" s="0"/>
      <c r="M279" s="8">
        <f>I279-J279</f>
      </c>
      <c r="N279" s="0" t="inlineStr">
        <is>
          <t xml:space="preserve">2024-04</t>
        </is>
      </c>
      <c r="O279" s="0">
        <f>INDEX(Journaux!$E$5:$E$18,MATCH("2024|"&amp;A279,Journaux!$A$5:$A$18,0))</f>
      </c>
      <c r="P279" s="0">
        <f>INDEX(Comptes!$H$5:$H$42,MATCH(E279,Comptes!$A$5:$A$42,0))</f>
      </c>
      <c r="Q279" s="0" t="inlineStr">
        <is>
          <t xml:space="preserve">5</t>
        </is>
      </c>
    </row>
    <row r="280">
      <c r="A280" s="4" t="inlineStr">
        <is>
          <t xml:space="preserve">AC</t>
        </is>
      </c>
      <c r="B280" s="0" t="inlineStr">
        <is>
          <t xml:space="preserve">Journal des achats</t>
        </is>
      </c>
      <c r="C280" s="0" t="inlineStr">
        <is>
          <t xml:space="preserve">AC00021</t>
        </is>
      </c>
      <c r="D280" s="10">
        <v>45394</v>
      </c>
      <c r="E280" s="4" t="inlineStr">
        <is>
          <t xml:space="preserve">601000</t>
        </is>
      </c>
      <c r="F280" s="0" t="inlineStr">
        <is>
          <t xml:space="preserve">Achats de matieres premieres</t>
        </is>
      </c>
      <c r="G280" s="0" t="inlineStr">
        <is>
          <t xml:space="preserve">F001-2024043</t>
        </is>
      </c>
      <c r="H280" s="0" t="inlineStr">
        <is>
          <t xml:space="preserve">Facture Scierie du Nord F001-2024043</t>
        </is>
      </c>
      <c r="I280" s="8">
        <v>31669.65</v>
      </c>
      <c r="J280" s="8">
        <v>0</v>
      </c>
      <c r="K280" s="0"/>
      <c r="L280" s="0"/>
      <c r="M280" s="8">
        <f>I280-J280</f>
      </c>
      <c r="N280" s="0" t="inlineStr">
        <is>
          <t xml:space="preserve">2024-04</t>
        </is>
      </c>
      <c r="O280" s="0">
        <f>INDEX(Journaux!$E$5:$E$18,MATCH("2024|"&amp;A280,Journaux!$A$5:$A$18,0))</f>
      </c>
      <c r="P280" s="0">
        <f>INDEX(Comptes!$H$5:$H$42,MATCH(E280,Comptes!$A$5:$A$42,0))</f>
      </c>
      <c r="Q280" s="0" t="inlineStr">
        <is>
          <t xml:space="preserve">6</t>
        </is>
      </c>
    </row>
    <row r="281">
      <c r="A281" s="4" t="inlineStr">
        <is>
          <t xml:space="preserve">AC</t>
        </is>
      </c>
      <c r="B281" s="0" t="inlineStr">
        <is>
          <t xml:space="preserve">Journal des achats</t>
        </is>
      </c>
      <c r="C281" s="0" t="inlineStr">
        <is>
          <t xml:space="preserve">AC00021</t>
        </is>
      </c>
      <c r="D281" s="10">
        <v>45394</v>
      </c>
      <c r="E281" s="4" t="inlineStr">
        <is>
          <t xml:space="preserve">445660</t>
        </is>
      </c>
      <c r="F281" s="0" t="inlineStr">
        <is>
          <t xml:space="preserve">TVA deductible sur ABS</t>
        </is>
      </c>
      <c r="G281" s="0" t="inlineStr">
        <is>
          <t xml:space="preserve">F001-2024043</t>
        </is>
      </c>
      <c r="H281" s="0" t="inlineStr">
        <is>
          <t xml:space="preserve">Facture Scierie du Nord F001-2024043</t>
        </is>
      </c>
      <c r="I281" s="8">
        <v>6333.93</v>
      </c>
      <c r="J281" s="8">
        <v>0</v>
      </c>
      <c r="K281" s="0"/>
      <c r="L281" s="0"/>
      <c r="M281" s="8">
        <f>I281-J281</f>
      </c>
      <c r="N281" s="0" t="inlineStr">
        <is>
          <t xml:space="preserve">2024-04</t>
        </is>
      </c>
      <c r="O281" s="0">
        <f>INDEX(Journaux!$E$5:$E$18,MATCH("2024|"&amp;A281,Journaux!$A$5:$A$18,0))</f>
      </c>
      <c r="P281" s="0">
        <f>INDEX(Comptes!$H$5:$H$42,MATCH(E281,Comptes!$A$5:$A$42,0))</f>
      </c>
      <c r="Q281" s="0" t="inlineStr">
        <is>
          <t xml:space="preserve">4</t>
        </is>
      </c>
    </row>
    <row r="282">
      <c r="A282" s="4" t="inlineStr">
        <is>
          <t xml:space="preserve">AC</t>
        </is>
      </c>
      <c r="B282" s="0" t="inlineStr">
        <is>
          <t xml:space="preserve">Journal des achats</t>
        </is>
      </c>
      <c r="C282" s="0" t="inlineStr">
        <is>
          <t xml:space="preserve">AC00021</t>
        </is>
      </c>
      <c r="D282" s="10">
        <v>45394</v>
      </c>
      <c r="E282" s="4" t="inlineStr">
        <is>
          <t xml:space="preserve">401000</t>
        </is>
      </c>
      <c r="F282" s="0" t="inlineStr">
        <is>
          <t xml:space="preserve">Fournisseurs</t>
        </is>
      </c>
      <c r="G282" s="0" t="inlineStr">
        <is>
          <t xml:space="preserve">F001-2024043</t>
        </is>
      </c>
      <c r="H282" s="0" t="inlineStr">
        <is>
          <t xml:space="preserve">Facture Scierie du Nord F001-2024043</t>
        </is>
      </c>
      <c r="I282" s="8">
        <v>0</v>
      </c>
      <c r="J282" s="8">
        <v>38003.58</v>
      </c>
      <c r="K282" s="0" t="inlineStr">
        <is>
          <t xml:space="preserve">ACG</t>
        </is>
      </c>
      <c r="L282" s="0" t="inlineStr">
        <is>
          <t xml:space="preserve">Scierie du Nord</t>
        </is>
      </c>
      <c r="M282" s="8">
        <f>I282-J282</f>
      </c>
      <c r="N282" s="0" t="inlineStr">
        <is>
          <t xml:space="preserve">2024-04</t>
        </is>
      </c>
      <c r="O282" s="0">
        <f>INDEX(Journaux!$E$5:$E$18,MATCH("2024|"&amp;A282,Journaux!$A$5:$A$18,0))</f>
      </c>
      <c r="P282" s="0">
        <f>INDEX(Comptes!$H$5:$H$42,MATCH(E282,Comptes!$A$5:$A$42,0))</f>
      </c>
      <c r="Q282" s="0" t="inlineStr">
        <is>
          <t xml:space="preserve">4</t>
        </is>
      </c>
      <c r="R282" s="7" t="inlineStr">
        <is>
          <t xml:space="preserve">401000|F001</t>
        </is>
      </c>
    </row>
    <row r="283">
      <c r="A283" s="4" t="inlineStr">
        <is>
          <t xml:space="preserve">BQ</t>
        </is>
      </c>
      <c r="B283" s="0" t="inlineStr">
        <is>
          <t xml:space="preserve">Banque Fictive</t>
        </is>
      </c>
      <c r="C283" s="0" t="inlineStr">
        <is>
          <t xml:space="preserve">BQ00072</t>
        </is>
      </c>
      <c r="D283" s="10">
        <v>45394</v>
      </c>
      <c r="E283" s="4" t="inlineStr">
        <is>
          <t xml:space="preserve">512000</t>
        </is>
      </c>
      <c r="F283" s="0" t="inlineStr">
        <is>
          <t xml:space="preserve">Banque Fictive</t>
        </is>
      </c>
      <c r="G283" s="0" t="inlineStr">
        <is>
          <t xml:space="preserve">ENC-FA2024-0007</t>
        </is>
      </c>
      <c r="H283" s="0" t="inlineStr">
        <is>
          <t xml:space="preserve">Reglement client Restaurant Le Comptoir FA2024-0007</t>
        </is>
      </c>
      <c r="I283" s="8">
        <v>28563.22</v>
      </c>
      <c r="J283" s="8">
        <v>0</v>
      </c>
      <c r="K283" s="0"/>
      <c r="L283" s="0"/>
      <c r="M283" s="8">
        <f>I283-J283</f>
      </c>
      <c r="N283" s="0" t="inlineStr">
        <is>
          <t xml:space="preserve">2024-04</t>
        </is>
      </c>
      <c r="O283" s="0">
        <f>INDEX(Journaux!$E$5:$E$18,MATCH("2024|"&amp;A283,Journaux!$A$5:$A$18,0))</f>
      </c>
      <c r="P283" s="0">
        <f>INDEX(Comptes!$H$5:$H$42,MATCH(E283,Comptes!$A$5:$A$42,0))</f>
      </c>
      <c r="Q283" s="0" t="inlineStr">
        <is>
          <t xml:space="preserve">5</t>
        </is>
      </c>
    </row>
    <row r="284">
      <c r="A284" s="4" t="inlineStr">
        <is>
          <t xml:space="preserve">BQ</t>
        </is>
      </c>
      <c r="B284" s="0" t="inlineStr">
        <is>
          <t xml:space="preserve">Banque Fictive</t>
        </is>
      </c>
      <c r="C284" s="0" t="inlineStr">
        <is>
          <t xml:space="preserve">BQ00072</t>
        </is>
      </c>
      <c r="D284" s="10">
        <v>45394</v>
      </c>
      <c r="E284" s="4" t="inlineStr">
        <is>
          <t xml:space="preserve">411000</t>
        </is>
      </c>
      <c r="F284" s="0" t="inlineStr">
        <is>
          <t xml:space="preserve">Clients</t>
        </is>
      </c>
      <c r="G284" s="0" t="inlineStr">
        <is>
          <t xml:space="preserve">ENC-FA2024-0007</t>
        </is>
      </c>
      <c r="H284" s="0" t="inlineStr">
        <is>
          <t xml:space="preserve">Reglement client Restaurant Le Comptoir FA2024-0007</t>
        </is>
      </c>
      <c r="I284" s="8">
        <v>0</v>
      </c>
      <c r="J284" s="8">
        <v>28563.22</v>
      </c>
      <c r="K284" s="0" t="inlineStr">
        <is>
          <t xml:space="preserve">AAL</t>
        </is>
      </c>
      <c r="L284" s="0" t="inlineStr">
        <is>
          <t xml:space="preserve">Restaurant Le Comptoir</t>
        </is>
      </c>
      <c r="M284" s="8">
        <f>I284-J284</f>
      </c>
      <c r="N284" s="0" t="inlineStr">
        <is>
          <t xml:space="preserve">2024-04</t>
        </is>
      </c>
      <c r="O284" s="0">
        <f>INDEX(Journaux!$E$5:$E$18,MATCH("2024|"&amp;A284,Journaux!$A$5:$A$18,0))</f>
      </c>
      <c r="P284" s="0">
        <f>INDEX(Comptes!$H$5:$H$42,MATCH(E284,Comptes!$A$5:$A$42,0))</f>
      </c>
      <c r="Q284" s="0" t="inlineStr">
        <is>
          <t xml:space="preserve">4</t>
        </is>
      </c>
      <c r="R284" s="7" t="inlineStr">
        <is>
          <t xml:space="preserve">411000|C005</t>
        </is>
      </c>
    </row>
    <row r="285">
      <c r="A285" s="4" t="inlineStr">
        <is>
          <t xml:space="preserve">BQ</t>
        </is>
      </c>
      <c r="B285" s="0" t="inlineStr">
        <is>
          <t xml:space="preserve">Banque Fictive</t>
        </is>
      </c>
      <c r="C285" s="0" t="inlineStr">
        <is>
          <t xml:space="preserve">BQ00043</t>
        </is>
      </c>
      <c r="D285" s="10">
        <v>45397</v>
      </c>
      <c r="E285" s="4" t="inlineStr">
        <is>
          <t xml:space="preserve">431000</t>
        </is>
      </c>
      <c r="F285" s="0" t="inlineStr">
        <is>
          <t xml:space="preserve">Securite sociale</t>
        </is>
      </c>
      <c r="G285" s="0" t="inlineStr">
        <is>
          <t xml:space="preserve">URSSAF202403</t>
        </is>
      </c>
      <c r="H285" s="0" t="inlineStr">
        <is>
          <t xml:space="preserve">Reglement URSSAF 03/2024</t>
        </is>
      </c>
      <c r="I285" s="8">
        <v>33176.38</v>
      </c>
      <c r="J285" s="8">
        <v>0</v>
      </c>
      <c r="K285" s="0"/>
      <c r="L285" s="0"/>
      <c r="M285" s="8">
        <f>I285-J285</f>
      </c>
      <c r="N285" s="0" t="inlineStr">
        <is>
          <t xml:space="preserve">2024-04</t>
        </is>
      </c>
      <c r="O285" s="0">
        <f>INDEX(Journaux!$E$5:$E$18,MATCH("2024|"&amp;A285,Journaux!$A$5:$A$18,0))</f>
      </c>
      <c r="P285" s="0">
        <f>INDEX(Comptes!$H$5:$H$42,MATCH(E285,Comptes!$A$5:$A$42,0))</f>
      </c>
      <c r="Q285" s="0" t="inlineStr">
        <is>
          <t xml:space="preserve">4</t>
        </is>
      </c>
    </row>
    <row r="286">
      <c r="A286" s="4" t="inlineStr">
        <is>
          <t xml:space="preserve">BQ</t>
        </is>
      </c>
      <c r="B286" s="0" t="inlineStr">
        <is>
          <t xml:space="preserve">Banque Fictive</t>
        </is>
      </c>
      <c r="C286" s="0" t="inlineStr">
        <is>
          <t xml:space="preserve">BQ00043</t>
        </is>
      </c>
      <c r="D286" s="10">
        <v>45397</v>
      </c>
      <c r="E286" s="4" t="inlineStr">
        <is>
          <t xml:space="preserve">512000</t>
        </is>
      </c>
      <c r="F286" s="0" t="inlineStr">
        <is>
          <t xml:space="preserve">Banque Fictive</t>
        </is>
      </c>
      <c r="G286" s="0" t="inlineStr">
        <is>
          <t xml:space="preserve">URSSAF202403</t>
        </is>
      </c>
      <c r="H286" s="0" t="inlineStr">
        <is>
          <t xml:space="preserve">Reglement URSSAF 03/2024</t>
        </is>
      </c>
      <c r="I286" s="8">
        <v>0</v>
      </c>
      <c r="J286" s="8">
        <v>33176.38</v>
      </c>
      <c r="K286" s="0"/>
      <c r="L286" s="0"/>
      <c r="M286" s="8">
        <f>I286-J286</f>
      </c>
      <c r="N286" s="0" t="inlineStr">
        <is>
          <t xml:space="preserve">2024-04</t>
        </is>
      </c>
      <c r="O286" s="0">
        <f>INDEX(Journaux!$E$5:$E$18,MATCH("2024|"&amp;A286,Journaux!$A$5:$A$18,0))</f>
      </c>
      <c r="P286" s="0">
        <f>INDEX(Comptes!$H$5:$H$42,MATCH(E286,Comptes!$A$5:$A$42,0))</f>
      </c>
      <c r="Q286" s="0" t="inlineStr">
        <is>
          <t xml:space="preserve">5</t>
        </is>
      </c>
    </row>
    <row r="287">
      <c r="A287" s="4" t="inlineStr">
        <is>
          <t xml:space="preserve">BQ</t>
        </is>
      </c>
      <c r="B287" s="0" t="inlineStr">
        <is>
          <t xml:space="preserve">Banque Fictive</t>
        </is>
      </c>
      <c r="C287" s="0" t="inlineStr">
        <is>
          <t xml:space="preserve">BQ00078</t>
        </is>
      </c>
      <c r="D287" s="10">
        <v>45397</v>
      </c>
      <c r="E287" s="4" t="inlineStr">
        <is>
          <t xml:space="preserve">512000</t>
        </is>
      </c>
      <c r="F287" s="0" t="inlineStr">
        <is>
          <t xml:space="preserve">Banque Fictive</t>
        </is>
      </c>
      <c r="G287" s="0" t="inlineStr">
        <is>
          <t xml:space="preserve">ENC-FA2024-0013</t>
        </is>
      </c>
      <c r="H287" s="0" t="inlineStr">
        <is>
          <t xml:space="preserve">Reglement client Clinique du Parc FA2024-0013</t>
        </is>
      </c>
      <c r="I287" s="8">
        <v>40933.76</v>
      </c>
      <c r="J287" s="8">
        <v>0</v>
      </c>
      <c r="K287" s="0"/>
      <c r="L287" s="0"/>
      <c r="M287" s="8">
        <f>I287-J287</f>
      </c>
      <c r="N287" s="0" t="inlineStr">
        <is>
          <t xml:space="preserve">2024-04</t>
        </is>
      </c>
      <c r="O287" s="0">
        <f>INDEX(Journaux!$E$5:$E$18,MATCH("2024|"&amp;A287,Journaux!$A$5:$A$18,0))</f>
      </c>
      <c r="P287" s="0">
        <f>INDEX(Comptes!$H$5:$H$42,MATCH(E287,Comptes!$A$5:$A$42,0))</f>
      </c>
      <c r="Q287" s="0" t="inlineStr">
        <is>
          <t xml:space="preserve">5</t>
        </is>
      </c>
    </row>
    <row r="288">
      <c r="A288" s="4" t="inlineStr">
        <is>
          <t xml:space="preserve">BQ</t>
        </is>
      </c>
      <c r="B288" s="0" t="inlineStr">
        <is>
          <t xml:space="preserve">Banque Fictive</t>
        </is>
      </c>
      <c r="C288" s="0" t="inlineStr">
        <is>
          <t xml:space="preserve">BQ00078</t>
        </is>
      </c>
      <c r="D288" s="10">
        <v>45397</v>
      </c>
      <c r="E288" s="4" t="inlineStr">
        <is>
          <t xml:space="preserve">411000</t>
        </is>
      </c>
      <c r="F288" s="0" t="inlineStr">
        <is>
          <t xml:space="preserve">Clients</t>
        </is>
      </c>
      <c r="G288" s="0" t="inlineStr">
        <is>
          <t xml:space="preserve">ENC-FA2024-0013</t>
        </is>
      </c>
      <c r="H288" s="0" t="inlineStr">
        <is>
          <t xml:space="preserve">Reglement client Clinique du Parc FA2024-0013</t>
        </is>
      </c>
      <c r="I288" s="8">
        <v>0</v>
      </c>
      <c r="J288" s="8">
        <v>40933.76</v>
      </c>
      <c r="K288" s="0" t="inlineStr">
        <is>
          <t xml:space="preserve">AAR</t>
        </is>
      </c>
      <c r="L288" s="0" t="inlineStr">
        <is>
          <t xml:space="preserve">Clinique du Parc</t>
        </is>
      </c>
      <c r="M288" s="8">
        <f>I288-J288</f>
      </c>
      <c r="N288" s="0" t="inlineStr">
        <is>
          <t xml:space="preserve">2024-04</t>
        </is>
      </c>
      <c r="O288" s="0">
        <f>INDEX(Journaux!$E$5:$E$18,MATCH("2024|"&amp;A288,Journaux!$A$5:$A$18,0))</f>
      </c>
      <c r="P288" s="0">
        <f>INDEX(Comptes!$H$5:$H$42,MATCH(E288,Comptes!$A$5:$A$42,0))</f>
      </c>
      <c r="Q288" s="0" t="inlineStr">
        <is>
          <t xml:space="preserve">4</t>
        </is>
      </c>
      <c r="R288" s="7" t="inlineStr">
        <is>
          <t xml:space="preserve">411000|C006</t>
        </is>
      </c>
    </row>
    <row r="289">
      <c r="A289" s="4" t="inlineStr">
        <is>
          <t xml:space="preserve">AC</t>
        </is>
      </c>
      <c r="B289" s="0" t="inlineStr">
        <is>
          <t xml:space="preserve">Journal des achats</t>
        </is>
      </c>
      <c r="C289" s="0" t="inlineStr">
        <is>
          <t xml:space="preserve">AC00019</t>
        </is>
      </c>
      <c r="D289" s="10">
        <v>45399</v>
      </c>
      <c r="E289" s="4" t="inlineStr">
        <is>
          <t xml:space="preserve">601000</t>
        </is>
      </c>
      <c r="F289" s="0" t="inlineStr">
        <is>
          <t xml:space="preserve">Achats de matieres premieres</t>
        </is>
      </c>
      <c r="G289" s="0" t="inlineStr">
        <is>
          <t xml:space="preserve">F002-2024041</t>
        </is>
      </c>
      <c r="H289" s="0" t="inlineStr">
        <is>
          <t xml:space="preserve">Facture Quincaillerie Pro Est F002-2024041</t>
        </is>
      </c>
      <c r="I289" s="8">
        <v>22213.92</v>
      </c>
      <c r="J289" s="8">
        <v>0</v>
      </c>
      <c r="K289" s="0"/>
      <c r="L289" s="0"/>
      <c r="M289" s="8">
        <f>I289-J289</f>
      </c>
      <c r="N289" s="0" t="inlineStr">
        <is>
          <t xml:space="preserve">2024-04</t>
        </is>
      </c>
      <c r="O289" s="0">
        <f>INDEX(Journaux!$E$5:$E$18,MATCH("2024|"&amp;A289,Journaux!$A$5:$A$18,0))</f>
      </c>
      <c r="P289" s="0">
        <f>INDEX(Comptes!$H$5:$H$42,MATCH(E289,Comptes!$A$5:$A$42,0))</f>
      </c>
      <c r="Q289" s="0" t="inlineStr">
        <is>
          <t xml:space="preserve">6</t>
        </is>
      </c>
    </row>
    <row r="290">
      <c r="A290" s="4" t="inlineStr">
        <is>
          <t xml:space="preserve">AC</t>
        </is>
      </c>
      <c r="B290" s="0" t="inlineStr">
        <is>
          <t xml:space="preserve">Journal des achats</t>
        </is>
      </c>
      <c r="C290" s="0" t="inlineStr">
        <is>
          <t xml:space="preserve">AC00019</t>
        </is>
      </c>
      <c r="D290" s="10">
        <v>45399</v>
      </c>
      <c r="E290" s="4" t="inlineStr">
        <is>
          <t xml:space="preserve">445660</t>
        </is>
      </c>
      <c r="F290" s="0" t="inlineStr">
        <is>
          <t xml:space="preserve">TVA deductible sur ABS</t>
        </is>
      </c>
      <c r="G290" s="0" t="inlineStr">
        <is>
          <t xml:space="preserve">F002-2024041</t>
        </is>
      </c>
      <c r="H290" s="0" t="inlineStr">
        <is>
          <t xml:space="preserve">Facture Quincaillerie Pro Est F002-2024041</t>
        </is>
      </c>
      <c r="I290" s="8">
        <v>4442.78</v>
      </c>
      <c r="J290" s="8">
        <v>0</v>
      </c>
      <c r="K290" s="0"/>
      <c r="L290" s="0"/>
      <c r="M290" s="8">
        <f>I290-J290</f>
      </c>
      <c r="N290" s="0" t="inlineStr">
        <is>
          <t xml:space="preserve">2024-04</t>
        </is>
      </c>
      <c r="O290" s="0">
        <f>INDEX(Journaux!$E$5:$E$18,MATCH("2024|"&amp;A290,Journaux!$A$5:$A$18,0))</f>
      </c>
      <c r="P290" s="0">
        <f>INDEX(Comptes!$H$5:$H$42,MATCH(E290,Comptes!$A$5:$A$42,0))</f>
      </c>
      <c r="Q290" s="0" t="inlineStr">
        <is>
          <t xml:space="preserve">4</t>
        </is>
      </c>
    </row>
    <row r="291">
      <c r="A291" s="4" t="inlineStr">
        <is>
          <t xml:space="preserve">AC</t>
        </is>
      </c>
      <c r="B291" s="0" t="inlineStr">
        <is>
          <t xml:space="preserve">Journal des achats</t>
        </is>
      </c>
      <c r="C291" s="0" t="inlineStr">
        <is>
          <t xml:space="preserve">AC00019</t>
        </is>
      </c>
      <c r="D291" s="10">
        <v>45399</v>
      </c>
      <c r="E291" s="4" t="inlineStr">
        <is>
          <t xml:space="preserve">401000</t>
        </is>
      </c>
      <c r="F291" s="0" t="inlineStr">
        <is>
          <t xml:space="preserve">Fournisseurs</t>
        </is>
      </c>
      <c r="G291" s="0" t="inlineStr">
        <is>
          <t xml:space="preserve">F002-2024041</t>
        </is>
      </c>
      <c r="H291" s="0" t="inlineStr">
        <is>
          <t xml:space="preserve">Facture Quincaillerie Pro Est F002-2024041</t>
        </is>
      </c>
      <c r="I291" s="8">
        <v>0</v>
      </c>
      <c r="J291" s="8">
        <v>26656.7</v>
      </c>
      <c r="K291" s="0" t="inlineStr">
        <is>
          <t xml:space="preserve">ACE</t>
        </is>
      </c>
      <c r="L291" s="0" t="inlineStr">
        <is>
          <t xml:space="preserve">Quincaillerie Pro Est</t>
        </is>
      </c>
      <c r="M291" s="8">
        <f>I291-J291</f>
      </c>
      <c r="N291" s="0" t="inlineStr">
        <is>
          <t xml:space="preserve">2024-04</t>
        </is>
      </c>
      <c r="O291" s="0">
        <f>INDEX(Journaux!$E$5:$E$18,MATCH("2024|"&amp;A291,Journaux!$A$5:$A$18,0))</f>
      </c>
      <c r="P291" s="0">
        <f>INDEX(Comptes!$H$5:$H$42,MATCH(E291,Comptes!$A$5:$A$42,0))</f>
      </c>
      <c r="Q291" s="0" t="inlineStr">
        <is>
          <t xml:space="preserve">4</t>
        </is>
      </c>
      <c r="R291" s="7" t="inlineStr">
        <is>
          <t xml:space="preserve">401000|F002</t>
        </is>
      </c>
    </row>
    <row r="292">
      <c r="A292" s="4" t="inlineStr">
        <is>
          <t xml:space="preserve">BQ</t>
        </is>
      </c>
      <c r="B292" s="0" t="inlineStr">
        <is>
          <t xml:space="preserve">Banque Fictive</t>
        </is>
      </c>
      <c r="C292" s="0" t="inlineStr">
        <is>
          <t xml:space="preserve">BQ00079</t>
        </is>
      </c>
      <c r="D292" s="10">
        <v>45401</v>
      </c>
      <c r="E292" s="4" t="inlineStr">
        <is>
          <t xml:space="preserve">512000</t>
        </is>
      </c>
      <c r="F292" s="0" t="inlineStr">
        <is>
          <t xml:space="preserve">Banque Fictive</t>
        </is>
      </c>
      <c r="G292" s="0" t="inlineStr">
        <is>
          <t xml:space="preserve">ENC-FA2024-0014</t>
        </is>
      </c>
      <c r="H292" s="0" t="inlineStr">
        <is>
          <t xml:space="preserve">Reglement client Agence Mobilis FA2024-0014</t>
        </is>
      </c>
      <c r="I292" s="8">
        <v>27597.73</v>
      </c>
      <c r="J292" s="8">
        <v>0</v>
      </c>
      <c r="K292" s="0"/>
      <c r="L292" s="0"/>
      <c r="M292" s="8">
        <f>I292-J292</f>
      </c>
      <c r="N292" s="0" t="inlineStr">
        <is>
          <t xml:space="preserve">2024-04</t>
        </is>
      </c>
      <c r="O292" s="0">
        <f>INDEX(Journaux!$E$5:$E$18,MATCH("2024|"&amp;A292,Journaux!$A$5:$A$18,0))</f>
      </c>
      <c r="P292" s="0">
        <f>INDEX(Comptes!$H$5:$H$42,MATCH(E292,Comptes!$A$5:$A$42,0))</f>
      </c>
      <c r="Q292" s="0" t="inlineStr">
        <is>
          <t xml:space="preserve">5</t>
        </is>
      </c>
    </row>
    <row r="293">
      <c r="A293" s="4" t="inlineStr">
        <is>
          <t xml:space="preserve">BQ</t>
        </is>
      </c>
      <c r="B293" s="0" t="inlineStr">
        <is>
          <t xml:space="preserve">Banque Fictive</t>
        </is>
      </c>
      <c r="C293" s="0" t="inlineStr">
        <is>
          <t xml:space="preserve">BQ00079</t>
        </is>
      </c>
      <c r="D293" s="10">
        <v>45401</v>
      </c>
      <c r="E293" s="4" t="inlineStr">
        <is>
          <t xml:space="preserve">411000</t>
        </is>
      </c>
      <c r="F293" s="0" t="inlineStr">
        <is>
          <t xml:space="preserve">Clients</t>
        </is>
      </c>
      <c r="G293" s="0" t="inlineStr">
        <is>
          <t xml:space="preserve">ENC-FA2024-0014</t>
        </is>
      </c>
      <c r="H293" s="0" t="inlineStr">
        <is>
          <t xml:space="preserve">Reglement client Agence Mobilis FA2024-0014</t>
        </is>
      </c>
      <c r="I293" s="8">
        <v>0</v>
      </c>
      <c r="J293" s="8">
        <v>27597.73</v>
      </c>
      <c r="K293" s="0" t="inlineStr">
        <is>
          <t xml:space="preserve">AAS</t>
        </is>
      </c>
      <c r="L293" s="0" t="inlineStr">
        <is>
          <t xml:space="preserve">Agence Mobilis</t>
        </is>
      </c>
      <c r="M293" s="8">
        <f>I293-J293</f>
      </c>
      <c r="N293" s="0" t="inlineStr">
        <is>
          <t xml:space="preserve">2024-04</t>
        </is>
      </c>
      <c r="O293" s="0">
        <f>INDEX(Journaux!$E$5:$E$18,MATCH("2024|"&amp;A293,Journaux!$A$5:$A$18,0))</f>
      </c>
      <c r="P293" s="0">
        <f>INDEX(Comptes!$H$5:$H$42,MATCH(E293,Comptes!$A$5:$A$42,0))</f>
      </c>
      <c r="Q293" s="0" t="inlineStr">
        <is>
          <t xml:space="preserve">4</t>
        </is>
      </c>
      <c r="R293" s="7" t="inlineStr">
        <is>
          <t xml:space="preserve">411000|C002</t>
        </is>
      </c>
    </row>
    <row r="294">
      <c r="A294" s="4" t="inlineStr">
        <is>
          <t xml:space="preserve">BQ</t>
        </is>
      </c>
      <c r="B294" s="0" t="inlineStr">
        <is>
          <t xml:space="preserve">Banque Fictive</t>
        </is>
      </c>
      <c r="C294" s="0" t="inlineStr">
        <is>
          <t xml:space="preserve">BQ00044</t>
        </is>
      </c>
      <c r="D294" s="10">
        <v>45402</v>
      </c>
      <c r="E294" s="4" t="inlineStr">
        <is>
          <t xml:space="preserve">445510</t>
        </is>
      </c>
      <c r="F294" s="0" t="inlineStr">
        <is>
          <t xml:space="preserve">TVA a decaisser</t>
        </is>
      </c>
      <c r="G294" s="0" t="inlineStr">
        <is>
          <t xml:space="preserve">TVA202403</t>
        </is>
      </c>
      <c r="H294" s="0" t="inlineStr">
        <is>
          <t xml:space="preserve">Reglement TVA 03/2024</t>
        </is>
      </c>
      <c r="I294" s="8">
        <v>16610.13</v>
      </c>
      <c r="J294" s="8">
        <v>0</v>
      </c>
      <c r="K294" s="0"/>
      <c r="L294" s="0"/>
      <c r="M294" s="8">
        <f>I294-J294</f>
      </c>
      <c r="N294" s="0" t="inlineStr">
        <is>
          <t xml:space="preserve">2024-04</t>
        </is>
      </c>
      <c r="O294" s="0">
        <f>INDEX(Journaux!$E$5:$E$18,MATCH("2024|"&amp;A294,Journaux!$A$5:$A$18,0))</f>
      </c>
      <c r="P294" s="0">
        <f>INDEX(Comptes!$H$5:$H$42,MATCH(E294,Comptes!$A$5:$A$42,0))</f>
      </c>
      <c r="Q294" s="0" t="inlineStr">
        <is>
          <t xml:space="preserve">4</t>
        </is>
      </c>
    </row>
    <row r="295">
      <c r="A295" s="4" t="inlineStr">
        <is>
          <t xml:space="preserve">BQ</t>
        </is>
      </c>
      <c r="B295" s="0" t="inlineStr">
        <is>
          <t xml:space="preserve">Banque Fictive</t>
        </is>
      </c>
      <c r="C295" s="0" t="inlineStr">
        <is>
          <t xml:space="preserve">BQ00044</t>
        </is>
      </c>
      <c r="D295" s="10">
        <v>45402</v>
      </c>
      <c r="E295" s="4" t="inlineStr">
        <is>
          <t xml:space="preserve">512000</t>
        </is>
      </c>
      <c r="F295" s="0" t="inlineStr">
        <is>
          <t xml:space="preserve">Banque Fictive</t>
        </is>
      </c>
      <c r="G295" s="0" t="inlineStr">
        <is>
          <t xml:space="preserve">TVA202403</t>
        </is>
      </c>
      <c r="H295" s="0" t="inlineStr">
        <is>
          <t xml:space="preserve">Reglement TVA 03/2024</t>
        </is>
      </c>
      <c r="I295" s="8">
        <v>0</v>
      </c>
      <c r="J295" s="8">
        <v>16610.13</v>
      </c>
      <c r="K295" s="0"/>
      <c r="L295" s="0"/>
      <c r="M295" s="8">
        <f>I295-J295</f>
      </c>
      <c r="N295" s="0" t="inlineStr">
        <is>
          <t xml:space="preserve">2024-04</t>
        </is>
      </c>
      <c r="O295" s="0">
        <f>INDEX(Journaux!$E$5:$E$18,MATCH("2024|"&amp;A295,Journaux!$A$5:$A$18,0))</f>
      </c>
      <c r="P295" s="0">
        <f>INDEX(Comptes!$H$5:$H$42,MATCH(E295,Comptes!$A$5:$A$42,0))</f>
      </c>
      <c r="Q295" s="0" t="inlineStr">
        <is>
          <t xml:space="preserve">5</t>
        </is>
      </c>
    </row>
    <row r="296">
      <c r="A296" s="4" t="inlineStr">
        <is>
          <t xml:space="preserve">BQ</t>
        </is>
      </c>
      <c r="B296" s="0" t="inlineStr">
        <is>
          <t xml:space="preserve">Banque Fictive</t>
        </is>
      </c>
      <c r="C296" s="0" t="inlineStr">
        <is>
          <t xml:space="preserve">BQ00080</t>
        </is>
      </c>
      <c r="D296" s="10">
        <v>45404</v>
      </c>
      <c r="E296" s="4" t="inlineStr">
        <is>
          <t xml:space="preserve">512000</t>
        </is>
      </c>
      <c r="F296" s="0" t="inlineStr">
        <is>
          <t xml:space="preserve">Banque Fictive</t>
        </is>
      </c>
      <c r="G296" s="0" t="inlineStr">
        <is>
          <t xml:space="preserve">ENC-FA2024-0015</t>
        </is>
      </c>
      <c r="H296" s="0" t="inlineStr">
        <is>
          <t xml:space="preserve">Reglement client Clinique du Parc FA2024-0015</t>
        </is>
      </c>
      <c r="I296" s="8">
        <v>30576.84</v>
      </c>
      <c r="J296" s="8">
        <v>0</v>
      </c>
      <c r="K296" s="0"/>
      <c r="L296" s="0"/>
      <c r="M296" s="8">
        <f>I296-J296</f>
      </c>
      <c r="N296" s="0" t="inlineStr">
        <is>
          <t xml:space="preserve">2024-04</t>
        </is>
      </c>
      <c r="O296" s="0">
        <f>INDEX(Journaux!$E$5:$E$18,MATCH("2024|"&amp;A296,Journaux!$A$5:$A$18,0))</f>
      </c>
      <c r="P296" s="0">
        <f>INDEX(Comptes!$H$5:$H$42,MATCH(E296,Comptes!$A$5:$A$42,0))</f>
      </c>
      <c r="Q296" s="0" t="inlineStr">
        <is>
          <t xml:space="preserve">5</t>
        </is>
      </c>
    </row>
    <row r="297">
      <c r="A297" s="4" t="inlineStr">
        <is>
          <t xml:space="preserve">BQ</t>
        </is>
      </c>
      <c r="B297" s="0" t="inlineStr">
        <is>
          <t xml:space="preserve">Banque Fictive</t>
        </is>
      </c>
      <c r="C297" s="0" t="inlineStr">
        <is>
          <t xml:space="preserve">BQ00080</t>
        </is>
      </c>
      <c r="D297" s="10">
        <v>45404</v>
      </c>
      <c r="E297" s="4" t="inlineStr">
        <is>
          <t xml:space="preserve">411000</t>
        </is>
      </c>
      <c r="F297" s="0" t="inlineStr">
        <is>
          <t xml:space="preserve">Clients</t>
        </is>
      </c>
      <c r="G297" s="0" t="inlineStr">
        <is>
          <t xml:space="preserve">ENC-FA2024-0015</t>
        </is>
      </c>
      <c r="H297" s="0" t="inlineStr">
        <is>
          <t xml:space="preserve">Reglement client Clinique du Parc FA2024-0015</t>
        </is>
      </c>
      <c r="I297" s="8">
        <v>0</v>
      </c>
      <c r="J297" s="8">
        <v>30576.84</v>
      </c>
      <c r="K297" s="0" t="inlineStr">
        <is>
          <t xml:space="preserve">AAT</t>
        </is>
      </c>
      <c r="L297" s="0" t="inlineStr">
        <is>
          <t xml:space="preserve">Clinique du Parc</t>
        </is>
      </c>
      <c r="M297" s="8">
        <f>I297-J297</f>
      </c>
      <c r="N297" s="0" t="inlineStr">
        <is>
          <t xml:space="preserve">2024-04</t>
        </is>
      </c>
      <c r="O297" s="0">
        <f>INDEX(Journaux!$E$5:$E$18,MATCH("2024|"&amp;A297,Journaux!$A$5:$A$18,0))</f>
      </c>
      <c r="P297" s="0">
        <f>INDEX(Comptes!$H$5:$H$42,MATCH(E297,Comptes!$A$5:$A$42,0))</f>
      </c>
      <c r="Q297" s="0" t="inlineStr">
        <is>
          <t xml:space="preserve">4</t>
        </is>
      </c>
      <c r="R297" s="7" t="inlineStr">
        <is>
          <t xml:space="preserve">411000|C006</t>
        </is>
      </c>
    </row>
    <row r="298">
      <c r="A298" s="4" t="inlineStr">
        <is>
          <t xml:space="preserve">VT</t>
        </is>
      </c>
      <c r="B298" s="0" t="inlineStr">
        <is>
          <t xml:space="preserve">Journal des ventes</t>
        </is>
      </c>
      <c r="C298" s="0" t="inlineStr">
        <is>
          <t xml:space="preserve">VT00019</t>
        </is>
      </c>
      <c r="D298" s="10">
        <v>45404</v>
      </c>
      <c r="E298" s="4" t="inlineStr">
        <is>
          <t xml:space="preserve">411000</t>
        </is>
      </c>
      <c r="F298" s="0" t="inlineStr">
        <is>
          <t xml:space="preserve">Clients</t>
        </is>
      </c>
      <c r="G298" s="0" t="inlineStr">
        <is>
          <t xml:space="preserve">FA2024-0019</t>
        </is>
      </c>
      <c r="H298" s="0" t="inlineStr">
        <is>
          <t xml:space="preserve">Facture FA2024-0019 Hotel Les Tilleuls</t>
        </is>
      </c>
      <c r="I298" s="8">
        <v>50701.08</v>
      </c>
      <c r="J298" s="8">
        <v>0</v>
      </c>
      <c r="K298" s="0" t="inlineStr">
        <is>
          <t xml:space="preserve">AAX</t>
        </is>
      </c>
      <c r="L298" s="0" t="inlineStr">
        <is>
          <t xml:space="preserve">Hotel Les Tilleuls</t>
        </is>
      </c>
      <c r="M298" s="8">
        <f>I298-J298</f>
      </c>
      <c r="N298" s="0" t="inlineStr">
        <is>
          <t xml:space="preserve">2024-04</t>
        </is>
      </c>
      <c r="O298" s="0">
        <f>INDEX(Journaux!$E$5:$E$18,MATCH("2024|"&amp;A298,Journaux!$A$5:$A$18,0))</f>
      </c>
      <c r="P298" s="0">
        <f>INDEX(Comptes!$H$5:$H$42,MATCH(E298,Comptes!$A$5:$A$42,0))</f>
      </c>
      <c r="Q298" s="0" t="inlineStr">
        <is>
          <t xml:space="preserve">4</t>
        </is>
      </c>
      <c r="R298" s="7" t="inlineStr">
        <is>
          <t xml:space="preserve">411000|C001</t>
        </is>
      </c>
    </row>
    <row r="299">
      <c r="A299" s="4" t="inlineStr">
        <is>
          <t xml:space="preserve">VT</t>
        </is>
      </c>
      <c r="B299" s="0" t="inlineStr">
        <is>
          <t xml:space="preserve">Journal des ventes</t>
        </is>
      </c>
      <c r="C299" s="0" t="inlineStr">
        <is>
          <t xml:space="preserve">VT00019</t>
        </is>
      </c>
      <c r="D299" s="10">
        <v>45404</v>
      </c>
      <c r="E299" s="4" t="inlineStr">
        <is>
          <t xml:space="preserve">701000</t>
        </is>
      </c>
      <c r="F299" s="0" t="inlineStr">
        <is>
          <t xml:space="preserve">Ventes de produits finis</t>
        </is>
      </c>
      <c r="G299" s="0" t="inlineStr">
        <is>
          <t xml:space="preserve">FA2024-0019</t>
        </is>
      </c>
      <c r="H299" s="0" t="inlineStr">
        <is>
          <t xml:space="preserve">Facture FA2024-0019 Hotel Les Tilleuls</t>
        </is>
      </c>
      <c r="I299" s="8">
        <v>0</v>
      </c>
      <c r="J299" s="8">
        <v>42250.9</v>
      </c>
      <c r="K299" s="0"/>
      <c r="L299" s="0"/>
      <c r="M299" s="8">
        <f>I299-J299</f>
      </c>
      <c r="N299" s="0" t="inlineStr">
        <is>
          <t xml:space="preserve">2024-04</t>
        </is>
      </c>
      <c r="O299" s="0">
        <f>INDEX(Journaux!$E$5:$E$18,MATCH("2024|"&amp;A299,Journaux!$A$5:$A$18,0))</f>
      </c>
      <c r="P299" s="0">
        <f>INDEX(Comptes!$H$5:$H$42,MATCH(E299,Comptes!$A$5:$A$42,0))</f>
      </c>
      <c r="Q299" s="0" t="inlineStr">
        <is>
          <t xml:space="preserve">7</t>
        </is>
      </c>
    </row>
    <row r="300">
      <c r="A300" s="4" t="inlineStr">
        <is>
          <t xml:space="preserve">VT</t>
        </is>
      </c>
      <c r="B300" s="0" t="inlineStr">
        <is>
          <t xml:space="preserve">Journal des ventes</t>
        </is>
      </c>
      <c r="C300" s="0" t="inlineStr">
        <is>
          <t xml:space="preserve">VT00019</t>
        </is>
      </c>
      <c r="D300" s="10">
        <v>45404</v>
      </c>
      <c r="E300" s="4" t="inlineStr">
        <is>
          <t xml:space="preserve">445710</t>
        </is>
      </c>
      <c r="F300" s="0" t="inlineStr">
        <is>
          <t xml:space="preserve">TVA collectee</t>
        </is>
      </c>
      <c r="G300" s="0" t="inlineStr">
        <is>
          <t xml:space="preserve">FA2024-0019</t>
        </is>
      </c>
      <c r="H300" s="0" t="inlineStr">
        <is>
          <t xml:space="preserve">Facture FA2024-0019 Hotel Les Tilleuls</t>
        </is>
      </c>
      <c r="I300" s="8">
        <v>0</v>
      </c>
      <c r="J300" s="8">
        <v>8450.18</v>
      </c>
      <c r="K300" s="0"/>
      <c r="L300" s="0"/>
      <c r="M300" s="8">
        <f>I300-J300</f>
      </c>
      <c r="N300" s="0" t="inlineStr">
        <is>
          <t xml:space="preserve">2024-04</t>
        </is>
      </c>
      <c r="O300" s="0">
        <f>INDEX(Journaux!$E$5:$E$18,MATCH("2024|"&amp;A300,Journaux!$A$5:$A$18,0))</f>
      </c>
      <c r="P300" s="0">
        <f>INDEX(Comptes!$H$5:$H$42,MATCH(E300,Comptes!$A$5:$A$42,0))</f>
      </c>
      <c r="Q300" s="0" t="inlineStr">
        <is>
          <t xml:space="preserve">4</t>
        </is>
      </c>
    </row>
    <row r="301">
      <c r="A301" s="4" t="inlineStr">
        <is>
          <t xml:space="preserve">VT</t>
        </is>
      </c>
      <c r="B301" s="0" t="inlineStr">
        <is>
          <t xml:space="preserve">Journal des ventes</t>
        </is>
      </c>
      <c r="C301" s="0" t="inlineStr">
        <is>
          <t xml:space="preserve">VT00020</t>
        </is>
      </c>
      <c r="D301" s="10">
        <v>45404</v>
      </c>
      <c r="E301" s="4" t="inlineStr">
        <is>
          <t xml:space="preserve">411000</t>
        </is>
      </c>
      <c r="F301" s="0" t="inlineStr">
        <is>
          <t xml:space="preserve">Clients</t>
        </is>
      </c>
      <c r="G301" s="0" t="inlineStr">
        <is>
          <t xml:space="preserve">FA2024-0020</t>
        </is>
      </c>
      <c r="H301" s="0" t="inlineStr">
        <is>
          <t xml:space="preserve">Facture FA2024-0020 Agence Mobilis</t>
        </is>
      </c>
      <c r="I301" s="8">
        <v>60133.91</v>
      </c>
      <c r="J301" s="8">
        <v>0</v>
      </c>
      <c r="K301" s="0" t="inlineStr">
        <is>
          <t xml:space="preserve">AAY</t>
        </is>
      </c>
      <c r="L301" s="0" t="inlineStr">
        <is>
          <t xml:space="preserve">Agence Mobilis</t>
        </is>
      </c>
      <c r="M301" s="8">
        <f>I301-J301</f>
      </c>
      <c r="N301" s="0" t="inlineStr">
        <is>
          <t xml:space="preserve">2024-04</t>
        </is>
      </c>
      <c r="O301" s="0">
        <f>INDEX(Journaux!$E$5:$E$18,MATCH("2024|"&amp;A301,Journaux!$A$5:$A$18,0))</f>
      </c>
      <c r="P301" s="0">
        <f>INDEX(Comptes!$H$5:$H$42,MATCH(E301,Comptes!$A$5:$A$42,0))</f>
      </c>
      <c r="Q301" s="0" t="inlineStr">
        <is>
          <t xml:space="preserve">4</t>
        </is>
      </c>
      <c r="R301" s="7" t="inlineStr">
        <is>
          <t xml:space="preserve">411000|C002</t>
        </is>
      </c>
    </row>
    <row r="302">
      <c r="A302" s="4" t="inlineStr">
        <is>
          <t xml:space="preserve">VT</t>
        </is>
      </c>
      <c r="B302" s="0" t="inlineStr">
        <is>
          <t xml:space="preserve">Journal des ventes</t>
        </is>
      </c>
      <c r="C302" s="0" t="inlineStr">
        <is>
          <t xml:space="preserve">VT00020</t>
        </is>
      </c>
      <c r="D302" s="10">
        <v>45404</v>
      </c>
      <c r="E302" s="4" t="inlineStr">
        <is>
          <t xml:space="preserve">701000</t>
        </is>
      </c>
      <c r="F302" s="0" t="inlineStr">
        <is>
          <t xml:space="preserve">Ventes de produits finis</t>
        </is>
      </c>
      <c r="G302" s="0" t="inlineStr">
        <is>
          <t xml:space="preserve">FA2024-0020</t>
        </is>
      </c>
      <c r="H302" s="0" t="inlineStr">
        <is>
          <t xml:space="preserve">Facture FA2024-0020 Agence Mobilis</t>
        </is>
      </c>
      <c r="I302" s="8">
        <v>0</v>
      </c>
      <c r="J302" s="8">
        <v>50111.59</v>
      </c>
      <c r="K302" s="0"/>
      <c r="L302" s="0"/>
      <c r="M302" s="8">
        <f>I302-J302</f>
      </c>
      <c r="N302" s="0" t="inlineStr">
        <is>
          <t xml:space="preserve">2024-04</t>
        </is>
      </c>
      <c r="O302" s="0">
        <f>INDEX(Journaux!$E$5:$E$18,MATCH("2024|"&amp;A302,Journaux!$A$5:$A$18,0))</f>
      </c>
      <c r="P302" s="0">
        <f>INDEX(Comptes!$H$5:$H$42,MATCH(E302,Comptes!$A$5:$A$42,0))</f>
      </c>
      <c r="Q302" s="0" t="inlineStr">
        <is>
          <t xml:space="preserve">7</t>
        </is>
      </c>
    </row>
    <row r="303">
      <c r="A303" s="4" t="inlineStr">
        <is>
          <t xml:space="preserve">VT</t>
        </is>
      </c>
      <c r="B303" s="0" t="inlineStr">
        <is>
          <t xml:space="preserve">Journal des ventes</t>
        </is>
      </c>
      <c r="C303" s="0" t="inlineStr">
        <is>
          <t xml:space="preserve">VT00020</t>
        </is>
      </c>
      <c r="D303" s="10">
        <v>45404</v>
      </c>
      <c r="E303" s="4" t="inlineStr">
        <is>
          <t xml:space="preserve">445710</t>
        </is>
      </c>
      <c r="F303" s="0" t="inlineStr">
        <is>
          <t xml:space="preserve">TVA collectee</t>
        </is>
      </c>
      <c r="G303" s="0" t="inlineStr">
        <is>
          <t xml:space="preserve">FA2024-0020</t>
        </is>
      </c>
      <c r="H303" s="0" t="inlineStr">
        <is>
          <t xml:space="preserve">Facture FA2024-0020 Agence Mobilis</t>
        </is>
      </c>
      <c r="I303" s="8">
        <v>0</v>
      </c>
      <c r="J303" s="8">
        <v>10022.32</v>
      </c>
      <c r="K303" s="0"/>
      <c r="L303" s="0"/>
      <c r="M303" s="8">
        <f>I303-J303</f>
      </c>
      <c r="N303" s="0" t="inlineStr">
        <is>
          <t xml:space="preserve">2024-04</t>
        </is>
      </c>
      <c r="O303" s="0">
        <f>INDEX(Journaux!$E$5:$E$18,MATCH("2024|"&amp;A303,Journaux!$A$5:$A$18,0))</f>
      </c>
      <c r="P303" s="0">
        <f>INDEX(Comptes!$H$5:$H$42,MATCH(E303,Comptes!$A$5:$A$42,0))</f>
      </c>
      <c r="Q303" s="0" t="inlineStr">
        <is>
          <t xml:space="preserve">4</t>
        </is>
      </c>
    </row>
    <row r="304">
      <c r="A304" s="4" t="inlineStr">
        <is>
          <t xml:space="preserve">BQ</t>
        </is>
      </c>
      <c r="B304" s="0" t="inlineStr">
        <is>
          <t xml:space="preserve">Banque Fictive</t>
        </is>
      </c>
      <c r="C304" s="0" t="inlineStr">
        <is>
          <t xml:space="preserve">BQ00138</t>
        </is>
      </c>
      <c r="D304" s="10">
        <v>45406</v>
      </c>
      <c r="E304" s="4" t="inlineStr">
        <is>
          <t xml:space="preserve">401000</t>
        </is>
      </c>
      <c r="F304" s="0" t="inlineStr">
        <is>
          <t xml:space="preserve">Fournisseurs</t>
        </is>
      </c>
      <c r="G304" s="0" t="inlineStr">
        <is>
          <t xml:space="preserve">DEC-F001-2024033</t>
        </is>
      </c>
      <c r="H304" s="0" t="inlineStr">
        <is>
          <t xml:space="preserve">Reglement fournisseur Scierie du Nord F001-2024033</t>
        </is>
      </c>
      <c r="I304" s="8">
        <v>29353.14</v>
      </c>
      <c r="J304" s="8">
        <v>0</v>
      </c>
      <c r="K304" s="0" t="inlineStr">
        <is>
          <t xml:space="preserve">ABZ</t>
        </is>
      </c>
      <c r="L304" s="0" t="inlineStr">
        <is>
          <t xml:space="preserve">Scierie du Nord</t>
        </is>
      </c>
      <c r="M304" s="8">
        <f>I304-J304</f>
      </c>
      <c r="N304" s="0" t="inlineStr">
        <is>
          <t xml:space="preserve">2024-04</t>
        </is>
      </c>
      <c r="O304" s="0">
        <f>INDEX(Journaux!$E$5:$E$18,MATCH("2024|"&amp;A304,Journaux!$A$5:$A$18,0))</f>
      </c>
      <c r="P304" s="0">
        <f>INDEX(Comptes!$H$5:$H$42,MATCH(E304,Comptes!$A$5:$A$42,0))</f>
      </c>
      <c r="Q304" s="0" t="inlineStr">
        <is>
          <t xml:space="preserve">4</t>
        </is>
      </c>
      <c r="R304" s="7" t="inlineStr">
        <is>
          <t xml:space="preserve">401000|F001</t>
        </is>
      </c>
    </row>
    <row r="305">
      <c r="A305" s="4" t="inlineStr">
        <is>
          <t xml:space="preserve">BQ</t>
        </is>
      </c>
      <c r="B305" s="0" t="inlineStr">
        <is>
          <t xml:space="preserve">Banque Fictive</t>
        </is>
      </c>
      <c r="C305" s="0" t="inlineStr">
        <is>
          <t xml:space="preserve">BQ00138</t>
        </is>
      </c>
      <c r="D305" s="10">
        <v>45406</v>
      </c>
      <c r="E305" s="4" t="inlineStr">
        <is>
          <t xml:space="preserve">512000</t>
        </is>
      </c>
      <c r="F305" s="0" t="inlineStr">
        <is>
          <t xml:space="preserve">Banque Fictive</t>
        </is>
      </c>
      <c r="G305" s="0" t="inlineStr">
        <is>
          <t xml:space="preserve">DEC-F001-2024033</t>
        </is>
      </c>
      <c r="H305" s="0" t="inlineStr">
        <is>
          <t xml:space="preserve">Reglement fournisseur Scierie du Nord F001-2024033</t>
        </is>
      </c>
      <c r="I305" s="8">
        <v>0</v>
      </c>
      <c r="J305" s="8">
        <v>29353.14</v>
      </c>
      <c r="K305" s="0"/>
      <c r="L305" s="0"/>
      <c r="M305" s="8">
        <f>I305-J305</f>
      </c>
      <c r="N305" s="0" t="inlineStr">
        <is>
          <t xml:space="preserve">2024-04</t>
        </is>
      </c>
      <c r="O305" s="0">
        <f>INDEX(Journaux!$E$5:$E$18,MATCH("2024|"&amp;A305,Journaux!$A$5:$A$18,0))</f>
      </c>
      <c r="P305" s="0">
        <f>INDEX(Comptes!$H$5:$H$42,MATCH(E305,Comptes!$A$5:$A$42,0))</f>
      </c>
      <c r="Q305" s="0" t="inlineStr">
        <is>
          <t xml:space="preserve">5</t>
        </is>
      </c>
    </row>
    <row r="306">
      <c r="A306" s="4" t="inlineStr">
        <is>
          <t xml:space="preserve">BQ</t>
        </is>
      </c>
      <c r="B306" s="0" t="inlineStr">
        <is>
          <t xml:space="preserve">Banque Fictive</t>
        </is>
      </c>
      <c r="C306" s="0" t="inlineStr">
        <is>
          <t xml:space="preserve">BQ00083</t>
        </is>
      </c>
      <c r="D306" s="10">
        <v>45407</v>
      </c>
      <c r="E306" s="4" t="inlineStr">
        <is>
          <t xml:space="preserve">512000</t>
        </is>
      </c>
      <c r="F306" s="0" t="inlineStr">
        <is>
          <t xml:space="preserve">Banque Fictive</t>
        </is>
      </c>
      <c r="G306" s="0" t="inlineStr">
        <is>
          <t xml:space="preserve">ENC-FA2024-0018</t>
        </is>
      </c>
      <c r="H306" s="0" t="inlineStr">
        <is>
          <t xml:space="preserve">Reglement client Residence Bel Air FA2024-0018</t>
        </is>
      </c>
      <c r="I306" s="8">
        <v>44737.52</v>
      </c>
      <c r="J306" s="8">
        <v>0</v>
      </c>
      <c r="K306" s="0"/>
      <c r="L306" s="0"/>
      <c r="M306" s="8">
        <f>I306-J306</f>
      </c>
      <c r="N306" s="0" t="inlineStr">
        <is>
          <t xml:space="preserve">2024-04</t>
        </is>
      </c>
      <c r="O306" s="0">
        <f>INDEX(Journaux!$E$5:$E$18,MATCH("2024|"&amp;A306,Journaux!$A$5:$A$18,0))</f>
      </c>
      <c r="P306" s="0">
        <f>INDEX(Comptes!$H$5:$H$42,MATCH(E306,Comptes!$A$5:$A$42,0))</f>
      </c>
      <c r="Q306" s="0" t="inlineStr">
        <is>
          <t xml:space="preserve">5</t>
        </is>
      </c>
    </row>
    <row r="307">
      <c r="A307" s="4" t="inlineStr">
        <is>
          <t xml:space="preserve">BQ</t>
        </is>
      </c>
      <c r="B307" s="0" t="inlineStr">
        <is>
          <t xml:space="preserve">Banque Fictive</t>
        </is>
      </c>
      <c r="C307" s="0" t="inlineStr">
        <is>
          <t xml:space="preserve">BQ00083</t>
        </is>
      </c>
      <c r="D307" s="10">
        <v>45407</v>
      </c>
      <c r="E307" s="4" t="inlineStr">
        <is>
          <t xml:space="preserve">411000</t>
        </is>
      </c>
      <c r="F307" s="0" t="inlineStr">
        <is>
          <t xml:space="preserve">Clients</t>
        </is>
      </c>
      <c r="G307" s="0" t="inlineStr">
        <is>
          <t xml:space="preserve">ENC-FA2024-0018</t>
        </is>
      </c>
      <c r="H307" s="0" t="inlineStr">
        <is>
          <t xml:space="preserve">Reglement client Residence Bel Air FA2024-0018</t>
        </is>
      </c>
      <c r="I307" s="8">
        <v>0</v>
      </c>
      <c r="J307" s="8">
        <v>44737.52</v>
      </c>
      <c r="K307" s="0" t="inlineStr">
        <is>
          <t xml:space="preserve">AAW</t>
        </is>
      </c>
      <c r="L307" s="0" t="inlineStr">
        <is>
          <t xml:space="preserve">Residence Bel Air</t>
        </is>
      </c>
      <c r="M307" s="8">
        <f>I307-J307</f>
      </c>
      <c r="N307" s="0" t="inlineStr">
        <is>
          <t xml:space="preserve">2024-04</t>
        </is>
      </c>
      <c r="O307" s="0">
        <f>INDEX(Journaux!$E$5:$E$18,MATCH("2024|"&amp;A307,Journaux!$A$5:$A$18,0))</f>
      </c>
      <c r="P307" s="0">
        <f>INDEX(Comptes!$H$5:$H$42,MATCH(E307,Comptes!$A$5:$A$42,0))</f>
      </c>
      <c r="Q307" s="0" t="inlineStr">
        <is>
          <t xml:space="preserve">4</t>
        </is>
      </c>
      <c r="R307" s="7" t="inlineStr">
        <is>
          <t xml:space="preserve">411000|C003</t>
        </is>
      </c>
    </row>
    <row r="308">
      <c r="A308" s="4" t="inlineStr">
        <is>
          <t xml:space="preserve">VT</t>
        </is>
      </c>
      <c r="B308" s="0" t="inlineStr">
        <is>
          <t xml:space="preserve">Journal des ventes</t>
        </is>
      </c>
      <c r="C308" s="0" t="inlineStr">
        <is>
          <t xml:space="preserve">VT00021</t>
        </is>
      </c>
      <c r="D308" s="10">
        <v>45407</v>
      </c>
      <c r="E308" s="4" t="inlineStr">
        <is>
          <t xml:space="preserve">411000</t>
        </is>
      </c>
      <c r="F308" s="0" t="inlineStr">
        <is>
          <t xml:space="preserve">Clients</t>
        </is>
      </c>
      <c r="G308" s="0" t="inlineStr">
        <is>
          <t xml:space="preserve">FA2024-0021</t>
        </is>
      </c>
      <c r="H308" s="0" t="inlineStr">
        <is>
          <t xml:space="preserve">Facture FA2024-0021 Restaurant Le Comptoir</t>
        </is>
      </c>
      <c r="I308" s="8">
        <v>54422.12</v>
      </c>
      <c r="J308" s="8">
        <v>0</v>
      </c>
      <c r="K308" s="0" t="inlineStr">
        <is>
          <t xml:space="preserve">AAZ</t>
        </is>
      </c>
      <c r="L308" s="0" t="inlineStr">
        <is>
          <t xml:space="preserve">Restaurant Le Comptoir</t>
        </is>
      </c>
      <c r="M308" s="8">
        <f>I308-J308</f>
      </c>
      <c r="N308" s="0" t="inlineStr">
        <is>
          <t xml:space="preserve">2024-04</t>
        </is>
      </c>
      <c r="O308" s="0">
        <f>INDEX(Journaux!$E$5:$E$18,MATCH("2024|"&amp;A308,Journaux!$A$5:$A$18,0))</f>
      </c>
      <c r="P308" s="0">
        <f>INDEX(Comptes!$H$5:$H$42,MATCH(E308,Comptes!$A$5:$A$42,0))</f>
      </c>
      <c r="Q308" s="0" t="inlineStr">
        <is>
          <t xml:space="preserve">4</t>
        </is>
      </c>
      <c r="R308" s="7" t="inlineStr">
        <is>
          <t xml:space="preserve">411000|C005</t>
        </is>
      </c>
    </row>
    <row r="309">
      <c r="A309" s="4" t="inlineStr">
        <is>
          <t xml:space="preserve">VT</t>
        </is>
      </c>
      <c r="B309" s="0" t="inlineStr">
        <is>
          <t xml:space="preserve">Journal des ventes</t>
        </is>
      </c>
      <c r="C309" s="0" t="inlineStr">
        <is>
          <t xml:space="preserve">VT00021</t>
        </is>
      </c>
      <c r="D309" s="10">
        <v>45407</v>
      </c>
      <c r="E309" s="4" t="inlineStr">
        <is>
          <t xml:space="preserve">701000</t>
        </is>
      </c>
      <c r="F309" s="0" t="inlineStr">
        <is>
          <t xml:space="preserve">Ventes de produits finis</t>
        </is>
      </c>
      <c r="G309" s="0" t="inlineStr">
        <is>
          <t xml:space="preserve">FA2024-0021</t>
        </is>
      </c>
      <c r="H309" s="0" t="inlineStr">
        <is>
          <t xml:space="preserve">Facture FA2024-0021 Restaurant Le Comptoir</t>
        </is>
      </c>
      <c r="I309" s="8">
        <v>0</v>
      </c>
      <c r="J309" s="8">
        <v>45351.77</v>
      </c>
      <c r="K309" s="0"/>
      <c r="L309" s="0"/>
      <c r="M309" s="8">
        <f>I309-J309</f>
      </c>
      <c r="N309" s="0" t="inlineStr">
        <is>
          <t xml:space="preserve">2024-04</t>
        </is>
      </c>
      <c r="O309" s="0">
        <f>INDEX(Journaux!$E$5:$E$18,MATCH("2024|"&amp;A309,Journaux!$A$5:$A$18,0))</f>
      </c>
      <c r="P309" s="0">
        <f>INDEX(Comptes!$H$5:$H$42,MATCH(E309,Comptes!$A$5:$A$42,0))</f>
      </c>
      <c r="Q309" s="0" t="inlineStr">
        <is>
          <t xml:space="preserve">7</t>
        </is>
      </c>
    </row>
    <row r="310">
      <c r="A310" s="4" t="inlineStr">
        <is>
          <t xml:space="preserve">VT</t>
        </is>
      </c>
      <c r="B310" s="0" t="inlineStr">
        <is>
          <t xml:space="preserve">Journal des ventes</t>
        </is>
      </c>
      <c r="C310" s="0" t="inlineStr">
        <is>
          <t xml:space="preserve">VT00021</t>
        </is>
      </c>
      <c r="D310" s="10">
        <v>45407</v>
      </c>
      <c r="E310" s="4" t="inlineStr">
        <is>
          <t xml:space="preserve">445710</t>
        </is>
      </c>
      <c r="F310" s="0" t="inlineStr">
        <is>
          <t xml:space="preserve">TVA collectee</t>
        </is>
      </c>
      <c r="G310" s="0" t="inlineStr">
        <is>
          <t xml:space="preserve">FA2024-0021</t>
        </is>
      </c>
      <c r="H310" s="0" t="inlineStr">
        <is>
          <t xml:space="preserve">Facture FA2024-0021 Restaurant Le Comptoir</t>
        </is>
      </c>
      <c r="I310" s="8">
        <v>0</v>
      </c>
      <c r="J310" s="8">
        <v>9070.35</v>
      </c>
      <c r="K310" s="0"/>
      <c r="L310" s="0"/>
      <c r="M310" s="8">
        <f>I310-J310</f>
      </c>
      <c r="N310" s="0" t="inlineStr">
        <is>
          <t xml:space="preserve">2024-04</t>
        </is>
      </c>
      <c r="O310" s="0">
        <f>INDEX(Journaux!$E$5:$E$18,MATCH("2024|"&amp;A310,Journaux!$A$5:$A$18,0))</f>
      </c>
      <c r="P310" s="0">
        <f>INDEX(Comptes!$H$5:$H$42,MATCH(E310,Comptes!$A$5:$A$42,0))</f>
      </c>
      <c r="Q310" s="0" t="inlineStr">
        <is>
          <t xml:space="preserve">4</t>
        </is>
      </c>
    </row>
    <row r="311">
      <c r="A311" s="4" t="inlineStr">
        <is>
          <t xml:space="preserve">BQ</t>
        </is>
      </c>
      <c r="B311" s="0" t="inlineStr">
        <is>
          <t xml:space="preserve">Banque Fictive</t>
        </is>
      </c>
      <c r="C311" s="0" t="inlineStr">
        <is>
          <t xml:space="preserve">BQ00136</t>
        </is>
      </c>
      <c r="D311" s="10">
        <v>45408</v>
      </c>
      <c r="E311" s="4" t="inlineStr">
        <is>
          <t xml:space="preserve">401000</t>
        </is>
      </c>
      <c r="F311" s="0" t="inlineStr">
        <is>
          <t xml:space="preserve">Fournisseurs</t>
        </is>
      </c>
      <c r="G311" s="0" t="inlineStr">
        <is>
          <t xml:space="preserve">DEC-F002-2024031</t>
        </is>
      </c>
      <c r="H311" s="0" t="inlineStr">
        <is>
          <t xml:space="preserve">Reglement fournisseur Quincaillerie Pro Est F002-2024031</t>
        </is>
      </c>
      <c r="I311" s="8">
        <v>32094.94</v>
      </c>
      <c r="J311" s="8">
        <v>0</v>
      </c>
      <c r="K311" s="0" t="inlineStr">
        <is>
          <t xml:space="preserve">ABX</t>
        </is>
      </c>
      <c r="L311" s="0" t="inlineStr">
        <is>
          <t xml:space="preserve">Quincaillerie Pro Est</t>
        </is>
      </c>
      <c r="M311" s="8">
        <f>I311-J311</f>
      </c>
      <c r="N311" s="0" t="inlineStr">
        <is>
          <t xml:space="preserve">2024-04</t>
        </is>
      </c>
      <c r="O311" s="0">
        <f>INDEX(Journaux!$E$5:$E$18,MATCH("2024|"&amp;A311,Journaux!$A$5:$A$18,0))</f>
      </c>
      <c r="P311" s="0">
        <f>INDEX(Comptes!$H$5:$H$42,MATCH(E311,Comptes!$A$5:$A$42,0))</f>
      </c>
      <c r="Q311" s="0" t="inlineStr">
        <is>
          <t xml:space="preserve">4</t>
        </is>
      </c>
      <c r="R311" s="7" t="inlineStr">
        <is>
          <t xml:space="preserve">401000|F002</t>
        </is>
      </c>
    </row>
    <row r="312">
      <c r="A312" s="4" t="inlineStr">
        <is>
          <t xml:space="preserve">BQ</t>
        </is>
      </c>
      <c r="B312" s="0" t="inlineStr">
        <is>
          <t xml:space="preserve">Banque Fictive</t>
        </is>
      </c>
      <c r="C312" s="0" t="inlineStr">
        <is>
          <t xml:space="preserve">BQ00136</t>
        </is>
      </c>
      <c r="D312" s="10">
        <v>45408</v>
      </c>
      <c r="E312" s="4" t="inlineStr">
        <is>
          <t xml:space="preserve">512000</t>
        </is>
      </c>
      <c r="F312" s="0" t="inlineStr">
        <is>
          <t xml:space="preserve">Banque Fictive</t>
        </is>
      </c>
      <c r="G312" s="0" t="inlineStr">
        <is>
          <t xml:space="preserve">DEC-F002-2024031</t>
        </is>
      </c>
      <c r="H312" s="0" t="inlineStr">
        <is>
          <t xml:space="preserve">Reglement fournisseur Quincaillerie Pro Est F002-2024031</t>
        </is>
      </c>
      <c r="I312" s="8">
        <v>0</v>
      </c>
      <c r="J312" s="8">
        <v>32094.94</v>
      </c>
      <c r="K312" s="0"/>
      <c r="L312" s="0"/>
      <c r="M312" s="8">
        <f>I312-J312</f>
      </c>
      <c r="N312" s="0" t="inlineStr">
        <is>
          <t xml:space="preserve">2024-04</t>
        </is>
      </c>
      <c r="O312" s="0">
        <f>INDEX(Journaux!$E$5:$E$18,MATCH("2024|"&amp;A312,Journaux!$A$5:$A$18,0))</f>
      </c>
      <c r="P312" s="0">
        <f>INDEX(Comptes!$H$5:$H$42,MATCH(E312,Comptes!$A$5:$A$42,0))</f>
      </c>
      <c r="Q312" s="0" t="inlineStr">
        <is>
          <t xml:space="preserve">5</t>
        </is>
      </c>
    </row>
    <row r="313">
      <c r="A313" s="4" t="inlineStr">
        <is>
          <t xml:space="preserve">BQ</t>
        </is>
      </c>
      <c r="B313" s="0" t="inlineStr">
        <is>
          <t xml:space="preserve">Banque Fictive</t>
        </is>
      </c>
      <c r="C313" s="0" t="inlineStr">
        <is>
          <t xml:space="preserve">BQ00081</t>
        </is>
      </c>
      <c r="D313" s="10">
        <v>45411</v>
      </c>
      <c r="E313" s="4" t="inlineStr">
        <is>
          <t xml:space="preserve">512000</t>
        </is>
      </c>
      <c r="F313" s="0" t="inlineStr">
        <is>
          <t xml:space="preserve">Banque Fictive</t>
        </is>
      </c>
      <c r="G313" s="0" t="inlineStr">
        <is>
          <t xml:space="preserve">ENC-FA2024-0016</t>
        </is>
      </c>
      <c r="H313" s="0" t="inlineStr">
        <is>
          <t xml:space="preserve">Reglement client Coworking Atelier 9 FA2024-0016</t>
        </is>
      </c>
      <c r="I313" s="8">
        <v>43215.08</v>
      </c>
      <c r="J313" s="8">
        <v>0</v>
      </c>
      <c r="K313" s="0"/>
      <c r="L313" s="0"/>
      <c r="M313" s="8">
        <f>I313-J313</f>
      </c>
      <c r="N313" s="0" t="inlineStr">
        <is>
          <t xml:space="preserve">2024-04</t>
        </is>
      </c>
      <c r="O313" s="0">
        <f>INDEX(Journaux!$E$5:$E$18,MATCH("2024|"&amp;A313,Journaux!$A$5:$A$18,0))</f>
      </c>
      <c r="P313" s="0">
        <f>INDEX(Comptes!$H$5:$H$42,MATCH(E313,Comptes!$A$5:$A$42,0))</f>
      </c>
      <c r="Q313" s="0" t="inlineStr">
        <is>
          <t xml:space="preserve">5</t>
        </is>
      </c>
    </row>
    <row r="314">
      <c r="A314" s="4" t="inlineStr">
        <is>
          <t xml:space="preserve">BQ</t>
        </is>
      </c>
      <c r="B314" s="0" t="inlineStr">
        <is>
          <t xml:space="preserve">Banque Fictive</t>
        </is>
      </c>
      <c r="C314" s="0" t="inlineStr">
        <is>
          <t xml:space="preserve">BQ00081</t>
        </is>
      </c>
      <c r="D314" s="10">
        <v>45411</v>
      </c>
      <c r="E314" s="4" t="inlineStr">
        <is>
          <t xml:space="preserve">411000</t>
        </is>
      </c>
      <c r="F314" s="0" t="inlineStr">
        <is>
          <t xml:space="preserve">Clients</t>
        </is>
      </c>
      <c r="G314" s="0" t="inlineStr">
        <is>
          <t xml:space="preserve">ENC-FA2024-0016</t>
        </is>
      </c>
      <c r="H314" s="0" t="inlineStr">
        <is>
          <t xml:space="preserve">Reglement client Coworking Atelier 9 FA2024-0016</t>
        </is>
      </c>
      <c r="I314" s="8">
        <v>0</v>
      </c>
      <c r="J314" s="8">
        <v>43215.08</v>
      </c>
      <c r="K314" s="0" t="inlineStr">
        <is>
          <t xml:space="preserve">AAU</t>
        </is>
      </c>
      <c r="L314" s="0" t="inlineStr">
        <is>
          <t xml:space="preserve">Coworking Atelier 9</t>
        </is>
      </c>
      <c r="M314" s="8">
        <f>I314-J314</f>
      </c>
      <c r="N314" s="0" t="inlineStr">
        <is>
          <t xml:space="preserve">2024-04</t>
        </is>
      </c>
      <c r="O314" s="0">
        <f>INDEX(Journaux!$E$5:$E$18,MATCH("2024|"&amp;A314,Journaux!$A$5:$A$18,0))</f>
      </c>
      <c r="P314" s="0">
        <f>INDEX(Comptes!$H$5:$H$42,MATCH(E314,Comptes!$A$5:$A$42,0))</f>
      </c>
      <c r="Q314" s="0" t="inlineStr">
        <is>
          <t xml:space="preserve">4</t>
        </is>
      </c>
      <c r="R314" s="7" t="inlineStr">
        <is>
          <t xml:space="preserve">411000|C008</t>
        </is>
      </c>
    </row>
    <row r="315">
      <c r="A315" s="4" t="inlineStr">
        <is>
          <t xml:space="preserve">BQ</t>
        </is>
      </c>
      <c r="B315" s="0" t="inlineStr">
        <is>
          <t xml:space="preserve">Banque Fictive</t>
        </is>
      </c>
      <c r="C315" s="0" t="inlineStr">
        <is>
          <t xml:space="preserve">BQ00010</t>
        </is>
      </c>
      <c r="D315" s="10">
        <v>45412</v>
      </c>
      <c r="E315" s="4" t="inlineStr">
        <is>
          <t xml:space="preserve">421000</t>
        </is>
      </c>
      <c r="F315" s="0" t="inlineStr">
        <is>
          <t xml:space="preserve">Personnel remunerations dues</t>
        </is>
      </c>
      <c r="G315" s="0" t="inlineStr">
        <is>
          <t xml:space="preserve">VIRSAL202404</t>
        </is>
      </c>
      <c r="H315" s="0" t="inlineStr">
        <is>
          <t xml:space="preserve">Virement salaires 04/2024</t>
        </is>
      </c>
      <c r="I315" s="8">
        <v>41012.04</v>
      </c>
      <c r="J315" s="8">
        <v>0</v>
      </c>
      <c r="K315" s="0"/>
      <c r="L315" s="0"/>
      <c r="M315" s="8">
        <f>I315-J315</f>
      </c>
      <c r="N315" s="0" t="inlineStr">
        <is>
          <t xml:space="preserve">2024-04</t>
        </is>
      </c>
      <c r="O315" s="0">
        <f>INDEX(Journaux!$E$5:$E$18,MATCH("2024|"&amp;A315,Journaux!$A$5:$A$18,0))</f>
      </c>
      <c r="P315" s="0">
        <f>INDEX(Comptes!$H$5:$H$42,MATCH(E315,Comptes!$A$5:$A$42,0))</f>
      </c>
      <c r="Q315" s="0" t="inlineStr">
        <is>
          <t xml:space="preserve">4</t>
        </is>
      </c>
    </row>
    <row r="316">
      <c r="A316" s="4" t="inlineStr">
        <is>
          <t xml:space="preserve">BQ</t>
        </is>
      </c>
      <c r="B316" s="0" t="inlineStr">
        <is>
          <t xml:space="preserve">Banque Fictive</t>
        </is>
      </c>
      <c r="C316" s="0" t="inlineStr">
        <is>
          <t xml:space="preserve">BQ00010</t>
        </is>
      </c>
      <c r="D316" s="10">
        <v>45412</v>
      </c>
      <c r="E316" s="4" t="inlineStr">
        <is>
          <t xml:space="preserve">512000</t>
        </is>
      </c>
      <c r="F316" s="0" t="inlineStr">
        <is>
          <t xml:space="preserve">Banque Fictive</t>
        </is>
      </c>
      <c r="G316" s="0" t="inlineStr">
        <is>
          <t xml:space="preserve">VIRSAL202404</t>
        </is>
      </c>
      <c r="H316" s="0" t="inlineStr">
        <is>
          <t xml:space="preserve">Virement salaires 04/2024</t>
        </is>
      </c>
      <c r="I316" s="8">
        <v>0</v>
      </c>
      <c r="J316" s="8">
        <v>41012.04</v>
      </c>
      <c r="K316" s="0"/>
      <c r="L316" s="0"/>
      <c r="M316" s="8">
        <f>I316-J316</f>
      </c>
      <c r="N316" s="0" t="inlineStr">
        <is>
          <t xml:space="preserve">2024-04</t>
        </is>
      </c>
      <c r="O316" s="0">
        <f>INDEX(Journaux!$E$5:$E$18,MATCH("2024|"&amp;A316,Journaux!$A$5:$A$18,0))</f>
      </c>
      <c r="P316" s="0">
        <f>INDEX(Comptes!$H$5:$H$42,MATCH(E316,Comptes!$A$5:$A$42,0))</f>
      </c>
      <c r="Q316" s="0" t="inlineStr">
        <is>
          <t xml:space="preserve">5</t>
        </is>
      </c>
    </row>
    <row r="317">
      <c r="A317" s="4" t="inlineStr">
        <is>
          <t xml:space="preserve">BQ</t>
        </is>
      </c>
      <c r="B317" s="0" t="inlineStr">
        <is>
          <t xml:space="preserve">Banque Fictive</t>
        </is>
      </c>
      <c r="C317" s="0" t="inlineStr">
        <is>
          <t xml:space="preserve">BQ00012</t>
        </is>
      </c>
      <c r="D317" s="10">
        <v>45412</v>
      </c>
      <c r="E317" s="4" t="inlineStr">
        <is>
          <t xml:space="preserve">627000</t>
        </is>
      </c>
      <c r="F317" s="0" t="inlineStr">
        <is>
          <t xml:space="preserve">Services bancaires</t>
        </is>
      </c>
      <c r="G317" s="0" t="inlineStr">
        <is>
          <t xml:space="preserve">FRB202404</t>
        </is>
      </c>
      <c r="H317" s="0" t="inlineStr">
        <is>
          <t xml:space="preserve">Frais bancaires 04/2024</t>
        </is>
      </c>
      <c r="I317" s="8">
        <v>85</v>
      </c>
      <c r="J317" s="8">
        <v>0</v>
      </c>
      <c r="K317" s="0"/>
      <c r="L317" s="0"/>
      <c r="M317" s="8">
        <f>I317-J317</f>
      </c>
      <c r="N317" s="0" t="inlineStr">
        <is>
          <t xml:space="preserve">2024-04</t>
        </is>
      </c>
      <c r="O317" s="0">
        <f>INDEX(Journaux!$E$5:$E$18,MATCH("2024|"&amp;A317,Journaux!$A$5:$A$18,0))</f>
      </c>
      <c r="P317" s="0">
        <f>INDEX(Comptes!$H$5:$H$42,MATCH(E317,Comptes!$A$5:$A$42,0))</f>
      </c>
      <c r="Q317" s="0" t="inlineStr">
        <is>
          <t xml:space="preserve">6</t>
        </is>
      </c>
    </row>
    <row r="318">
      <c r="A318" s="4" t="inlineStr">
        <is>
          <t xml:space="preserve">BQ</t>
        </is>
      </c>
      <c r="B318" s="0" t="inlineStr">
        <is>
          <t xml:space="preserve">Banque Fictive</t>
        </is>
      </c>
      <c r="C318" s="0" t="inlineStr">
        <is>
          <t xml:space="preserve">BQ00012</t>
        </is>
      </c>
      <c r="D318" s="10">
        <v>45412</v>
      </c>
      <c r="E318" s="4" t="inlineStr">
        <is>
          <t xml:space="preserve">512000</t>
        </is>
      </c>
      <c r="F318" s="0" t="inlineStr">
        <is>
          <t xml:space="preserve">Banque Fictive</t>
        </is>
      </c>
      <c r="G318" s="0" t="inlineStr">
        <is>
          <t xml:space="preserve">FRB202404</t>
        </is>
      </c>
      <c r="H318" s="0" t="inlineStr">
        <is>
          <t xml:space="preserve">Frais bancaires 04/2024</t>
        </is>
      </c>
      <c r="I318" s="8">
        <v>0</v>
      </c>
      <c r="J318" s="8">
        <v>85</v>
      </c>
      <c r="K318" s="0"/>
      <c r="L318" s="0"/>
      <c r="M318" s="8">
        <f>I318-J318</f>
      </c>
      <c r="N318" s="0" t="inlineStr">
        <is>
          <t xml:space="preserve">2024-04</t>
        </is>
      </c>
      <c r="O318" s="0">
        <f>INDEX(Journaux!$E$5:$E$18,MATCH("2024|"&amp;A318,Journaux!$A$5:$A$18,0))</f>
      </c>
      <c r="P318" s="0">
        <f>INDEX(Comptes!$H$5:$H$42,MATCH(E318,Comptes!$A$5:$A$42,0))</f>
      </c>
      <c r="Q318" s="0" t="inlineStr">
        <is>
          <t xml:space="preserve">5</t>
        </is>
      </c>
    </row>
    <row r="319">
      <c r="A319" s="4" t="inlineStr">
        <is>
          <t xml:space="preserve">OD</t>
        </is>
      </c>
      <c r="B319" s="0" t="inlineStr">
        <is>
          <t xml:space="preserve">Operations diverses</t>
        </is>
      </c>
      <c r="C319" s="0" t="inlineStr">
        <is>
          <t xml:space="preserve">OD00004</t>
        </is>
      </c>
      <c r="D319" s="10">
        <v>45412</v>
      </c>
      <c r="E319" s="4" t="inlineStr">
        <is>
          <t xml:space="preserve">445710</t>
        </is>
      </c>
      <c r="F319" s="0" t="inlineStr">
        <is>
          <t xml:space="preserve">TVA collectee</t>
        </is>
      </c>
      <c r="G319" s="0" t="inlineStr">
        <is>
          <t xml:space="preserve">CA3-202404</t>
        </is>
      </c>
      <c r="H319" s="0" t="inlineStr">
        <is>
          <t xml:space="preserve">Declaration TVA 04/2024</t>
        </is>
      </c>
      <c r="I319" s="8">
        <v>35000</v>
      </c>
      <c r="J319" s="8">
        <v>0</v>
      </c>
      <c r="K319" s="0"/>
      <c r="L319" s="0"/>
      <c r="M319" s="8">
        <f>I319-J319</f>
      </c>
      <c r="N319" s="0" t="inlineStr">
        <is>
          <t xml:space="preserve">2024-04</t>
        </is>
      </c>
      <c r="O319" s="0">
        <f>INDEX(Journaux!$E$5:$E$18,MATCH("2024|"&amp;A319,Journaux!$A$5:$A$18,0))</f>
      </c>
      <c r="P319" s="0">
        <f>INDEX(Comptes!$H$5:$H$42,MATCH(E319,Comptes!$A$5:$A$42,0))</f>
      </c>
      <c r="Q319" s="0" t="inlineStr">
        <is>
          <t xml:space="preserve">4</t>
        </is>
      </c>
    </row>
    <row r="320">
      <c r="A320" s="4" t="inlineStr">
        <is>
          <t xml:space="preserve">OD</t>
        </is>
      </c>
      <c r="B320" s="0" t="inlineStr">
        <is>
          <t xml:space="preserve">Operations diverses</t>
        </is>
      </c>
      <c r="C320" s="0" t="inlineStr">
        <is>
          <t xml:space="preserve">OD00004</t>
        </is>
      </c>
      <c r="D320" s="10">
        <v>45412</v>
      </c>
      <c r="E320" s="4" t="inlineStr">
        <is>
          <t xml:space="preserve">445660</t>
        </is>
      </c>
      <c r="F320" s="0" t="inlineStr">
        <is>
          <t xml:space="preserve">TVA deductible sur ABS</t>
        </is>
      </c>
      <c r="G320" s="0" t="inlineStr">
        <is>
          <t xml:space="preserve">CA3-202404</t>
        </is>
      </c>
      <c r="H320" s="0" t="inlineStr">
        <is>
          <t xml:space="preserve">Declaration TVA 04/2024</t>
        </is>
      </c>
      <c r="I320" s="8">
        <v>0</v>
      </c>
      <c r="J320" s="8">
        <v>17121.63</v>
      </c>
      <c r="K320" s="0"/>
      <c r="L320" s="0"/>
      <c r="M320" s="8">
        <f>I320-J320</f>
      </c>
      <c r="N320" s="0" t="inlineStr">
        <is>
          <t xml:space="preserve">2024-04</t>
        </is>
      </c>
      <c r="O320" s="0">
        <f>INDEX(Journaux!$E$5:$E$18,MATCH("2024|"&amp;A320,Journaux!$A$5:$A$18,0))</f>
      </c>
      <c r="P320" s="0">
        <f>INDEX(Comptes!$H$5:$H$42,MATCH(E320,Comptes!$A$5:$A$42,0))</f>
      </c>
      <c r="Q320" s="0" t="inlineStr">
        <is>
          <t xml:space="preserve">4</t>
        </is>
      </c>
    </row>
    <row r="321">
      <c r="A321" s="4" t="inlineStr">
        <is>
          <t xml:space="preserve">OD</t>
        </is>
      </c>
      <c r="B321" s="0" t="inlineStr">
        <is>
          <t xml:space="preserve">Operations diverses</t>
        </is>
      </c>
      <c r="C321" s="0" t="inlineStr">
        <is>
          <t xml:space="preserve">OD00004</t>
        </is>
      </c>
      <c r="D321" s="10">
        <v>45412</v>
      </c>
      <c r="E321" s="4" t="inlineStr">
        <is>
          <t xml:space="preserve">445510</t>
        </is>
      </c>
      <c r="F321" s="0" t="inlineStr">
        <is>
          <t xml:space="preserve">TVA a decaisser</t>
        </is>
      </c>
      <c r="G321" s="0" t="inlineStr">
        <is>
          <t xml:space="preserve">CA3-202404</t>
        </is>
      </c>
      <c r="H321" s="0" t="inlineStr">
        <is>
          <t xml:space="preserve">Declaration TVA 04/2024</t>
        </is>
      </c>
      <c r="I321" s="8">
        <v>0</v>
      </c>
      <c r="J321" s="8">
        <v>17878.37</v>
      </c>
      <c r="K321" s="0"/>
      <c r="L321" s="0"/>
      <c r="M321" s="8">
        <f>I321-J321</f>
      </c>
      <c r="N321" s="0" t="inlineStr">
        <is>
          <t xml:space="preserve">2024-04</t>
        </is>
      </c>
      <c r="O321" s="0">
        <f>INDEX(Journaux!$E$5:$E$18,MATCH("2024|"&amp;A321,Journaux!$A$5:$A$18,0))</f>
      </c>
      <c r="P321" s="0">
        <f>INDEX(Comptes!$H$5:$H$42,MATCH(E321,Comptes!$A$5:$A$42,0))</f>
      </c>
      <c r="Q321" s="0" t="inlineStr">
        <is>
          <t xml:space="preserve">4</t>
        </is>
      </c>
    </row>
    <row r="322">
      <c r="A322" s="4" t="inlineStr">
        <is>
          <t xml:space="preserve">SA</t>
        </is>
      </c>
      <c r="B322" s="0" t="inlineStr">
        <is>
          <t xml:space="preserve">Salaires</t>
        </is>
      </c>
      <c r="C322" s="0" t="inlineStr">
        <is>
          <t xml:space="preserve">SA00004</t>
        </is>
      </c>
      <c r="D322" s="10">
        <v>45412</v>
      </c>
      <c r="E322" s="4" t="inlineStr">
        <is>
          <t xml:space="preserve">641000</t>
        </is>
      </c>
      <c r="F322" s="0" t="inlineStr">
        <is>
          <t xml:space="preserve">Remunerations du personnel</t>
        </is>
      </c>
      <c r="G322" s="0" t="inlineStr">
        <is>
          <t xml:space="preserve">PAIE202404</t>
        </is>
      </c>
      <c r="H322" s="0" t="inlineStr">
        <is>
          <t xml:space="preserve">Paie 04/2024</t>
        </is>
      </c>
      <c r="I322" s="8">
        <v>52579.54</v>
      </c>
      <c r="J322" s="8">
        <v>0</v>
      </c>
      <c r="K322" s="0"/>
      <c r="L322" s="0"/>
      <c r="M322" s="8">
        <f>I322-J322</f>
      </c>
      <c r="N322" s="0" t="inlineStr">
        <is>
          <t xml:space="preserve">2024-04</t>
        </is>
      </c>
      <c r="O322" s="0">
        <f>INDEX(Journaux!$E$5:$E$18,MATCH("2024|"&amp;A322,Journaux!$A$5:$A$18,0))</f>
      </c>
      <c r="P322" s="0">
        <f>INDEX(Comptes!$H$5:$H$42,MATCH(E322,Comptes!$A$5:$A$42,0))</f>
      </c>
      <c r="Q322" s="0" t="inlineStr">
        <is>
          <t xml:space="preserve">6</t>
        </is>
      </c>
    </row>
    <row r="323">
      <c r="A323" s="4" t="inlineStr">
        <is>
          <t xml:space="preserve">SA</t>
        </is>
      </c>
      <c r="B323" s="0" t="inlineStr">
        <is>
          <t xml:space="preserve">Salaires</t>
        </is>
      </c>
      <c r="C323" s="0" t="inlineStr">
        <is>
          <t xml:space="preserve">SA00004</t>
        </is>
      </c>
      <c r="D323" s="10">
        <v>45412</v>
      </c>
      <c r="E323" s="4" t="inlineStr">
        <is>
          <t xml:space="preserve">645100</t>
        </is>
      </c>
      <c r="F323" s="0" t="inlineStr">
        <is>
          <t xml:space="preserve">Cotisations URSSAF</t>
        </is>
      </c>
      <c r="G323" s="0" t="inlineStr">
        <is>
          <t xml:space="preserve">PAIE202404</t>
        </is>
      </c>
      <c r="H323" s="0" t="inlineStr">
        <is>
          <t xml:space="preserve">Paie 04/2024</t>
        </is>
      </c>
      <c r="I323" s="8">
        <v>22083.41</v>
      </c>
      <c r="J323" s="8">
        <v>0</v>
      </c>
      <c r="K323" s="0"/>
      <c r="L323" s="0"/>
      <c r="M323" s="8">
        <f>I323-J323</f>
      </c>
      <c r="N323" s="0" t="inlineStr">
        <is>
          <t xml:space="preserve">2024-04</t>
        </is>
      </c>
      <c r="O323" s="0">
        <f>INDEX(Journaux!$E$5:$E$18,MATCH("2024|"&amp;A323,Journaux!$A$5:$A$18,0))</f>
      </c>
      <c r="P323" s="0">
        <f>INDEX(Comptes!$H$5:$H$42,MATCH(E323,Comptes!$A$5:$A$42,0))</f>
      </c>
      <c r="Q323" s="0" t="inlineStr">
        <is>
          <t xml:space="preserve">6</t>
        </is>
      </c>
    </row>
    <row r="324">
      <c r="A324" s="4" t="inlineStr">
        <is>
          <t xml:space="preserve">SA</t>
        </is>
      </c>
      <c r="B324" s="0" t="inlineStr">
        <is>
          <t xml:space="preserve">Salaires</t>
        </is>
      </c>
      <c r="C324" s="0" t="inlineStr">
        <is>
          <t xml:space="preserve">SA00004</t>
        </is>
      </c>
      <c r="D324" s="10">
        <v>45412</v>
      </c>
      <c r="E324" s="4" t="inlineStr">
        <is>
          <t xml:space="preserve">421000</t>
        </is>
      </c>
      <c r="F324" s="0" t="inlineStr">
        <is>
          <t xml:space="preserve">Personnel remunerations dues</t>
        </is>
      </c>
      <c r="G324" s="0" t="inlineStr">
        <is>
          <t xml:space="preserve">PAIE202404</t>
        </is>
      </c>
      <c r="H324" s="0" t="inlineStr">
        <is>
          <t xml:space="preserve">Paie 04/2024</t>
        </is>
      </c>
      <c r="I324" s="8">
        <v>0</v>
      </c>
      <c r="J324" s="8">
        <v>41012.04</v>
      </c>
      <c r="K324" s="0"/>
      <c r="L324" s="0"/>
      <c r="M324" s="8">
        <f>I324-J324</f>
      </c>
      <c r="N324" s="0" t="inlineStr">
        <is>
          <t xml:space="preserve">2024-04</t>
        </is>
      </c>
      <c r="O324" s="0">
        <f>INDEX(Journaux!$E$5:$E$18,MATCH("2024|"&amp;A324,Journaux!$A$5:$A$18,0))</f>
      </c>
      <c r="P324" s="0">
        <f>INDEX(Comptes!$H$5:$H$42,MATCH(E324,Comptes!$A$5:$A$42,0))</f>
      </c>
      <c r="Q324" s="0" t="inlineStr">
        <is>
          <t xml:space="preserve">4</t>
        </is>
      </c>
    </row>
    <row r="325">
      <c r="A325" s="4" t="inlineStr">
        <is>
          <t xml:space="preserve">SA</t>
        </is>
      </c>
      <c r="B325" s="0" t="inlineStr">
        <is>
          <t xml:space="preserve">Salaires</t>
        </is>
      </c>
      <c r="C325" s="0" t="inlineStr">
        <is>
          <t xml:space="preserve">SA00004</t>
        </is>
      </c>
      <c r="D325" s="10">
        <v>45412</v>
      </c>
      <c r="E325" s="4" t="inlineStr">
        <is>
          <t xml:space="preserve">431000</t>
        </is>
      </c>
      <c r="F325" s="0" t="inlineStr">
        <is>
          <t xml:space="preserve">Securite sociale</t>
        </is>
      </c>
      <c r="G325" s="0" t="inlineStr">
        <is>
          <t xml:space="preserve">PAIE202404</t>
        </is>
      </c>
      <c r="H325" s="0" t="inlineStr">
        <is>
          <t xml:space="preserve">Paie 04/2024</t>
        </is>
      </c>
      <c r="I325" s="8">
        <v>0</v>
      </c>
      <c r="J325" s="8">
        <v>33650.91</v>
      </c>
      <c r="K325" s="0"/>
      <c r="L325" s="0"/>
      <c r="M325" s="8">
        <f>I325-J325</f>
      </c>
      <c r="N325" s="0" t="inlineStr">
        <is>
          <t xml:space="preserve">2024-04</t>
        </is>
      </c>
      <c r="O325" s="0">
        <f>INDEX(Journaux!$E$5:$E$18,MATCH("2024|"&amp;A325,Journaux!$A$5:$A$18,0))</f>
      </c>
      <c r="P325" s="0">
        <f>INDEX(Comptes!$H$5:$H$42,MATCH(E325,Comptes!$A$5:$A$42,0))</f>
      </c>
      <c r="Q325" s="0" t="inlineStr">
        <is>
          <t xml:space="preserve">4</t>
        </is>
      </c>
    </row>
    <row r="326">
      <c r="A326" s="4" t="inlineStr">
        <is>
          <t xml:space="preserve">VT</t>
        </is>
      </c>
      <c r="B326" s="0" t="inlineStr">
        <is>
          <t xml:space="preserve">Journal des ventes</t>
        </is>
      </c>
      <c r="C326" s="0" t="inlineStr">
        <is>
          <t xml:space="preserve">VT00025</t>
        </is>
      </c>
      <c r="D326" s="10">
        <v>45415</v>
      </c>
      <c r="E326" s="4" t="inlineStr">
        <is>
          <t xml:space="preserve">411000</t>
        </is>
      </c>
      <c r="F326" s="0" t="inlineStr">
        <is>
          <t xml:space="preserve">Clients</t>
        </is>
      </c>
      <c r="G326" s="0" t="inlineStr">
        <is>
          <t xml:space="preserve">FA2024-0025</t>
        </is>
      </c>
      <c r="H326" s="0" t="inlineStr">
        <is>
          <t xml:space="preserve">Facture FA2024-0025 Agence Mobilis</t>
        </is>
      </c>
      <c r="I326" s="8">
        <v>34206.12</v>
      </c>
      <c r="J326" s="8">
        <v>0</v>
      </c>
      <c r="K326" s="0" t="inlineStr">
        <is>
          <t xml:space="preserve">AAD</t>
        </is>
      </c>
      <c r="L326" s="0" t="inlineStr">
        <is>
          <t xml:space="preserve">Agence Mobilis</t>
        </is>
      </c>
      <c r="M326" s="8">
        <f>I326-J326</f>
      </c>
      <c r="N326" s="0" t="inlineStr">
        <is>
          <t xml:space="preserve">2024-05</t>
        </is>
      </c>
      <c r="O326" s="0">
        <f>INDEX(Journaux!$E$5:$E$18,MATCH("2024|"&amp;A326,Journaux!$A$5:$A$18,0))</f>
      </c>
      <c r="P326" s="0">
        <f>INDEX(Comptes!$H$5:$H$42,MATCH(E326,Comptes!$A$5:$A$42,0))</f>
      </c>
      <c r="Q326" s="0" t="inlineStr">
        <is>
          <t xml:space="preserve">4</t>
        </is>
      </c>
      <c r="R326" s="7" t="inlineStr">
        <is>
          <t xml:space="preserve">411000|C002</t>
        </is>
      </c>
    </row>
    <row r="327">
      <c r="A327" s="4" t="inlineStr">
        <is>
          <t xml:space="preserve">VT</t>
        </is>
      </c>
      <c r="B327" s="0" t="inlineStr">
        <is>
          <t xml:space="preserve">Journal des ventes</t>
        </is>
      </c>
      <c r="C327" s="0" t="inlineStr">
        <is>
          <t xml:space="preserve">VT00025</t>
        </is>
      </c>
      <c r="D327" s="10">
        <v>45415</v>
      </c>
      <c r="E327" s="4" t="inlineStr">
        <is>
          <t xml:space="preserve">701000</t>
        </is>
      </c>
      <c r="F327" s="0" t="inlineStr">
        <is>
          <t xml:space="preserve">Ventes de produits finis</t>
        </is>
      </c>
      <c r="G327" s="0" t="inlineStr">
        <is>
          <t xml:space="preserve">FA2024-0025</t>
        </is>
      </c>
      <c r="H327" s="0" t="inlineStr">
        <is>
          <t xml:space="preserve">Facture FA2024-0025 Agence Mobilis</t>
        </is>
      </c>
      <c r="I327" s="8">
        <v>0</v>
      </c>
      <c r="J327" s="8">
        <v>28505.1</v>
      </c>
      <c r="K327" s="0"/>
      <c r="L327" s="0"/>
      <c r="M327" s="8">
        <f>I327-J327</f>
      </c>
      <c r="N327" s="0" t="inlineStr">
        <is>
          <t xml:space="preserve">2024-05</t>
        </is>
      </c>
      <c r="O327" s="0">
        <f>INDEX(Journaux!$E$5:$E$18,MATCH("2024|"&amp;A327,Journaux!$A$5:$A$18,0))</f>
      </c>
      <c r="P327" s="0">
        <f>INDEX(Comptes!$H$5:$H$42,MATCH(E327,Comptes!$A$5:$A$42,0))</f>
      </c>
      <c r="Q327" s="0" t="inlineStr">
        <is>
          <t xml:space="preserve">7</t>
        </is>
      </c>
    </row>
    <row r="328">
      <c r="A328" s="4" t="inlineStr">
        <is>
          <t xml:space="preserve">VT</t>
        </is>
      </c>
      <c r="B328" s="0" t="inlineStr">
        <is>
          <t xml:space="preserve">Journal des ventes</t>
        </is>
      </c>
      <c r="C328" s="0" t="inlineStr">
        <is>
          <t xml:space="preserve">VT00025</t>
        </is>
      </c>
      <c r="D328" s="10">
        <v>45415</v>
      </c>
      <c r="E328" s="4" t="inlineStr">
        <is>
          <t xml:space="preserve">445710</t>
        </is>
      </c>
      <c r="F328" s="0" t="inlineStr">
        <is>
          <t xml:space="preserve">TVA collectee</t>
        </is>
      </c>
      <c r="G328" s="0" t="inlineStr">
        <is>
          <t xml:space="preserve">FA2024-0025</t>
        </is>
      </c>
      <c r="H328" s="0" t="inlineStr">
        <is>
          <t xml:space="preserve">Facture FA2024-0025 Agence Mobilis</t>
        </is>
      </c>
      <c r="I328" s="8">
        <v>0</v>
      </c>
      <c r="J328" s="8">
        <v>5701.02</v>
      </c>
      <c r="K328" s="0"/>
      <c r="L328" s="0"/>
      <c r="M328" s="8">
        <f>I328-J328</f>
      </c>
      <c r="N328" s="0" t="inlineStr">
        <is>
          <t xml:space="preserve">2024-05</t>
        </is>
      </c>
      <c r="O328" s="0">
        <f>INDEX(Journaux!$E$5:$E$18,MATCH("2024|"&amp;A328,Journaux!$A$5:$A$18,0))</f>
      </c>
      <c r="P328" s="0">
        <f>INDEX(Comptes!$H$5:$H$42,MATCH(E328,Comptes!$A$5:$A$42,0))</f>
      </c>
      <c r="Q328" s="0" t="inlineStr">
        <is>
          <t xml:space="preserve">4</t>
        </is>
      </c>
    </row>
    <row r="329">
      <c r="A329" s="4" t="inlineStr">
        <is>
          <t xml:space="preserve">AC</t>
        </is>
      </c>
      <c r="B329" s="0" t="inlineStr">
        <is>
          <t xml:space="preserve">Journal des achats</t>
        </is>
      </c>
      <c r="C329" s="0" t="inlineStr">
        <is>
          <t xml:space="preserve">AC00029</t>
        </is>
      </c>
      <c r="D329" s="10">
        <v>45417</v>
      </c>
      <c r="E329" s="4" t="inlineStr">
        <is>
          <t xml:space="preserve">613200</t>
        </is>
      </c>
      <c r="F329" s="0" t="inlineStr">
        <is>
          <t xml:space="preserve">Locations immobilieres</t>
        </is>
      </c>
      <c r="G329" s="0" t="inlineStr">
        <is>
          <t xml:space="preserve">F004-202405</t>
        </is>
      </c>
      <c r="H329" s="0" t="inlineStr">
        <is>
          <t xml:space="preserve">Facture SCI Les Halles 2024-05</t>
        </is>
      </c>
      <c r="I329" s="8">
        <v>8500</v>
      </c>
      <c r="J329" s="8">
        <v>0</v>
      </c>
      <c r="K329" s="0"/>
      <c r="L329" s="0"/>
      <c r="M329" s="8">
        <f>I329-J329</f>
      </c>
      <c r="N329" s="0" t="inlineStr">
        <is>
          <t xml:space="preserve">2024-05</t>
        </is>
      </c>
      <c r="O329" s="0">
        <f>INDEX(Journaux!$E$5:$E$18,MATCH("2024|"&amp;A329,Journaux!$A$5:$A$18,0))</f>
      </c>
      <c r="P329" s="0">
        <f>INDEX(Comptes!$H$5:$H$42,MATCH(E329,Comptes!$A$5:$A$42,0))</f>
      </c>
      <c r="Q329" s="0" t="inlineStr">
        <is>
          <t xml:space="preserve">6</t>
        </is>
      </c>
    </row>
    <row r="330">
      <c r="A330" s="4" t="inlineStr">
        <is>
          <t xml:space="preserve">AC</t>
        </is>
      </c>
      <c r="B330" s="0" t="inlineStr">
        <is>
          <t xml:space="preserve">Journal des achats</t>
        </is>
      </c>
      <c r="C330" s="0" t="inlineStr">
        <is>
          <t xml:space="preserve">AC00029</t>
        </is>
      </c>
      <c r="D330" s="10">
        <v>45417</v>
      </c>
      <c r="E330" s="4" t="inlineStr">
        <is>
          <t xml:space="preserve">445660</t>
        </is>
      </c>
      <c r="F330" s="0" t="inlineStr">
        <is>
          <t xml:space="preserve">TVA deductible sur ABS</t>
        </is>
      </c>
      <c r="G330" s="0" t="inlineStr">
        <is>
          <t xml:space="preserve">F004-202405</t>
        </is>
      </c>
      <c r="H330" s="0" t="inlineStr">
        <is>
          <t xml:space="preserve">Facture SCI Les Halles 2024-05</t>
        </is>
      </c>
      <c r="I330" s="8">
        <v>1700</v>
      </c>
      <c r="J330" s="8">
        <v>0</v>
      </c>
      <c r="K330" s="0"/>
      <c r="L330" s="0"/>
      <c r="M330" s="8">
        <f>I330-J330</f>
      </c>
      <c r="N330" s="0" t="inlineStr">
        <is>
          <t xml:space="preserve">2024-05</t>
        </is>
      </c>
      <c r="O330" s="0">
        <f>INDEX(Journaux!$E$5:$E$18,MATCH("2024|"&amp;A330,Journaux!$A$5:$A$18,0))</f>
      </c>
      <c r="P330" s="0">
        <f>INDEX(Comptes!$H$5:$H$42,MATCH(E330,Comptes!$A$5:$A$42,0))</f>
      </c>
      <c r="Q330" s="0" t="inlineStr">
        <is>
          <t xml:space="preserve">4</t>
        </is>
      </c>
    </row>
    <row r="331">
      <c r="A331" s="4" t="inlineStr">
        <is>
          <t xml:space="preserve">AC</t>
        </is>
      </c>
      <c r="B331" s="0" t="inlineStr">
        <is>
          <t xml:space="preserve">Journal des achats</t>
        </is>
      </c>
      <c r="C331" s="0" t="inlineStr">
        <is>
          <t xml:space="preserve">AC00029</t>
        </is>
      </c>
      <c r="D331" s="10">
        <v>45417</v>
      </c>
      <c r="E331" s="4" t="inlineStr">
        <is>
          <t xml:space="preserve">401000</t>
        </is>
      </c>
      <c r="F331" s="0" t="inlineStr">
        <is>
          <t xml:space="preserve">Fournisseurs</t>
        </is>
      </c>
      <c r="G331" s="0" t="inlineStr">
        <is>
          <t xml:space="preserve">F004-202405</t>
        </is>
      </c>
      <c r="H331" s="0" t="inlineStr">
        <is>
          <t xml:space="preserve">Facture SCI Les Halles 2024-05</t>
        </is>
      </c>
      <c r="I331" s="8">
        <v>0</v>
      </c>
      <c r="J331" s="8">
        <v>10200</v>
      </c>
      <c r="K331" s="0" t="inlineStr">
        <is>
          <t xml:space="preserve">ACO</t>
        </is>
      </c>
      <c r="L331" s="0" t="inlineStr">
        <is>
          <t xml:space="preserve">SCI Les Halles</t>
        </is>
      </c>
      <c r="M331" s="8">
        <f>I331-J331</f>
      </c>
      <c r="N331" s="0" t="inlineStr">
        <is>
          <t xml:space="preserve">2024-05</t>
        </is>
      </c>
      <c r="O331" s="0">
        <f>INDEX(Journaux!$E$5:$E$18,MATCH("2024|"&amp;A331,Journaux!$A$5:$A$18,0))</f>
      </c>
      <c r="P331" s="0">
        <f>INDEX(Comptes!$H$5:$H$42,MATCH(E331,Comptes!$A$5:$A$42,0))</f>
      </c>
      <c r="Q331" s="0" t="inlineStr">
        <is>
          <t xml:space="preserve">4</t>
        </is>
      </c>
      <c r="R331" s="7" t="inlineStr">
        <is>
          <t xml:space="preserve">401000|F004</t>
        </is>
      </c>
    </row>
    <row r="332">
      <c r="A332" s="4" t="inlineStr">
        <is>
          <t xml:space="preserve">AC</t>
        </is>
      </c>
      <c r="B332" s="0" t="inlineStr">
        <is>
          <t xml:space="preserve">Journal des achats</t>
        </is>
      </c>
      <c r="C332" s="0" t="inlineStr">
        <is>
          <t xml:space="preserve">AC00030</t>
        </is>
      </c>
      <c r="D332" s="10">
        <v>45417</v>
      </c>
      <c r="E332" s="4" t="inlineStr">
        <is>
          <t xml:space="preserve">606100</t>
        </is>
      </c>
      <c r="F332" s="0" t="inlineStr">
        <is>
          <t xml:space="preserve">Fournitures non stockables energie</t>
        </is>
      </c>
      <c r="G332" s="0" t="inlineStr">
        <is>
          <t xml:space="preserve">F005-202405</t>
        </is>
      </c>
      <c r="H332" s="0" t="inlineStr">
        <is>
          <t xml:space="preserve">Facture Energie Plus 2024-05</t>
        </is>
      </c>
      <c r="I332" s="8">
        <v>2563.36</v>
      </c>
      <c r="J332" s="8">
        <v>0</v>
      </c>
      <c r="K332" s="0"/>
      <c r="L332" s="0"/>
      <c r="M332" s="8">
        <f>I332-J332</f>
      </c>
      <c r="N332" s="0" t="inlineStr">
        <is>
          <t xml:space="preserve">2024-05</t>
        </is>
      </c>
      <c r="O332" s="0">
        <f>INDEX(Journaux!$E$5:$E$18,MATCH("2024|"&amp;A332,Journaux!$A$5:$A$18,0))</f>
      </c>
      <c r="P332" s="0">
        <f>INDEX(Comptes!$H$5:$H$42,MATCH(E332,Comptes!$A$5:$A$42,0))</f>
      </c>
      <c r="Q332" s="0" t="inlineStr">
        <is>
          <t xml:space="preserve">6</t>
        </is>
      </c>
    </row>
    <row r="333">
      <c r="A333" s="4" t="inlineStr">
        <is>
          <t xml:space="preserve">AC</t>
        </is>
      </c>
      <c r="B333" s="0" t="inlineStr">
        <is>
          <t xml:space="preserve">Journal des achats</t>
        </is>
      </c>
      <c r="C333" s="0" t="inlineStr">
        <is>
          <t xml:space="preserve">AC00030</t>
        </is>
      </c>
      <c r="D333" s="10">
        <v>45417</v>
      </c>
      <c r="E333" s="4" t="inlineStr">
        <is>
          <t xml:space="preserve">445660</t>
        </is>
      </c>
      <c r="F333" s="0" t="inlineStr">
        <is>
          <t xml:space="preserve">TVA deductible sur ABS</t>
        </is>
      </c>
      <c r="G333" s="0" t="inlineStr">
        <is>
          <t xml:space="preserve">F005-202405</t>
        </is>
      </c>
      <c r="H333" s="0" t="inlineStr">
        <is>
          <t xml:space="preserve">Facture Energie Plus 2024-05</t>
        </is>
      </c>
      <c r="I333" s="8">
        <v>512.67</v>
      </c>
      <c r="J333" s="8">
        <v>0</v>
      </c>
      <c r="K333" s="0"/>
      <c r="L333" s="0"/>
      <c r="M333" s="8">
        <f>I333-J333</f>
      </c>
      <c r="N333" s="0" t="inlineStr">
        <is>
          <t xml:space="preserve">2024-05</t>
        </is>
      </c>
      <c r="O333" s="0">
        <f>INDEX(Journaux!$E$5:$E$18,MATCH("2024|"&amp;A333,Journaux!$A$5:$A$18,0))</f>
      </c>
      <c r="P333" s="0">
        <f>INDEX(Comptes!$H$5:$H$42,MATCH(E333,Comptes!$A$5:$A$42,0))</f>
      </c>
      <c r="Q333" s="0" t="inlineStr">
        <is>
          <t xml:space="preserve">4</t>
        </is>
      </c>
    </row>
    <row r="334">
      <c r="A334" s="4" t="inlineStr">
        <is>
          <t xml:space="preserve">AC</t>
        </is>
      </c>
      <c r="B334" s="0" t="inlineStr">
        <is>
          <t xml:space="preserve">Journal des achats</t>
        </is>
      </c>
      <c r="C334" s="0" t="inlineStr">
        <is>
          <t xml:space="preserve">AC00030</t>
        </is>
      </c>
      <c r="D334" s="10">
        <v>45417</v>
      </c>
      <c r="E334" s="4" t="inlineStr">
        <is>
          <t xml:space="preserve">401000</t>
        </is>
      </c>
      <c r="F334" s="0" t="inlineStr">
        <is>
          <t xml:space="preserve">Fournisseurs</t>
        </is>
      </c>
      <c r="G334" s="0" t="inlineStr">
        <is>
          <t xml:space="preserve">F005-202405</t>
        </is>
      </c>
      <c r="H334" s="0" t="inlineStr">
        <is>
          <t xml:space="preserve">Facture Energie Plus 2024-05</t>
        </is>
      </c>
      <c r="I334" s="8">
        <v>0</v>
      </c>
      <c r="J334" s="8">
        <v>3076.03</v>
      </c>
      <c r="K334" s="0" t="inlineStr">
        <is>
          <t xml:space="preserve">ACP</t>
        </is>
      </c>
      <c r="L334" s="0" t="inlineStr">
        <is>
          <t xml:space="preserve">Energie Plus</t>
        </is>
      </c>
      <c r="M334" s="8">
        <f>I334-J334</f>
      </c>
      <c r="N334" s="0" t="inlineStr">
        <is>
          <t xml:space="preserve">2024-05</t>
        </is>
      </c>
      <c r="O334" s="0">
        <f>INDEX(Journaux!$E$5:$E$18,MATCH("2024|"&amp;A334,Journaux!$A$5:$A$18,0))</f>
      </c>
      <c r="P334" s="0">
        <f>INDEX(Comptes!$H$5:$H$42,MATCH(E334,Comptes!$A$5:$A$42,0))</f>
      </c>
      <c r="Q334" s="0" t="inlineStr">
        <is>
          <t xml:space="preserve">4</t>
        </is>
      </c>
      <c r="R334" s="7" t="inlineStr">
        <is>
          <t xml:space="preserve">401000|F005</t>
        </is>
      </c>
    </row>
    <row r="335">
      <c r="A335" s="4" t="inlineStr">
        <is>
          <t xml:space="preserve">AC</t>
        </is>
      </c>
      <c r="B335" s="0" t="inlineStr">
        <is>
          <t xml:space="preserve">Journal des achats</t>
        </is>
      </c>
      <c r="C335" s="0" t="inlineStr">
        <is>
          <t xml:space="preserve">AC00031</t>
        </is>
      </c>
      <c r="D335" s="10">
        <v>45417</v>
      </c>
      <c r="E335" s="4" t="inlineStr">
        <is>
          <t xml:space="preserve">626000</t>
        </is>
      </c>
      <c r="F335" s="0" t="inlineStr">
        <is>
          <t xml:space="preserve">Frais postaux et telecommunications</t>
        </is>
      </c>
      <c r="G335" s="0" t="inlineStr">
        <is>
          <t xml:space="preserve">F008-202405</t>
        </is>
      </c>
      <c r="H335" s="0" t="inlineStr">
        <is>
          <t xml:space="preserve">Facture Telecom Pro 2024-05</t>
        </is>
      </c>
      <c r="I335" s="8">
        <v>480</v>
      </c>
      <c r="J335" s="8">
        <v>0</v>
      </c>
      <c r="K335" s="0"/>
      <c r="L335" s="0"/>
      <c r="M335" s="8">
        <f>I335-J335</f>
      </c>
      <c r="N335" s="0" t="inlineStr">
        <is>
          <t xml:space="preserve">2024-05</t>
        </is>
      </c>
      <c r="O335" s="0">
        <f>INDEX(Journaux!$E$5:$E$18,MATCH("2024|"&amp;A335,Journaux!$A$5:$A$18,0))</f>
      </c>
      <c r="P335" s="0">
        <f>INDEX(Comptes!$H$5:$H$42,MATCH(E335,Comptes!$A$5:$A$42,0))</f>
      </c>
      <c r="Q335" s="0" t="inlineStr">
        <is>
          <t xml:space="preserve">6</t>
        </is>
      </c>
    </row>
    <row r="336">
      <c r="A336" s="4" t="inlineStr">
        <is>
          <t xml:space="preserve">AC</t>
        </is>
      </c>
      <c r="B336" s="0" t="inlineStr">
        <is>
          <t xml:space="preserve">Journal des achats</t>
        </is>
      </c>
      <c r="C336" s="0" t="inlineStr">
        <is>
          <t xml:space="preserve">AC00031</t>
        </is>
      </c>
      <c r="D336" s="10">
        <v>45417</v>
      </c>
      <c r="E336" s="4" t="inlineStr">
        <is>
          <t xml:space="preserve">445660</t>
        </is>
      </c>
      <c r="F336" s="0" t="inlineStr">
        <is>
          <t xml:space="preserve">TVA deductible sur ABS</t>
        </is>
      </c>
      <c r="G336" s="0" t="inlineStr">
        <is>
          <t xml:space="preserve">F008-202405</t>
        </is>
      </c>
      <c r="H336" s="0" t="inlineStr">
        <is>
          <t xml:space="preserve">Facture Telecom Pro 2024-05</t>
        </is>
      </c>
      <c r="I336" s="8">
        <v>96</v>
      </c>
      <c r="J336" s="8">
        <v>0</v>
      </c>
      <c r="K336" s="0"/>
      <c r="L336" s="0"/>
      <c r="M336" s="8">
        <f>I336-J336</f>
      </c>
      <c r="N336" s="0" t="inlineStr">
        <is>
          <t xml:space="preserve">2024-05</t>
        </is>
      </c>
      <c r="O336" s="0">
        <f>INDEX(Journaux!$E$5:$E$18,MATCH("2024|"&amp;A336,Journaux!$A$5:$A$18,0))</f>
      </c>
      <c r="P336" s="0">
        <f>INDEX(Comptes!$H$5:$H$42,MATCH(E336,Comptes!$A$5:$A$42,0))</f>
      </c>
      <c r="Q336" s="0" t="inlineStr">
        <is>
          <t xml:space="preserve">4</t>
        </is>
      </c>
    </row>
    <row r="337">
      <c r="A337" s="4" t="inlineStr">
        <is>
          <t xml:space="preserve">AC</t>
        </is>
      </c>
      <c r="B337" s="0" t="inlineStr">
        <is>
          <t xml:space="preserve">Journal des achats</t>
        </is>
      </c>
      <c r="C337" s="0" t="inlineStr">
        <is>
          <t xml:space="preserve">AC00031</t>
        </is>
      </c>
      <c r="D337" s="10">
        <v>45417</v>
      </c>
      <c r="E337" s="4" t="inlineStr">
        <is>
          <t xml:space="preserve">401000</t>
        </is>
      </c>
      <c r="F337" s="0" t="inlineStr">
        <is>
          <t xml:space="preserve">Fournisseurs</t>
        </is>
      </c>
      <c r="G337" s="0" t="inlineStr">
        <is>
          <t xml:space="preserve">F008-202405</t>
        </is>
      </c>
      <c r="H337" s="0" t="inlineStr">
        <is>
          <t xml:space="preserve">Facture Telecom Pro 2024-05</t>
        </is>
      </c>
      <c r="I337" s="8">
        <v>0</v>
      </c>
      <c r="J337" s="8">
        <v>576</v>
      </c>
      <c r="K337" s="0" t="inlineStr">
        <is>
          <t xml:space="preserve">ACQ</t>
        </is>
      </c>
      <c r="L337" s="0" t="inlineStr">
        <is>
          <t xml:space="preserve">Telecom Pro</t>
        </is>
      </c>
      <c r="M337" s="8">
        <f>I337-J337</f>
      </c>
      <c r="N337" s="0" t="inlineStr">
        <is>
          <t xml:space="preserve">2024-05</t>
        </is>
      </c>
      <c r="O337" s="0">
        <f>INDEX(Journaux!$E$5:$E$18,MATCH("2024|"&amp;A337,Journaux!$A$5:$A$18,0))</f>
      </c>
      <c r="P337" s="0">
        <f>INDEX(Comptes!$H$5:$H$42,MATCH(E337,Comptes!$A$5:$A$42,0))</f>
      </c>
      <c r="Q337" s="0" t="inlineStr">
        <is>
          <t xml:space="preserve">4</t>
        </is>
      </c>
      <c r="R337" s="7" t="inlineStr">
        <is>
          <t xml:space="preserve">401000|F008</t>
        </is>
      </c>
    </row>
    <row r="338">
      <c r="A338" s="4" t="inlineStr">
        <is>
          <t xml:space="preserve">BQ</t>
        </is>
      </c>
      <c r="B338" s="0" t="inlineStr">
        <is>
          <t xml:space="preserve">Banque Fictive</t>
        </is>
      </c>
      <c r="C338" s="0" t="inlineStr">
        <is>
          <t xml:space="preserve">BQ00146</t>
        </is>
      </c>
      <c r="D338" s="10">
        <v>45418</v>
      </c>
      <c r="E338" s="4" t="inlineStr">
        <is>
          <t xml:space="preserve">401000</t>
        </is>
      </c>
      <c r="F338" s="0" t="inlineStr">
        <is>
          <t xml:space="preserve">Fournisseurs</t>
        </is>
      </c>
      <c r="G338" s="0" t="inlineStr">
        <is>
          <t xml:space="preserve">DEC-F004-202404</t>
        </is>
      </c>
      <c r="H338" s="0" t="inlineStr">
        <is>
          <t xml:space="preserve">Reglement fournisseur SCI Les Halles F004-202404</t>
        </is>
      </c>
      <c r="I338" s="8">
        <v>10200</v>
      </c>
      <c r="J338" s="8">
        <v>0</v>
      </c>
      <c r="K338" s="0" t="inlineStr">
        <is>
          <t xml:space="preserve">ACH</t>
        </is>
      </c>
      <c r="L338" s="0" t="inlineStr">
        <is>
          <t xml:space="preserve">SCI Les Halles</t>
        </is>
      </c>
      <c r="M338" s="8">
        <f>I338-J338</f>
      </c>
      <c r="N338" s="0" t="inlineStr">
        <is>
          <t xml:space="preserve">2024-05</t>
        </is>
      </c>
      <c r="O338" s="0">
        <f>INDEX(Journaux!$E$5:$E$18,MATCH("2024|"&amp;A338,Journaux!$A$5:$A$18,0))</f>
      </c>
      <c r="P338" s="0">
        <f>INDEX(Comptes!$H$5:$H$42,MATCH(E338,Comptes!$A$5:$A$42,0))</f>
      </c>
      <c r="Q338" s="0" t="inlineStr">
        <is>
          <t xml:space="preserve">4</t>
        </is>
      </c>
      <c r="R338" s="7" t="inlineStr">
        <is>
          <t xml:space="preserve">401000|F004</t>
        </is>
      </c>
    </row>
    <row r="339">
      <c r="A339" s="4" t="inlineStr">
        <is>
          <t xml:space="preserve">BQ</t>
        </is>
      </c>
      <c r="B339" s="0" t="inlineStr">
        <is>
          <t xml:space="preserve">Banque Fictive</t>
        </is>
      </c>
      <c r="C339" s="0" t="inlineStr">
        <is>
          <t xml:space="preserve">BQ00146</t>
        </is>
      </c>
      <c r="D339" s="10">
        <v>45418</v>
      </c>
      <c r="E339" s="4" t="inlineStr">
        <is>
          <t xml:space="preserve">512000</t>
        </is>
      </c>
      <c r="F339" s="0" t="inlineStr">
        <is>
          <t xml:space="preserve">Banque Fictive</t>
        </is>
      </c>
      <c r="G339" s="0" t="inlineStr">
        <is>
          <t xml:space="preserve">DEC-F004-202404</t>
        </is>
      </c>
      <c r="H339" s="0" t="inlineStr">
        <is>
          <t xml:space="preserve">Reglement fournisseur SCI Les Halles F004-202404</t>
        </is>
      </c>
      <c r="I339" s="8">
        <v>0</v>
      </c>
      <c r="J339" s="8">
        <v>10200</v>
      </c>
      <c r="K339" s="0"/>
      <c r="L339" s="0"/>
      <c r="M339" s="8">
        <f>I339-J339</f>
      </c>
      <c r="N339" s="0" t="inlineStr">
        <is>
          <t xml:space="preserve">2024-05</t>
        </is>
      </c>
      <c r="O339" s="0">
        <f>INDEX(Journaux!$E$5:$E$18,MATCH("2024|"&amp;A339,Journaux!$A$5:$A$18,0))</f>
      </c>
      <c r="P339" s="0">
        <f>INDEX(Comptes!$H$5:$H$42,MATCH(E339,Comptes!$A$5:$A$42,0))</f>
      </c>
      <c r="Q339" s="0" t="inlineStr">
        <is>
          <t xml:space="preserve">5</t>
        </is>
      </c>
    </row>
    <row r="340">
      <c r="A340" s="4" t="inlineStr">
        <is>
          <t xml:space="preserve">BQ</t>
        </is>
      </c>
      <c r="B340" s="0" t="inlineStr">
        <is>
          <t xml:space="preserve">Banque Fictive</t>
        </is>
      </c>
      <c r="C340" s="0" t="inlineStr">
        <is>
          <t xml:space="preserve">BQ00147</t>
        </is>
      </c>
      <c r="D340" s="10">
        <v>45418</v>
      </c>
      <c r="E340" s="4" t="inlineStr">
        <is>
          <t xml:space="preserve">401000</t>
        </is>
      </c>
      <c r="F340" s="0" t="inlineStr">
        <is>
          <t xml:space="preserve">Fournisseurs</t>
        </is>
      </c>
      <c r="G340" s="0" t="inlineStr">
        <is>
          <t xml:space="preserve">DEC-F005-202404</t>
        </is>
      </c>
      <c r="H340" s="0" t="inlineStr">
        <is>
          <t xml:space="preserve">Reglement fournisseur Energie Plus F005-202404</t>
        </is>
      </c>
      <c r="I340" s="8">
        <v>3753.79</v>
      </c>
      <c r="J340" s="8">
        <v>0</v>
      </c>
      <c r="K340" s="0" t="inlineStr">
        <is>
          <t xml:space="preserve">ACI</t>
        </is>
      </c>
      <c r="L340" s="0" t="inlineStr">
        <is>
          <t xml:space="preserve">Energie Plus</t>
        </is>
      </c>
      <c r="M340" s="8">
        <f>I340-J340</f>
      </c>
      <c r="N340" s="0" t="inlineStr">
        <is>
          <t xml:space="preserve">2024-05</t>
        </is>
      </c>
      <c r="O340" s="0">
        <f>INDEX(Journaux!$E$5:$E$18,MATCH("2024|"&amp;A340,Journaux!$A$5:$A$18,0))</f>
      </c>
      <c r="P340" s="0">
        <f>INDEX(Comptes!$H$5:$H$42,MATCH(E340,Comptes!$A$5:$A$42,0))</f>
      </c>
      <c r="Q340" s="0" t="inlineStr">
        <is>
          <t xml:space="preserve">4</t>
        </is>
      </c>
      <c r="R340" s="7" t="inlineStr">
        <is>
          <t xml:space="preserve">401000|F005</t>
        </is>
      </c>
    </row>
    <row r="341">
      <c r="A341" s="4" t="inlineStr">
        <is>
          <t xml:space="preserve">BQ</t>
        </is>
      </c>
      <c r="B341" s="0" t="inlineStr">
        <is>
          <t xml:space="preserve">Banque Fictive</t>
        </is>
      </c>
      <c r="C341" s="0" t="inlineStr">
        <is>
          <t xml:space="preserve">BQ00147</t>
        </is>
      </c>
      <c r="D341" s="10">
        <v>45418</v>
      </c>
      <c r="E341" s="4" t="inlineStr">
        <is>
          <t xml:space="preserve">512000</t>
        </is>
      </c>
      <c r="F341" s="0" t="inlineStr">
        <is>
          <t xml:space="preserve">Banque Fictive</t>
        </is>
      </c>
      <c r="G341" s="0" t="inlineStr">
        <is>
          <t xml:space="preserve">DEC-F005-202404</t>
        </is>
      </c>
      <c r="H341" s="0" t="inlineStr">
        <is>
          <t xml:space="preserve">Reglement fournisseur Energie Plus F005-202404</t>
        </is>
      </c>
      <c r="I341" s="8">
        <v>0</v>
      </c>
      <c r="J341" s="8">
        <v>3753.79</v>
      </c>
      <c r="K341" s="0"/>
      <c r="L341" s="0"/>
      <c r="M341" s="8">
        <f>I341-J341</f>
      </c>
      <c r="N341" s="0" t="inlineStr">
        <is>
          <t xml:space="preserve">2024-05</t>
        </is>
      </c>
      <c r="O341" s="0">
        <f>INDEX(Journaux!$E$5:$E$18,MATCH("2024|"&amp;A341,Journaux!$A$5:$A$18,0))</f>
      </c>
      <c r="P341" s="0">
        <f>INDEX(Comptes!$H$5:$H$42,MATCH(E341,Comptes!$A$5:$A$42,0))</f>
      </c>
      <c r="Q341" s="0" t="inlineStr">
        <is>
          <t xml:space="preserve">5</t>
        </is>
      </c>
    </row>
    <row r="342">
      <c r="A342" s="4" t="inlineStr">
        <is>
          <t xml:space="preserve">BQ</t>
        </is>
      </c>
      <c r="B342" s="0" t="inlineStr">
        <is>
          <t xml:space="preserve">Banque Fictive</t>
        </is>
      </c>
      <c r="C342" s="0" t="inlineStr">
        <is>
          <t xml:space="preserve">BQ00148</t>
        </is>
      </c>
      <c r="D342" s="10">
        <v>45418</v>
      </c>
      <c r="E342" s="4" t="inlineStr">
        <is>
          <t xml:space="preserve">401000</t>
        </is>
      </c>
      <c r="F342" s="0" t="inlineStr">
        <is>
          <t xml:space="preserve">Fournisseurs</t>
        </is>
      </c>
      <c r="G342" s="0" t="inlineStr">
        <is>
          <t xml:space="preserve">DEC-F008-202404</t>
        </is>
      </c>
      <c r="H342" s="0" t="inlineStr">
        <is>
          <t xml:space="preserve">Reglement fournisseur Telecom Pro F008-202404</t>
        </is>
      </c>
      <c r="I342" s="8">
        <v>576</v>
      </c>
      <c r="J342" s="8">
        <v>0</v>
      </c>
      <c r="K342" s="0" t="inlineStr">
        <is>
          <t xml:space="preserve">ACJ</t>
        </is>
      </c>
      <c r="L342" s="0" t="inlineStr">
        <is>
          <t xml:space="preserve">Telecom Pro</t>
        </is>
      </c>
      <c r="M342" s="8">
        <f>I342-J342</f>
      </c>
      <c r="N342" s="0" t="inlineStr">
        <is>
          <t xml:space="preserve">2024-05</t>
        </is>
      </c>
      <c r="O342" s="0">
        <f>INDEX(Journaux!$E$5:$E$18,MATCH("2024|"&amp;A342,Journaux!$A$5:$A$18,0))</f>
      </c>
      <c r="P342" s="0">
        <f>INDEX(Comptes!$H$5:$H$42,MATCH(E342,Comptes!$A$5:$A$42,0))</f>
      </c>
      <c r="Q342" s="0" t="inlineStr">
        <is>
          <t xml:space="preserve">4</t>
        </is>
      </c>
      <c r="R342" s="7" t="inlineStr">
        <is>
          <t xml:space="preserve">401000|F008</t>
        </is>
      </c>
    </row>
    <row r="343">
      <c r="A343" s="4" t="inlineStr">
        <is>
          <t xml:space="preserve">BQ</t>
        </is>
      </c>
      <c r="B343" s="0" t="inlineStr">
        <is>
          <t xml:space="preserve">Banque Fictive</t>
        </is>
      </c>
      <c r="C343" s="0" t="inlineStr">
        <is>
          <t xml:space="preserve">BQ00148</t>
        </is>
      </c>
      <c r="D343" s="10">
        <v>45418</v>
      </c>
      <c r="E343" s="4" t="inlineStr">
        <is>
          <t xml:space="preserve">512000</t>
        </is>
      </c>
      <c r="F343" s="0" t="inlineStr">
        <is>
          <t xml:space="preserve">Banque Fictive</t>
        </is>
      </c>
      <c r="G343" s="0" t="inlineStr">
        <is>
          <t xml:space="preserve">DEC-F008-202404</t>
        </is>
      </c>
      <c r="H343" s="0" t="inlineStr">
        <is>
          <t xml:space="preserve">Reglement fournisseur Telecom Pro F008-202404</t>
        </is>
      </c>
      <c r="I343" s="8">
        <v>0</v>
      </c>
      <c r="J343" s="8">
        <v>576</v>
      </c>
      <c r="K343" s="0"/>
      <c r="L343" s="0"/>
      <c r="M343" s="8">
        <f>I343-J343</f>
      </c>
      <c r="N343" s="0" t="inlineStr">
        <is>
          <t xml:space="preserve">2024-05</t>
        </is>
      </c>
      <c r="O343" s="0">
        <f>INDEX(Journaux!$E$5:$E$18,MATCH("2024|"&amp;A343,Journaux!$A$5:$A$18,0))</f>
      </c>
      <c r="P343" s="0">
        <f>INDEX(Comptes!$H$5:$H$42,MATCH(E343,Comptes!$A$5:$A$42,0))</f>
      </c>
      <c r="Q343" s="0" t="inlineStr">
        <is>
          <t xml:space="preserve">5</t>
        </is>
      </c>
    </row>
    <row r="344">
      <c r="A344" s="4" t="inlineStr">
        <is>
          <t xml:space="preserve">BQ</t>
        </is>
      </c>
      <c r="B344" s="0" t="inlineStr">
        <is>
          <t xml:space="preserve">Banque Fictive</t>
        </is>
      </c>
      <c r="C344" s="0" t="inlineStr">
        <is>
          <t xml:space="preserve">BQ00149</t>
        </is>
      </c>
      <c r="D344" s="10">
        <v>45418</v>
      </c>
      <c r="E344" s="4" t="inlineStr">
        <is>
          <t xml:space="preserve">401000</t>
        </is>
      </c>
      <c r="F344" s="0" t="inlineStr">
        <is>
          <t xml:space="preserve">Fournisseurs</t>
        </is>
      </c>
      <c r="G344" s="0" t="inlineStr">
        <is>
          <t xml:space="preserve">DEC-F006-202404</t>
        </is>
      </c>
      <c r="H344" s="0" t="inlineStr">
        <is>
          <t xml:space="preserve">Reglement fournisseur Assurances Mutuelles Exemple F006-202404</t>
        </is>
      </c>
      <c r="I344" s="8">
        <v>3000</v>
      </c>
      <c r="J344" s="8">
        <v>0</v>
      </c>
      <c r="K344" s="0" t="inlineStr">
        <is>
          <t xml:space="preserve">ACK</t>
        </is>
      </c>
      <c r="L344" s="0" t="inlineStr">
        <is>
          <t xml:space="preserve">Assurances Mutuelles Exemple</t>
        </is>
      </c>
      <c r="M344" s="8">
        <f>I344-J344</f>
      </c>
      <c r="N344" s="0" t="inlineStr">
        <is>
          <t xml:space="preserve">2024-05</t>
        </is>
      </c>
      <c r="O344" s="0">
        <f>INDEX(Journaux!$E$5:$E$18,MATCH("2024|"&amp;A344,Journaux!$A$5:$A$18,0))</f>
      </c>
      <c r="P344" s="0">
        <f>INDEX(Comptes!$H$5:$H$42,MATCH(E344,Comptes!$A$5:$A$42,0))</f>
      </c>
      <c r="Q344" s="0" t="inlineStr">
        <is>
          <t xml:space="preserve">4</t>
        </is>
      </c>
      <c r="R344" s="7" t="inlineStr">
        <is>
          <t xml:space="preserve">401000|F006</t>
        </is>
      </c>
    </row>
    <row r="345">
      <c r="A345" s="4" t="inlineStr">
        <is>
          <t xml:space="preserve">BQ</t>
        </is>
      </c>
      <c r="B345" s="0" t="inlineStr">
        <is>
          <t xml:space="preserve">Banque Fictive</t>
        </is>
      </c>
      <c r="C345" s="0" t="inlineStr">
        <is>
          <t xml:space="preserve">BQ00149</t>
        </is>
      </c>
      <c r="D345" s="10">
        <v>45418</v>
      </c>
      <c r="E345" s="4" t="inlineStr">
        <is>
          <t xml:space="preserve">512000</t>
        </is>
      </c>
      <c r="F345" s="0" t="inlineStr">
        <is>
          <t xml:space="preserve">Banque Fictive</t>
        </is>
      </c>
      <c r="G345" s="0" t="inlineStr">
        <is>
          <t xml:space="preserve">DEC-F006-202404</t>
        </is>
      </c>
      <c r="H345" s="0" t="inlineStr">
        <is>
          <t xml:space="preserve">Reglement fournisseur Assurances Mutuelles Exemple F006-202404</t>
        </is>
      </c>
      <c r="I345" s="8">
        <v>0</v>
      </c>
      <c r="J345" s="8">
        <v>3000</v>
      </c>
      <c r="K345" s="0"/>
      <c r="L345" s="0"/>
      <c r="M345" s="8">
        <f>I345-J345</f>
      </c>
      <c r="N345" s="0" t="inlineStr">
        <is>
          <t xml:space="preserve">2024-05</t>
        </is>
      </c>
      <c r="O345" s="0">
        <f>INDEX(Journaux!$E$5:$E$18,MATCH("2024|"&amp;A345,Journaux!$A$5:$A$18,0))</f>
      </c>
      <c r="P345" s="0">
        <f>INDEX(Comptes!$H$5:$H$42,MATCH(E345,Comptes!$A$5:$A$42,0))</f>
      </c>
      <c r="Q345" s="0" t="inlineStr">
        <is>
          <t xml:space="preserve">5</t>
        </is>
      </c>
    </row>
    <row r="346">
      <c r="A346" s="4" t="inlineStr">
        <is>
          <t xml:space="preserve">BQ</t>
        </is>
      </c>
      <c r="B346" s="0" t="inlineStr">
        <is>
          <t xml:space="preserve">Banque Fictive</t>
        </is>
      </c>
      <c r="C346" s="0" t="inlineStr">
        <is>
          <t xml:space="preserve">BQ00087</t>
        </is>
      </c>
      <c r="D346" s="10">
        <v>45420</v>
      </c>
      <c r="E346" s="4" t="inlineStr">
        <is>
          <t xml:space="preserve">512000</t>
        </is>
      </c>
      <c r="F346" s="0" t="inlineStr">
        <is>
          <t xml:space="preserve">Banque Fictive</t>
        </is>
      </c>
      <c r="G346" s="0" t="inlineStr">
        <is>
          <t xml:space="preserve">ENC-FA2024-0022</t>
        </is>
      </c>
      <c r="H346" s="0" t="inlineStr">
        <is>
          <t xml:space="preserve">Reglement client Clinique du Parc FA2024-0022</t>
        </is>
      </c>
      <c r="I346" s="8">
        <v>44742.9</v>
      </c>
      <c r="J346" s="8">
        <v>0</v>
      </c>
      <c r="K346" s="0"/>
      <c r="L346" s="0"/>
      <c r="M346" s="8">
        <f>I346-J346</f>
      </c>
      <c r="N346" s="0" t="inlineStr">
        <is>
          <t xml:space="preserve">2024-05</t>
        </is>
      </c>
      <c r="O346" s="0">
        <f>INDEX(Journaux!$E$5:$E$18,MATCH("2024|"&amp;A346,Journaux!$A$5:$A$18,0))</f>
      </c>
      <c r="P346" s="0">
        <f>INDEX(Comptes!$H$5:$H$42,MATCH(E346,Comptes!$A$5:$A$42,0))</f>
      </c>
      <c r="Q346" s="0" t="inlineStr">
        <is>
          <t xml:space="preserve">5</t>
        </is>
      </c>
    </row>
    <row r="347">
      <c r="A347" s="4" t="inlineStr">
        <is>
          <t xml:space="preserve">BQ</t>
        </is>
      </c>
      <c r="B347" s="0" t="inlineStr">
        <is>
          <t xml:space="preserve">Banque Fictive</t>
        </is>
      </c>
      <c r="C347" s="0" t="inlineStr">
        <is>
          <t xml:space="preserve">BQ00087</t>
        </is>
      </c>
      <c r="D347" s="10">
        <v>45420</v>
      </c>
      <c r="E347" s="4" t="inlineStr">
        <is>
          <t xml:space="preserve">411000</t>
        </is>
      </c>
      <c r="F347" s="0" t="inlineStr">
        <is>
          <t xml:space="preserve">Clients</t>
        </is>
      </c>
      <c r="G347" s="0" t="inlineStr">
        <is>
          <t xml:space="preserve">ENC-FA2024-0022</t>
        </is>
      </c>
      <c r="H347" s="0" t="inlineStr">
        <is>
          <t xml:space="preserve">Reglement client Clinique du Parc FA2024-0022</t>
        </is>
      </c>
      <c r="I347" s="8">
        <v>0</v>
      </c>
      <c r="J347" s="8">
        <v>44742.9</v>
      </c>
      <c r="K347" s="0" t="inlineStr">
        <is>
          <t xml:space="preserve">AAA</t>
        </is>
      </c>
      <c r="L347" s="0" t="inlineStr">
        <is>
          <t xml:space="preserve">Clinique du Parc</t>
        </is>
      </c>
      <c r="M347" s="8">
        <f>I347-J347</f>
      </c>
      <c r="N347" s="0" t="inlineStr">
        <is>
          <t xml:space="preserve">2024-05</t>
        </is>
      </c>
      <c r="O347" s="0">
        <f>INDEX(Journaux!$E$5:$E$18,MATCH("2024|"&amp;A347,Journaux!$A$5:$A$18,0))</f>
      </c>
      <c r="P347" s="0">
        <f>INDEX(Comptes!$H$5:$H$42,MATCH(E347,Comptes!$A$5:$A$42,0))</f>
      </c>
      <c r="Q347" s="0" t="inlineStr">
        <is>
          <t xml:space="preserve">4</t>
        </is>
      </c>
      <c r="R347" s="7" t="inlineStr">
        <is>
          <t xml:space="preserve">411000|C006</t>
        </is>
      </c>
    </row>
    <row r="348">
      <c r="A348" s="4" t="inlineStr">
        <is>
          <t xml:space="preserve">VT</t>
        </is>
      </c>
      <c r="B348" s="0" t="inlineStr">
        <is>
          <t xml:space="preserve">Journal des ventes</t>
        </is>
      </c>
      <c r="C348" s="0" t="inlineStr">
        <is>
          <t xml:space="preserve">VT00023</t>
        </is>
      </c>
      <c r="D348" s="10">
        <v>45420</v>
      </c>
      <c r="E348" s="4" t="inlineStr">
        <is>
          <t xml:space="preserve">411000</t>
        </is>
      </c>
      <c r="F348" s="0" t="inlineStr">
        <is>
          <t xml:space="preserve">Clients</t>
        </is>
      </c>
      <c r="G348" s="0" t="inlineStr">
        <is>
          <t xml:space="preserve">FA2024-0023</t>
        </is>
      </c>
      <c r="H348" s="0" t="inlineStr">
        <is>
          <t xml:space="preserve">Facture FA2024-0023 Restaurant Le Comptoir</t>
        </is>
      </c>
      <c r="I348" s="8">
        <v>46078.18</v>
      </c>
      <c r="J348" s="8">
        <v>0</v>
      </c>
      <c r="K348" s="0" t="inlineStr">
        <is>
          <t xml:space="preserve">AAB</t>
        </is>
      </c>
      <c r="L348" s="0" t="inlineStr">
        <is>
          <t xml:space="preserve">Restaurant Le Comptoir</t>
        </is>
      </c>
      <c r="M348" s="8">
        <f>I348-J348</f>
      </c>
      <c r="N348" s="0" t="inlineStr">
        <is>
          <t xml:space="preserve">2024-05</t>
        </is>
      </c>
      <c r="O348" s="0">
        <f>INDEX(Journaux!$E$5:$E$18,MATCH("2024|"&amp;A348,Journaux!$A$5:$A$18,0))</f>
      </c>
      <c r="P348" s="0">
        <f>INDEX(Comptes!$H$5:$H$42,MATCH(E348,Comptes!$A$5:$A$42,0))</f>
      </c>
      <c r="Q348" s="0" t="inlineStr">
        <is>
          <t xml:space="preserve">4</t>
        </is>
      </c>
      <c r="R348" s="7" t="inlineStr">
        <is>
          <t xml:space="preserve">411000|C005</t>
        </is>
      </c>
    </row>
    <row r="349">
      <c r="A349" s="4" t="inlineStr">
        <is>
          <t xml:space="preserve">VT</t>
        </is>
      </c>
      <c r="B349" s="0" t="inlineStr">
        <is>
          <t xml:space="preserve">Journal des ventes</t>
        </is>
      </c>
      <c r="C349" s="0" t="inlineStr">
        <is>
          <t xml:space="preserve">VT00023</t>
        </is>
      </c>
      <c r="D349" s="10">
        <v>45420</v>
      </c>
      <c r="E349" s="4" t="inlineStr">
        <is>
          <t xml:space="preserve">701000</t>
        </is>
      </c>
      <c r="F349" s="0" t="inlineStr">
        <is>
          <t xml:space="preserve">Ventes de produits finis</t>
        </is>
      </c>
      <c r="G349" s="0" t="inlineStr">
        <is>
          <t xml:space="preserve">FA2024-0023</t>
        </is>
      </c>
      <c r="H349" s="0" t="inlineStr">
        <is>
          <t xml:space="preserve">Facture FA2024-0023 Restaurant Le Comptoir</t>
        </is>
      </c>
      <c r="I349" s="8">
        <v>0</v>
      </c>
      <c r="J349" s="8">
        <v>38398.48</v>
      </c>
      <c r="K349" s="0"/>
      <c r="L349" s="0"/>
      <c r="M349" s="8">
        <f>I349-J349</f>
      </c>
      <c r="N349" s="0" t="inlineStr">
        <is>
          <t xml:space="preserve">2024-05</t>
        </is>
      </c>
      <c r="O349" s="0">
        <f>INDEX(Journaux!$E$5:$E$18,MATCH("2024|"&amp;A349,Journaux!$A$5:$A$18,0))</f>
      </c>
      <c r="P349" s="0">
        <f>INDEX(Comptes!$H$5:$H$42,MATCH(E349,Comptes!$A$5:$A$42,0))</f>
      </c>
      <c r="Q349" s="0" t="inlineStr">
        <is>
          <t xml:space="preserve">7</t>
        </is>
      </c>
    </row>
    <row r="350">
      <c r="A350" s="4" t="inlineStr">
        <is>
          <t xml:space="preserve">VT</t>
        </is>
      </c>
      <c r="B350" s="0" t="inlineStr">
        <is>
          <t xml:space="preserve">Journal des ventes</t>
        </is>
      </c>
      <c r="C350" s="0" t="inlineStr">
        <is>
          <t xml:space="preserve">VT00023</t>
        </is>
      </c>
      <c r="D350" s="10">
        <v>45420</v>
      </c>
      <c r="E350" s="4" t="inlineStr">
        <is>
          <t xml:space="preserve">445710</t>
        </is>
      </c>
      <c r="F350" s="0" t="inlineStr">
        <is>
          <t xml:space="preserve">TVA collectee</t>
        </is>
      </c>
      <c r="G350" s="0" t="inlineStr">
        <is>
          <t xml:space="preserve">FA2024-0023</t>
        </is>
      </c>
      <c r="H350" s="0" t="inlineStr">
        <is>
          <t xml:space="preserve">Facture FA2024-0023 Restaurant Le Comptoir</t>
        </is>
      </c>
      <c r="I350" s="8">
        <v>0</v>
      </c>
      <c r="J350" s="8">
        <v>7679.7</v>
      </c>
      <c r="K350" s="0"/>
      <c r="L350" s="0"/>
      <c r="M350" s="8">
        <f>I350-J350</f>
      </c>
      <c r="N350" s="0" t="inlineStr">
        <is>
          <t xml:space="preserve">2024-05</t>
        </is>
      </c>
      <c r="O350" s="0">
        <f>INDEX(Journaux!$E$5:$E$18,MATCH("2024|"&amp;A350,Journaux!$A$5:$A$18,0))</f>
      </c>
      <c r="P350" s="0">
        <f>INDEX(Comptes!$H$5:$H$42,MATCH(E350,Comptes!$A$5:$A$42,0))</f>
      </c>
      <c r="Q350" s="0" t="inlineStr">
        <is>
          <t xml:space="preserve">4</t>
        </is>
      </c>
    </row>
    <row r="351">
      <c r="A351" s="4" t="inlineStr">
        <is>
          <t xml:space="preserve">VT</t>
        </is>
      </c>
      <c r="B351" s="0" t="inlineStr">
        <is>
          <t xml:space="preserve">Journal des ventes</t>
        </is>
      </c>
      <c r="C351" s="0" t="inlineStr">
        <is>
          <t xml:space="preserve">VT00028</t>
        </is>
      </c>
      <c r="D351" s="10">
        <v>45421</v>
      </c>
      <c r="E351" s="4" t="inlineStr">
        <is>
          <t xml:space="preserve">411000</t>
        </is>
      </c>
      <c r="F351" s="0" t="inlineStr">
        <is>
          <t xml:space="preserve">Clients</t>
        </is>
      </c>
      <c r="G351" s="0" t="inlineStr">
        <is>
          <t xml:space="preserve">FA2024-0028</t>
        </is>
      </c>
      <c r="H351" s="0" t="inlineStr">
        <is>
          <t xml:space="preserve">Facture FA2024-0028 Residence Bel Air</t>
        </is>
      </c>
      <c r="I351" s="8">
        <v>47923.73</v>
      </c>
      <c r="J351" s="8">
        <v>0</v>
      </c>
      <c r="K351" s="0" t="inlineStr">
        <is>
          <t xml:space="preserve">AAG</t>
        </is>
      </c>
      <c r="L351" s="0" t="inlineStr">
        <is>
          <t xml:space="preserve">Residence Bel Air</t>
        </is>
      </c>
      <c r="M351" s="8">
        <f>I351-J351</f>
      </c>
      <c r="N351" s="0" t="inlineStr">
        <is>
          <t xml:space="preserve">2024-05</t>
        </is>
      </c>
      <c r="O351" s="0">
        <f>INDEX(Journaux!$E$5:$E$18,MATCH("2024|"&amp;A351,Journaux!$A$5:$A$18,0))</f>
      </c>
      <c r="P351" s="0">
        <f>INDEX(Comptes!$H$5:$H$42,MATCH(E351,Comptes!$A$5:$A$42,0))</f>
      </c>
      <c r="Q351" s="0" t="inlineStr">
        <is>
          <t xml:space="preserve">4</t>
        </is>
      </c>
      <c r="R351" s="7" t="inlineStr">
        <is>
          <t xml:space="preserve">411000|C003</t>
        </is>
      </c>
    </row>
    <row r="352">
      <c r="A352" s="4" t="inlineStr">
        <is>
          <t xml:space="preserve">VT</t>
        </is>
      </c>
      <c r="B352" s="0" t="inlineStr">
        <is>
          <t xml:space="preserve">Journal des ventes</t>
        </is>
      </c>
      <c r="C352" s="0" t="inlineStr">
        <is>
          <t xml:space="preserve">VT00028</t>
        </is>
      </c>
      <c r="D352" s="10">
        <v>45421</v>
      </c>
      <c r="E352" s="4" t="inlineStr">
        <is>
          <t xml:space="preserve">701000</t>
        </is>
      </c>
      <c r="F352" s="0" t="inlineStr">
        <is>
          <t xml:space="preserve">Ventes de produits finis</t>
        </is>
      </c>
      <c r="G352" s="0" t="inlineStr">
        <is>
          <t xml:space="preserve">FA2024-0028</t>
        </is>
      </c>
      <c r="H352" s="0" t="inlineStr">
        <is>
          <t xml:space="preserve">Facture FA2024-0028 Residence Bel Air</t>
        </is>
      </c>
      <c r="I352" s="8">
        <v>0</v>
      </c>
      <c r="J352" s="8">
        <v>39936.44</v>
      </c>
      <c r="K352" s="0"/>
      <c r="L352" s="0"/>
      <c r="M352" s="8">
        <f>I352-J352</f>
      </c>
      <c r="N352" s="0" t="inlineStr">
        <is>
          <t xml:space="preserve">2024-05</t>
        </is>
      </c>
      <c r="O352" s="0">
        <f>INDEX(Journaux!$E$5:$E$18,MATCH("2024|"&amp;A352,Journaux!$A$5:$A$18,0))</f>
      </c>
      <c r="P352" s="0">
        <f>INDEX(Comptes!$H$5:$H$42,MATCH(E352,Comptes!$A$5:$A$42,0))</f>
      </c>
      <c r="Q352" s="0" t="inlineStr">
        <is>
          <t xml:space="preserve">7</t>
        </is>
      </c>
    </row>
    <row r="353">
      <c r="A353" s="4" t="inlineStr">
        <is>
          <t xml:space="preserve">VT</t>
        </is>
      </c>
      <c r="B353" s="0" t="inlineStr">
        <is>
          <t xml:space="preserve">Journal des ventes</t>
        </is>
      </c>
      <c r="C353" s="0" t="inlineStr">
        <is>
          <t xml:space="preserve">VT00028</t>
        </is>
      </c>
      <c r="D353" s="10">
        <v>45421</v>
      </c>
      <c r="E353" s="4" t="inlineStr">
        <is>
          <t xml:space="preserve">445710</t>
        </is>
      </c>
      <c r="F353" s="0" t="inlineStr">
        <is>
          <t xml:space="preserve">TVA collectee</t>
        </is>
      </c>
      <c r="G353" s="0" t="inlineStr">
        <is>
          <t xml:space="preserve">FA2024-0028</t>
        </is>
      </c>
      <c r="H353" s="0" t="inlineStr">
        <is>
          <t xml:space="preserve">Facture FA2024-0028 Residence Bel Air</t>
        </is>
      </c>
      <c r="I353" s="8">
        <v>0</v>
      </c>
      <c r="J353" s="8">
        <v>7987.29</v>
      </c>
      <c r="K353" s="0"/>
      <c r="L353" s="0"/>
      <c r="M353" s="8">
        <f>I353-J353</f>
      </c>
      <c r="N353" s="0" t="inlineStr">
        <is>
          <t xml:space="preserve">2024-05</t>
        </is>
      </c>
      <c r="O353" s="0">
        <f>INDEX(Journaux!$E$5:$E$18,MATCH("2024|"&amp;A353,Journaux!$A$5:$A$18,0))</f>
      </c>
      <c r="P353" s="0">
        <f>INDEX(Comptes!$H$5:$H$42,MATCH(E353,Comptes!$A$5:$A$42,0))</f>
      </c>
      <c r="Q353" s="0" t="inlineStr">
        <is>
          <t xml:space="preserve">4</t>
        </is>
      </c>
    </row>
    <row r="354">
      <c r="A354" s="4" t="inlineStr">
        <is>
          <t xml:space="preserve">BQ</t>
        </is>
      </c>
      <c r="B354" s="0" t="inlineStr">
        <is>
          <t xml:space="preserve">Banque Fictive</t>
        </is>
      </c>
      <c r="C354" s="0" t="inlineStr">
        <is>
          <t xml:space="preserve">BQ00014</t>
        </is>
      </c>
      <c r="D354" s="10">
        <v>45422</v>
      </c>
      <c r="E354" s="4" t="inlineStr">
        <is>
          <t xml:space="preserve">164000</t>
        </is>
      </c>
      <c r="F354" s="0" t="inlineStr">
        <is>
          <t xml:space="preserve">Emprunts aupres des etablissements de credit</t>
        </is>
      </c>
      <c r="G354" s="0" t="inlineStr">
        <is>
          <t xml:space="preserve">ECH202405</t>
        </is>
      </c>
      <c r="H354" s="0" t="inlineStr">
        <is>
          <t xml:space="preserve">Echeance emprunt 05/2024</t>
        </is>
      </c>
      <c r="I354" s="8">
        <v>2000</v>
      </c>
      <c r="J354" s="8">
        <v>0</v>
      </c>
      <c r="K354" s="0"/>
      <c r="L354" s="0"/>
      <c r="M354" s="8">
        <f>I354-J354</f>
      </c>
      <c r="N354" s="0" t="inlineStr">
        <is>
          <t xml:space="preserve">2024-05</t>
        </is>
      </c>
      <c r="O354" s="0">
        <f>INDEX(Journaux!$E$5:$E$18,MATCH("2024|"&amp;A354,Journaux!$A$5:$A$18,0))</f>
      </c>
      <c r="P354" s="0">
        <f>INDEX(Comptes!$H$5:$H$42,MATCH(E354,Comptes!$A$5:$A$42,0))</f>
      </c>
      <c r="Q354" s="0" t="inlineStr">
        <is>
          <t xml:space="preserve">1</t>
        </is>
      </c>
    </row>
    <row r="355">
      <c r="A355" s="4" t="inlineStr">
        <is>
          <t xml:space="preserve">BQ</t>
        </is>
      </c>
      <c r="B355" s="0" t="inlineStr">
        <is>
          <t xml:space="preserve">Banque Fictive</t>
        </is>
      </c>
      <c r="C355" s="0" t="inlineStr">
        <is>
          <t xml:space="preserve">BQ00014</t>
        </is>
      </c>
      <c r="D355" s="10">
        <v>45422</v>
      </c>
      <c r="E355" s="4" t="inlineStr">
        <is>
          <t xml:space="preserve">661100</t>
        </is>
      </c>
      <c r="F355" s="0" t="inlineStr">
        <is>
          <t xml:space="preserve">Interets des emprunts</t>
        </is>
      </c>
      <c r="G355" s="0" t="inlineStr">
        <is>
          <t xml:space="preserve">ECH202405</t>
        </is>
      </c>
      <c r="H355" s="0" t="inlineStr">
        <is>
          <t xml:space="preserve">Echeance emprunt 05/2024</t>
        </is>
      </c>
      <c r="I355" s="8">
        <v>273.33</v>
      </c>
      <c r="J355" s="8">
        <v>0</v>
      </c>
      <c r="K355" s="0"/>
      <c r="L355" s="0"/>
      <c r="M355" s="8">
        <f>I355-J355</f>
      </c>
      <c r="N355" s="0" t="inlineStr">
        <is>
          <t xml:space="preserve">2024-05</t>
        </is>
      </c>
      <c r="O355" s="0">
        <f>INDEX(Journaux!$E$5:$E$18,MATCH("2024|"&amp;A355,Journaux!$A$5:$A$18,0))</f>
      </c>
      <c r="P355" s="0">
        <f>INDEX(Comptes!$H$5:$H$42,MATCH(E355,Comptes!$A$5:$A$42,0))</f>
      </c>
      <c r="Q355" s="0" t="inlineStr">
        <is>
          <t xml:space="preserve">6</t>
        </is>
      </c>
    </row>
    <row r="356">
      <c r="A356" s="4" t="inlineStr">
        <is>
          <t xml:space="preserve">BQ</t>
        </is>
      </c>
      <c r="B356" s="0" t="inlineStr">
        <is>
          <t xml:space="preserve">Banque Fictive</t>
        </is>
      </c>
      <c r="C356" s="0" t="inlineStr">
        <is>
          <t xml:space="preserve">BQ00014</t>
        </is>
      </c>
      <c r="D356" s="10">
        <v>45422</v>
      </c>
      <c r="E356" s="4" t="inlineStr">
        <is>
          <t xml:space="preserve">512000</t>
        </is>
      </c>
      <c r="F356" s="0" t="inlineStr">
        <is>
          <t xml:space="preserve">Banque Fictive</t>
        </is>
      </c>
      <c r="G356" s="0" t="inlineStr">
        <is>
          <t xml:space="preserve">ECH202405</t>
        </is>
      </c>
      <c r="H356" s="0" t="inlineStr">
        <is>
          <t xml:space="preserve">Echeance emprunt 05/2024</t>
        </is>
      </c>
      <c r="I356" s="8">
        <v>0</v>
      </c>
      <c r="J356" s="8">
        <v>2273.33</v>
      </c>
      <c r="K356" s="0"/>
      <c r="L356" s="0"/>
      <c r="M356" s="8">
        <f>I356-J356</f>
      </c>
      <c r="N356" s="0" t="inlineStr">
        <is>
          <t xml:space="preserve">2024-05</t>
        </is>
      </c>
      <c r="O356" s="0">
        <f>INDEX(Journaux!$E$5:$E$18,MATCH("2024|"&amp;A356,Journaux!$A$5:$A$18,0))</f>
      </c>
      <c r="P356" s="0">
        <f>INDEX(Comptes!$H$5:$H$42,MATCH(E356,Comptes!$A$5:$A$42,0))</f>
      </c>
      <c r="Q356" s="0" t="inlineStr">
        <is>
          <t xml:space="preserve">5</t>
        </is>
      </c>
    </row>
    <row r="357">
      <c r="A357" s="4" t="inlineStr">
        <is>
          <t xml:space="preserve">BQ</t>
        </is>
      </c>
      <c r="B357" s="0" t="inlineStr">
        <is>
          <t xml:space="preserve">Banque Fictive</t>
        </is>
      </c>
      <c r="C357" s="0" t="inlineStr">
        <is>
          <t xml:space="preserve">BQ00137</t>
        </is>
      </c>
      <c r="D357" s="10">
        <v>45422</v>
      </c>
      <c r="E357" s="4" t="inlineStr">
        <is>
          <t xml:space="preserve">401000</t>
        </is>
      </c>
      <c r="F357" s="0" t="inlineStr">
        <is>
          <t xml:space="preserve">Fournisseurs</t>
        </is>
      </c>
      <c r="G357" s="0" t="inlineStr">
        <is>
          <t xml:space="preserve">DEC-F003-2024032</t>
        </is>
      </c>
      <c r="H357" s="0" t="inlineStr">
        <is>
          <t xml:space="preserve">Reglement fournisseur Vernis et Finitions F003-2024032</t>
        </is>
      </c>
      <c r="I357" s="8">
        <v>26751.92</v>
      </c>
      <c r="J357" s="8">
        <v>0</v>
      </c>
      <c r="K357" s="0" t="inlineStr">
        <is>
          <t xml:space="preserve">ABY</t>
        </is>
      </c>
      <c r="L357" s="0" t="inlineStr">
        <is>
          <t xml:space="preserve">Vernis et Finitions</t>
        </is>
      </c>
      <c r="M357" s="8">
        <f>I357-J357</f>
      </c>
      <c r="N357" s="0" t="inlineStr">
        <is>
          <t xml:space="preserve">2024-05</t>
        </is>
      </c>
      <c r="O357" s="0">
        <f>INDEX(Journaux!$E$5:$E$18,MATCH("2024|"&amp;A357,Journaux!$A$5:$A$18,0))</f>
      </c>
      <c r="P357" s="0">
        <f>INDEX(Comptes!$H$5:$H$42,MATCH(E357,Comptes!$A$5:$A$42,0))</f>
      </c>
      <c r="Q357" s="0" t="inlineStr">
        <is>
          <t xml:space="preserve">4</t>
        </is>
      </c>
      <c r="R357" s="7" t="inlineStr">
        <is>
          <t xml:space="preserve">401000|F003</t>
        </is>
      </c>
    </row>
    <row r="358">
      <c r="A358" s="4" t="inlineStr">
        <is>
          <t xml:space="preserve">BQ</t>
        </is>
      </c>
      <c r="B358" s="0" t="inlineStr">
        <is>
          <t xml:space="preserve">Banque Fictive</t>
        </is>
      </c>
      <c r="C358" s="0" t="inlineStr">
        <is>
          <t xml:space="preserve">BQ00137</t>
        </is>
      </c>
      <c r="D358" s="10">
        <v>45422</v>
      </c>
      <c r="E358" s="4" t="inlineStr">
        <is>
          <t xml:space="preserve">512000</t>
        </is>
      </c>
      <c r="F358" s="0" t="inlineStr">
        <is>
          <t xml:space="preserve">Banque Fictive</t>
        </is>
      </c>
      <c r="G358" s="0" t="inlineStr">
        <is>
          <t xml:space="preserve">DEC-F003-2024032</t>
        </is>
      </c>
      <c r="H358" s="0" t="inlineStr">
        <is>
          <t xml:space="preserve">Reglement fournisseur Vernis et Finitions F003-2024032</t>
        </is>
      </c>
      <c r="I358" s="8">
        <v>0</v>
      </c>
      <c r="J358" s="8">
        <v>26751.92</v>
      </c>
      <c r="K358" s="0"/>
      <c r="L358" s="0"/>
      <c r="M358" s="8">
        <f>I358-J358</f>
      </c>
      <c r="N358" s="0" t="inlineStr">
        <is>
          <t xml:space="preserve">2024-05</t>
        </is>
      </c>
      <c r="O358" s="0">
        <f>INDEX(Journaux!$E$5:$E$18,MATCH("2024|"&amp;A358,Journaux!$A$5:$A$18,0))</f>
      </c>
      <c r="P358" s="0">
        <f>INDEX(Comptes!$H$5:$H$42,MATCH(E358,Comptes!$A$5:$A$42,0))</f>
      </c>
      <c r="Q358" s="0" t="inlineStr">
        <is>
          <t xml:space="preserve">5</t>
        </is>
      </c>
    </row>
    <row r="359">
      <c r="A359" s="4" t="inlineStr">
        <is>
          <t xml:space="preserve">BQ</t>
        </is>
      </c>
      <c r="B359" s="0" t="inlineStr">
        <is>
          <t xml:space="preserve">Banque Fictive</t>
        </is>
      </c>
      <c r="C359" s="0" t="inlineStr">
        <is>
          <t xml:space="preserve">BQ00045</t>
        </is>
      </c>
      <c r="D359" s="10">
        <v>45427</v>
      </c>
      <c r="E359" s="4" t="inlineStr">
        <is>
          <t xml:space="preserve">431000</t>
        </is>
      </c>
      <c r="F359" s="0" t="inlineStr">
        <is>
          <t xml:space="preserve">Securite sociale</t>
        </is>
      </c>
      <c r="G359" s="0" t="inlineStr">
        <is>
          <t xml:space="preserve">URSSAF202404</t>
        </is>
      </c>
      <c r="H359" s="0" t="inlineStr">
        <is>
          <t xml:space="preserve">Reglement URSSAF 04/2024</t>
        </is>
      </c>
      <c r="I359" s="8">
        <v>33650.91</v>
      </c>
      <c r="J359" s="8">
        <v>0</v>
      </c>
      <c r="K359" s="0"/>
      <c r="L359" s="0"/>
      <c r="M359" s="8">
        <f>I359-J359</f>
      </c>
      <c r="N359" s="0" t="inlineStr">
        <is>
          <t xml:space="preserve">2024-05</t>
        </is>
      </c>
      <c r="O359" s="0">
        <f>INDEX(Journaux!$E$5:$E$18,MATCH("2024|"&amp;A359,Journaux!$A$5:$A$18,0))</f>
      </c>
      <c r="P359" s="0">
        <f>INDEX(Comptes!$H$5:$H$42,MATCH(E359,Comptes!$A$5:$A$42,0))</f>
      </c>
      <c r="Q359" s="0" t="inlineStr">
        <is>
          <t xml:space="preserve">4</t>
        </is>
      </c>
    </row>
    <row r="360">
      <c r="A360" s="4" t="inlineStr">
        <is>
          <t xml:space="preserve">BQ</t>
        </is>
      </c>
      <c r="B360" s="0" t="inlineStr">
        <is>
          <t xml:space="preserve">Banque Fictive</t>
        </is>
      </c>
      <c r="C360" s="0" t="inlineStr">
        <is>
          <t xml:space="preserve">BQ00045</t>
        </is>
      </c>
      <c r="D360" s="10">
        <v>45427</v>
      </c>
      <c r="E360" s="4" t="inlineStr">
        <is>
          <t xml:space="preserve">512000</t>
        </is>
      </c>
      <c r="F360" s="0" t="inlineStr">
        <is>
          <t xml:space="preserve">Banque Fictive</t>
        </is>
      </c>
      <c r="G360" s="0" t="inlineStr">
        <is>
          <t xml:space="preserve">URSSAF202404</t>
        </is>
      </c>
      <c r="H360" s="0" t="inlineStr">
        <is>
          <t xml:space="preserve">Reglement URSSAF 04/2024</t>
        </is>
      </c>
      <c r="I360" s="8">
        <v>0</v>
      </c>
      <c r="J360" s="8">
        <v>33650.91</v>
      </c>
      <c r="K360" s="0"/>
      <c r="L360" s="0"/>
      <c r="M360" s="8">
        <f>I360-J360</f>
      </c>
      <c r="N360" s="0" t="inlineStr">
        <is>
          <t xml:space="preserve">2024-05</t>
        </is>
      </c>
      <c r="O360" s="0">
        <f>INDEX(Journaux!$E$5:$E$18,MATCH("2024|"&amp;A360,Journaux!$A$5:$A$18,0))</f>
      </c>
      <c r="P360" s="0">
        <f>INDEX(Comptes!$H$5:$H$42,MATCH(E360,Comptes!$A$5:$A$42,0))</f>
      </c>
      <c r="Q360" s="0" t="inlineStr">
        <is>
          <t xml:space="preserve">5</t>
        </is>
      </c>
    </row>
    <row r="361">
      <c r="A361" s="4" t="inlineStr">
        <is>
          <t xml:space="preserve">BQ</t>
        </is>
      </c>
      <c r="B361" s="0" t="inlineStr">
        <is>
          <t xml:space="preserve">Banque Fictive</t>
        </is>
      </c>
      <c r="C361" s="0" t="inlineStr">
        <is>
          <t xml:space="preserve">BQ00046</t>
        </is>
      </c>
      <c r="D361" s="10">
        <v>45432</v>
      </c>
      <c r="E361" s="4" t="inlineStr">
        <is>
          <t xml:space="preserve">445510</t>
        </is>
      </c>
      <c r="F361" s="0" t="inlineStr">
        <is>
          <t xml:space="preserve">TVA a decaisser</t>
        </is>
      </c>
      <c r="G361" s="0" t="inlineStr">
        <is>
          <t xml:space="preserve">TVA202404</t>
        </is>
      </c>
      <c r="H361" s="0" t="inlineStr">
        <is>
          <t xml:space="preserve">Reglement TVA 04/2024</t>
        </is>
      </c>
      <c r="I361" s="8">
        <v>17878.37</v>
      </c>
      <c r="J361" s="8">
        <v>0</v>
      </c>
      <c r="K361" s="0"/>
      <c r="L361" s="0"/>
      <c r="M361" s="8">
        <f>I361-J361</f>
      </c>
      <c r="N361" s="0" t="inlineStr">
        <is>
          <t xml:space="preserve">2024-05</t>
        </is>
      </c>
      <c r="O361" s="0">
        <f>INDEX(Journaux!$E$5:$E$18,MATCH("2024|"&amp;A361,Journaux!$A$5:$A$18,0))</f>
      </c>
      <c r="P361" s="0">
        <f>INDEX(Comptes!$H$5:$H$42,MATCH(E361,Comptes!$A$5:$A$42,0))</f>
      </c>
      <c r="Q361" s="0" t="inlineStr">
        <is>
          <t xml:space="preserve">4</t>
        </is>
      </c>
    </row>
    <row r="362">
      <c r="A362" s="4" t="inlineStr">
        <is>
          <t xml:space="preserve">BQ</t>
        </is>
      </c>
      <c r="B362" s="0" t="inlineStr">
        <is>
          <t xml:space="preserve">Banque Fictive</t>
        </is>
      </c>
      <c r="C362" s="0" t="inlineStr">
        <is>
          <t xml:space="preserve">BQ00046</t>
        </is>
      </c>
      <c r="D362" s="10">
        <v>45432</v>
      </c>
      <c r="E362" s="4" t="inlineStr">
        <is>
          <t xml:space="preserve">512000</t>
        </is>
      </c>
      <c r="F362" s="0" t="inlineStr">
        <is>
          <t xml:space="preserve">Banque Fictive</t>
        </is>
      </c>
      <c r="G362" s="0" t="inlineStr">
        <is>
          <t xml:space="preserve">TVA202404</t>
        </is>
      </c>
      <c r="H362" s="0" t="inlineStr">
        <is>
          <t xml:space="preserve">Reglement TVA 04/2024</t>
        </is>
      </c>
      <c r="I362" s="8">
        <v>0</v>
      </c>
      <c r="J362" s="8">
        <v>17878.37</v>
      </c>
      <c r="K362" s="0"/>
      <c r="L362" s="0"/>
      <c r="M362" s="8">
        <f>I362-J362</f>
      </c>
      <c r="N362" s="0" t="inlineStr">
        <is>
          <t xml:space="preserve">2024-05</t>
        </is>
      </c>
      <c r="O362" s="0">
        <f>INDEX(Journaux!$E$5:$E$18,MATCH("2024|"&amp;A362,Journaux!$A$5:$A$18,0))</f>
      </c>
      <c r="P362" s="0">
        <f>INDEX(Comptes!$H$5:$H$42,MATCH(E362,Comptes!$A$5:$A$42,0))</f>
      </c>
      <c r="Q362" s="0" t="inlineStr">
        <is>
          <t xml:space="preserve">5</t>
        </is>
      </c>
    </row>
    <row r="363">
      <c r="A363" s="4" t="inlineStr">
        <is>
          <t xml:space="preserve">AC</t>
        </is>
      </c>
      <c r="B363" s="0" t="inlineStr">
        <is>
          <t xml:space="preserve">Journal des achats</t>
        </is>
      </c>
      <c r="C363" s="0" t="inlineStr">
        <is>
          <t xml:space="preserve">AC00027</t>
        </is>
      </c>
      <c r="D363" s="10">
        <v>45434</v>
      </c>
      <c r="E363" s="4" t="inlineStr">
        <is>
          <t xml:space="preserve">601000</t>
        </is>
      </c>
      <c r="F363" s="0" t="inlineStr">
        <is>
          <t xml:space="preserve">Achats de matieres premieres</t>
        </is>
      </c>
      <c r="G363" s="0" t="inlineStr">
        <is>
          <t xml:space="preserve">F003-2024052</t>
        </is>
      </c>
      <c r="H363" s="0" t="inlineStr">
        <is>
          <t xml:space="preserve">Facture Vernis et Finitions F003-2024052</t>
        </is>
      </c>
      <c r="I363" s="8">
        <v>26243.57</v>
      </c>
      <c r="J363" s="8">
        <v>0</v>
      </c>
      <c r="K363" s="0"/>
      <c r="L363" s="0"/>
      <c r="M363" s="8">
        <f>I363-J363</f>
      </c>
      <c r="N363" s="0" t="inlineStr">
        <is>
          <t xml:space="preserve">2024-05</t>
        </is>
      </c>
      <c r="O363" s="0">
        <f>INDEX(Journaux!$E$5:$E$18,MATCH("2024|"&amp;A363,Journaux!$A$5:$A$18,0))</f>
      </c>
      <c r="P363" s="0">
        <f>INDEX(Comptes!$H$5:$H$42,MATCH(E363,Comptes!$A$5:$A$42,0))</f>
      </c>
      <c r="Q363" s="0" t="inlineStr">
        <is>
          <t xml:space="preserve">6</t>
        </is>
      </c>
    </row>
    <row r="364">
      <c r="A364" s="4" t="inlineStr">
        <is>
          <t xml:space="preserve">AC</t>
        </is>
      </c>
      <c r="B364" s="0" t="inlineStr">
        <is>
          <t xml:space="preserve">Journal des achats</t>
        </is>
      </c>
      <c r="C364" s="0" t="inlineStr">
        <is>
          <t xml:space="preserve">AC00027</t>
        </is>
      </c>
      <c r="D364" s="10">
        <v>45434</v>
      </c>
      <c r="E364" s="4" t="inlineStr">
        <is>
          <t xml:space="preserve">445660</t>
        </is>
      </c>
      <c r="F364" s="0" t="inlineStr">
        <is>
          <t xml:space="preserve">TVA deductible sur ABS</t>
        </is>
      </c>
      <c r="G364" s="0" t="inlineStr">
        <is>
          <t xml:space="preserve">F003-2024052</t>
        </is>
      </c>
      <c r="H364" s="0" t="inlineStr">
        <is>
          <t xml:space="preserve">Facture Vernis et Finitions F003-2024052</t>
        </is>
      </c>
      <c r="I364" s="8">
        <v>5248.71</v>
      </c>
      <c r="J364" s="8">
        <v>0</v>
      </c>
      <c r="K364" s="0"/>
      <c r="L364" s="0"/>
      <c r="M364" s="8">
        <f>I364-J364</f>
      </c>
      <c r="N364" s="0" t="inlineStr">
        <is>
          <t xml:space="preserve">2024-05</t>
        </is>
      </c>
      <c r="O364" s="0">
        <f>INDEX(Journaux!$E$5:$E$18,MATCH("2024|"&amp;A364,Journaux!$A$5:$A$18,0))</f>
      </c>
      <c r="P364" s="0">
        <f>INDEX(Comptes!$H$5:$H$42,MATCH(E364,Comptes!$A$5:$A$42,0))</f>
      </c>
      <c r="Q364" s="0" t="inlineStr">
        <is>
          <t xml:space="preserve">4</t>
        </is>
      </c>
    </row>
    <row r="365">
      <c r="A365" s="4" t="inlineStr">
        <is>
          <t xml:space="preserve">AC</t>
        </is>
      </c>
      <c r="B365" s="0" t="inlineStr">
        <is>
          <t xml:space="preserve">Journal des achats</t>
        </is>
      </c>
      <c r="C365" s="0" t="inlineStr">
        <is>
          <t xml:space="preserve">AC00027</t>
        </is>
      </c>
      <c r="D365" s="10">
        <v>45434</v>
      </c>
      <c r="E365" s="4" t="inlineStr">
        <is>
          <t xml:space="preserve">401000</t>
        </is>
      </c>
      <c r="F365" s="0" t="inlineStr">
        <is>
          <t xml:space="preserve">Fournisseurs</t>
        </is>
      </c>
      <c r="G365" s="0" t="inlineStr">
        <is>
          <t xml:space="preserve">F003-2024052</t>
        </is>
      </c>
      <c r="H365" s="0" t="inlineStr">
        <is>
          <t xml:space="preserve">Facture Vernis et Finitions F003-2024052</t>
        </is>
      </c>
      <c r="I365" s="8">
        <v>0</v>
      </c>
      <c r="J365" s="8">
        <v>31492.28</v>
      </c>
      <c r="K365" s="0" t="inlineStr">
        <is>
          <t xml:space="preserve">ACM</t>
        </is>
      </c>
      <c r="L365" s="0" t="inlineStr">
        <is>
          <t xml:space="preserve">Vernis et Finitions</t>
        </is>
      </c>
      <c r="M365" s="8">
        <f>I365-J365</f>
      </c>
      <c r="N365" s="0" t="inlineStr">
        <is>
          <t xml:space="preserve">2024-05</t>
        </is>
      </c>
      <c r="O365" s="0">
        <f>INDEX(Journaux!$E$5:$E$18,MATCH("2024|"&amp;A365,Journaux!$A$5:$A$18,0))</f>
      </c>
      <c r="P365" s="0">
        <f>INDEX(Comptes!$H$5:$H$42,MATCH(E365,Comptes!$A$5:$A$42,0))</f>
      </c>
      <c r="Q365" s="0" t="inlineStr">
        <is>
          <t xml:space="preserve">4</t>
        </is>
      </c>
      <c r="R365" s="7" t="inlineStr">
        <is>
          <t xml:space="preserve">401000|F003</t>
        </is>
      </c>
    </row>
    <row r="366">
      <c r="A366" s="4" t="inlineStr">
        <is>
          <t xml:space="preserve">VT</t>
        </is>
      </c>
      <c r="B366" s="0" t="inlineStr">
        <is>
          <t xml:space="preserve">Journal des ventes</t>
        </is>
      </c>
      <c r="C366" s="0" t="inlineStr">
        <is>
          <t xml:space="preserve">VT00027</t>
        </is>
      </c>
      <c r="D366" s="10">
        <v>45434</v>
      </c>
      <c r="E366" s="4" t="inlineStr">
        <is>
          <t xml:space="preserve">411000</t>
        </is>
      </c>
      <c r="F366" s="0" t="inlineStr">
        <is>
          <t xml:space="preserve">Clients</t>
        </is>
      </c>
      <c r="G366" s="0" t="inlineStr">
        <is>
          <t xml:space="preserve">FA2024-0027</t>
        </is>
      </c>
      <c r="H366" s="0" t="inlineStr">
        <is>
          <t xml:space="preserve">Facture FA2024-0027 Residence Bel Air</t>
        </is>
      </c>
      <c r="I366" s="8">
        <v>30736.78</v>
      </c>
      <c r="J366" s="8">
        <v>0</v>
      </c>
      <c r="K366" s="0" t="inlineStr">
        <is>
          <t xml:space="preserve">AAF</t>
        </is>
      </c>
      <c r="L366" s="0" t="inlineStr">
        <is>
          <t xml:space="preserve">Residence Bel Air</t>
        </is>
      </c>
      <c r="M366" s="8">
        <f>I366-J366</f>
      </c>
      <c r="N366" s="0" t="inlineStr">
        <is>
          <t xml:space="preserve">2024-05</t>
        </is>
      </c>
      <c r="O366" s="0">
        <f>INDEX(Journaux!$E$5:$E$18,MATCH("2024|"&amp;A366,Journaux!$A$5:$A$18,0))</f>
      </c>
      <c r="P366" s="0">
        <f>INDEX(Comptes!$H$5:$H$42,MATCH(E366,Comptes!$A$5:$A$42,0))</f>
      </c>
      <c r="Q366" s="0" t="inlineStr">
        <is>
          <t xml:space="preserve">4</t>
        </is>
      </c>
      <c r="R366" s="7" t="inlineStr">
        <is>
          <t xml:space="preserve">411000|C003</t>
        </is>
      </c>
    </row>
    <row r="367">
      <c r="A367" s="4" t="inlineStr">
        <is>
          <t xml:space="preserve">VT</t>
        </is>
      </c>
      <c r="B367" s="0" t="inlineStr">
        <is>
          <t xml:space="preserve">Journal des ventes</t>
        </is>
      </c>
      <c r="C367" s="0" t="inlineStr">
        <is>
          <t xml:space="preserve">VT00027</t>
        </is>
      </c>
      <c r="D367" s="10">
        <v>45434</v>
      </c>
      <c r="E367" s="4" t="inlineStr">
        <is>
          <t xml:space="preserve">701000</t>
        </is>
      </c>
      <c r="F367" s="0" t="inlineStr">
        <is>
          <t xml:space="preserve">Ventes de produits finis</t>
        </is>
      </c>
      <c r="G367" s="0" t="inlineStr">
        <is>
          <t xml:space="preserve">FA2024-0027</t>
        </is>
      </c>
      <c r="H367" s="0" t="inlineStr">
        <is>
          <t xml:space="preserve">Facture FA2024-0027 Residence Bel Air</t>
        </is>
      </c>
      <c r="I367" s="8">
        <v>0</v>
      </c>
      <c r="J367" s="8">
        <v>25613.98</v>
      </c>
      <c r="K367" s="0"/>
      <c r="L367" s="0"/>
      <c r="M367" s="8">
        <f>I367-J367</f>
      </c>
      <c r="N367" s="0" t="inlineStr">
        <is>
          <t xml:space="preserve">2024-05</t>
        </is>
      </c>
      <c r="O367" s="0">
        <f>INDEX(Journaux!$E$5:$E$18,MATCH("2024|"&amp;A367,Journaux!$A$5:$A$18,0))</f>
      </c>
      <c r="P367" s="0">
        <f>INDEX(Comptes!$H$5:$H$42,MATCH(E367,Comptes!$A$5:$A$42,0))</f>
      </c>
      <c r="Q367" s="0" t="inlineStr">
        <is>
          <t xml:space="preserve">7</t>
        </is>
      </c>
    </row>
    <row r="368">
      <c r="A368" s="4" t="inlineStr">
        <is>
          <t xml:space="preserve">VT</t>
        </is>
      </c>
      <c r="B368" s="0" t="inlineStr">
        <is>
          <t xml:space="preserve">Journal des ventes</t>
        </is>
      </c>
      <c r="C368" s="0" t="inlineStr">
        <is>
          <t xml:space="preserve">VT00027</t>
        </is>
      </c>
      <c r="D368" s="10">
        <v>45434</v>
      </c>
      <c r="E368" s="4" t="inlineStr">
        <is>
          <t xml:space="preserve">445710</t>
        </is>
      </c>
      <c r="F368" s="0" t="inlineStr">
        <is>
          <t xml:space="preserve">TVA collectee</t>
        </is>
      </c>
      <c r="G368" s="0" t="inlineStr">
        <is>
          <t xml:space="preserve">FA2024-0027</t>
        </is>
      </c>
      <c r="H368" s="0" t="inlineStr">
        <is>
          <t xml:space="preserve">Facture FA2024-0027 Residence Bel Air</t>
        </is>
      </c>
      <c r="I368" s="8">
        <v>0</v>
      </c>
      <c r="J368" s="8">
        <v>5122.8</v>
      </c>
      <c r="K368" s="0"/>
      <c r="L368" s="0"/>
      <c r="M368" s="8">
        <f>I368-J368</f>
      </c>
      <c r="N368" s="0" t="inlineStr">
        <is>
          <t xml:space="preserve">2024-05</t>
        </is>
      </c>
      <c r="O368" s="0">
        <f>INDEX(Journaux!$E$5:$E$18,MATCH("2024|"&amp;A368,Journaux!$A$5:$A$18,0))</f>
      </c>
      <c r="P368" s="0">
        <f>INDEX(Comptes!$H$5:$H$42,MATCH(E368,Comptes!$A$5:$A$42,0))</f>
      </c>
      <c r="Q368" s="0" t="inlineStr">
        <is>
          <t xml:space="preserve">4</t>
        </is>
      </c>
    </row>
    <row r="369">
      <c r="A369" s="4" t="inlineStr">
        <is>
          <t xml:space="preserve">AC</t>
        </is>
      </c>
      <c r="B369" s="0" t="inlineStr">
        <is>
          <t xml:space="preserve">Journal des achats</t>
        </is>
      </c>
      <c r="C369" s="0" t="inlineStr">
        <is>
          <t xml:space="preserve">AC00026</t>
        </is>
      </c>
      <c r="D369" s="10">
        <v>45435</v>
      </c>
      <c r="E369" s="4" t="inlineStr">
        <is>
          <t xml:space="preserve">601000</t>
        </is>
      </c>
      <c r="F369" s="0" t="inlineStr">
        <is>
          <t xml:space="preserve">Achats de matieres premieres</t>
        </is>
      </c>
      <c r="G369" s="0" t="inlineStr">
        <is>
          <t xml:space="preserve">F001-2024051</t>
        </is>
      </c>
      <c r="H369" s="0" t="inlineStr">
        <is>
          <t xml:space="preserve">Facture Scierie du Nord F001-2024051</t>
        </is>
      </c>
      <c r="I369" s="8">
        <v>26687.51</v>
      </c>
      <c r="J369" s="8">
        <v>0</v>
      </c>
      <c r="K369" s="0"/>
      <c r="L369" s="0"/>
      <c r="M369" s="8">
        <f>I369-J369</f>
      </c>
      <c r="N369" s="0" t="inlineStr">
        <is>
          <t xml:space="preserve">2024-05</t>
        </is>
      </c>
      <c r="O369" s="0">
        <f>INDEX(Journaux!$E$5:$E$18,MATCH("2024|"&amp;A369,Journaux!$A$5:$A$18,0))</f>
      </c>
      <c r="P369" s="0">
        <f>INDEX(Comptes!$H$5:$H$42,MATCH(E369,Comptes!$A$5:$A$42,0))</f>
      </c>
      <c r="Q369" s="0" t="inlineStr">
        <is>
          <t xml:space="preserve">6</t>
        </is>
      </c>
    </row>
    <row r="370">
      <c r="A370" s="4" t="inlineStr">
        <is>
          <t xml:space="preserve">AC</t>
        </is>
      </c>
      <c r="B370" s="0" t="inlineStr">
        <is>
          <t xml:space="preserve">Journal des achats</t>
        </is>
      </c>
      <c r="C370" s="0" t="inlineStr">
        <is>
          <t xml:space="preserve">AC00026</t>
        </is>
      </c>
      <c r="D370" s="10">
        <v>45435</v>
      </c>
      <c r="E370" s="4" t="inlineStr">
        <is>
          <t xml:space="preserve">445660</t>
        </is>
      </c>
      <c r="F370" s="0" t="inlineStr">
        <is>
          <t xml:space="preserve">TVA deductible sur ABS</t>
        </is>
      </c>
      <c r="G370" s="0" t="inlineStr">
        <is>
          <t xml:space="preserve">F001-2024051</t>
        </is>
      </c>
      <c r="H370" s="0" t="inlineStr">
        <is>
          <t xml:space="preserve">Facture Scierie du Nord F001-2024051</t>
        </is>
      </c>
      <c r="I370" s="8">
        <v>5337.5</v>
      </c>
      <c r="J370" s="8">
        <v>0</v>
      </c>
      <c r="K370" s="0"/>
      <c r="L370" s="0"/>
      <c r="M370" s="8">
        <f>I370-J370</f>
      </c>
      <c r="N370" s="0" t="inlineStr">
        <is>
          <t xml:space="preserve">2024-05</t>
        </is>
      </c>
      <c r="O370" s="0">
        <f>INDEX(Journaux!$E$5:$E$18,MATCH("2024|"&amp;A370,Journaux!$A$5:$A$18,0))</f>
      </c>
      <c r="P370" s="0">
        <f>INDEX(Comptes!$H$5:$H$42,MATCH(E370,Comptes!$A$5:$A$42,0))</f>
      </c>
      <c r="Q370" s="0" t="inlineStr">
        <is>
          <t xml:space="preserve">4</t>
        </is>
      </c>
    </row>
    <row r="371">
      <c r="A371" s="4" t="inlineStr">
        <is>
          <t xml:space="preserve">AC</t>
        </is>
      </c>
      <c r="B371" s="0" t="inlineStr">
        <is>
          <t xml:space="preserve">Journal des achats</t>
        </is>
      </c>
      <c r="C371" s="0" t="inlineStr">
        <is>
          <t xml:space="preserve">AC00026</t>
        </is>
      </c>
      <c r="D371" s="10">
        <v>45435</v>
      </c>
      <c r="E371" s="4" t="inlineStr">
        <is>
          <t xml:space="preserve">401000</t>
        </is>
      </c>
      <c r="F371" s="0" t="inlineStr">
        <is>
          <t xml:space="preserve">Fournisseurs</t>
        </is>
      </c>
      <c r="G371" s="0" t="inlineStr">
        <is>
          <t xml:space="preserve">F001-2024051</t>
        </is>
      </c>
      <c r="H371" s="0" t="inlineStr">
        <is>
          <t xml:space="preserve">Facture Scierie du Nord F001-2024051</t>
        </is>
      </c>
      <c r="I371" s="8">
        <v>0</v>
      </c>
      <c r="J371" s="8">
        <v>32025.01</v>
      </c>
      <c r="K371" s="0" t="inlineStr">
        <is>
          <t xml:space="preserve">ACL</t>
        </is>
      </c>
      <c r="L371" s="0" t="inlineStr">
        <is>
          <t xml:space="preserve">Scierie du Nord</t>
        </is>
      </c>
      <c r="M371" s="8">
        <f>I371-J371</f>
      </c>
      <c r="N371" s="0" t="inlineStr">
        <is>
          <t xml:space="preserve">2024-05</t>
        </is>
      </c>
      <c r="O371" s="0">
        <f>INDEX(Journaux!$E$5:$E$18,MATCH("2024|"&amp;A371,Journaux!$A$5:$A$18,0))</f>
      </c>
      <c r="P371" s="0">
        <f>INDEX(Comptes!$H$5:$H$42,MATCH(E371,Comptes!$A$5:$A$42,0))</f>
      </c>
      <c r="Q371" s="0" t="inlineStr">
        <is>
          <t xml:space="preserve">4</t>
        </is>
      </c>
      <c r="R371" s="7" t="inlineStr">
        <is>
          <t xml:space="preserve">401000|F001</t>
        </is>
      </c>
    </row>
    <row r="372">
      <c r="A372" s="4" t="inlineStr">
        <is>
          <t xml:space="preserve">VT</t>
        </is>
      </c>
      <c r="B372" s="0" t="inlineStr">
        <is>
          <t xml:space="preserve">Journal des ventes</t>
        </is>
      </c>
      <c r="C372" s="0" t="inlineStr">
        <is>
          <t xml:space="preserve">VT00026</t>
        </is>
      </c>
      <c r="D372" s="10">
        <v>45439</v>
      </c>
      <c r="E372" s="4" t="inlineStr">
        <is>
          <t xml:space="preserve">411000</t>
        </is>
      </c>
      <c r="F372" s="0" t="inlineStr">
        <is>
          <t xml:space="preserve">Clients</t>
        </is>
      </c>
      <c r="G372" s="0" t="inlineStr">
        <is>
          <t xml:space="preserve">FA2024-0026</t>
        </is>
      </c>
      <c r="H372" s="0" t="inlineStr">
        <is>
          <t xml:space="preserve">Facture FA2024-0026 Coworking Atelier 9</t>
        </is>
      </c>
      <c r="I372" s="8">
        <v>23801.88</v>
      </c>
      <c r="J372" s="8">
        <v>0</v>
      </c>
      <c r="K372" s="0" t="inlineStr">
        <is>
          <t xml:space="preserve">AAE</t>
        </is>
      </c>
      <c r="L372" s="0" t="inlineStr">
        <is>
          <t xml:space="preserve">Coworking Atelier 9</t>
        </is>
      </c>
      <c r="M372" s="8">
        <f>I372-J372</f>
      </c>
      <c r="N372" s="0" t="inlineStr">
        <is>
          <t xml:space="preserve">2024-05</t>
        </is>
      </c>
      <c r="O372" s="0">
        <f>INDEX(Journaux!$E$5:$E$18,MATCH("2024|"&amp;A372,Journaux!$A$5:$A$18,0))</f>
      </c>
      <c r="P372" s="0">
        <f>INDEX(Comptes!$H$5:$H$42,MATCH(E372,Comptes!$A$5:$A$42,0))</f>
      </c>
      <c r="Q372" s="0" t="inlineStr">
        <is>
          <t xml:space="preserve">4</t>
        </is>
      </c>
      <c r="R372" s="7" t="inlineStr">
        <is>
          <t xml:space="preserve">411000|C008</t>
        </is>
      </c>
    </row>
    <row r="373">
      <c r="A373" s="4" t="inlineStr">
        <is>
          <t xml:space="preserve">VT</t>
        </is>
      </c>
      <c r="B373" s="0" t="inlineStr">
        <is>
          <t xml:space="preserve">Journal des ventes</t>
        </is>
      </c>
      <c r="C373" s="0" t="inlineStr">
        <is>
          <t xml:space="preserve">VT00026</t>
        </is>
      </c>
      <c r="D373" s="10">
        <v>45439</v>
      </c>
      <c r="E373" s="4" t="inlineStr">
        <is>
          <t xml:space="preserve">701000</t>
        </is>
      </c>
      <c r="F373" s="0" t="inlineStr">
        <is>
          <t xml:space="preserve">Ventes de produits finis</t>
        </is>
      </c>
      <c r="G373" s="0" t="inlineStr">
        <is>
          <t xml:space="preserve">FA2024-0026</t>
        </is>
      </c>
      <c r="H373" s="0" t="inlineStr">
        <is>
          <t xml:space="preserve">Facture FA2024-0026 Coworking Atelier 9</t>
        </is>
      </c>
      <c r="I373" s="8">
        <v>0</v>
      </c>
      <c r="J373" s="8">
        <v>19834.9</v>
      </c>
      <c r="K373" s="0"/>
      <c r="L373" s="0"/>
      <c r="M373" s="8">
        <f>I373-J373</f>
      </c>
      <c r="N373" s="0" t="inlineStr">
        <is>
          <t xml:space="preserve">2024-05</t>
        </is>
      </c>
      <c r="O373" s="0">
        <f>INDEX(Journaux!$E$5:$E$18,MATCH("2024|"&amp;A373,Journaux!$A$5:$A$18,0))</f>
      </c>
      <c r="P373" s="0">
        <f>INDEX(Comptes!$H$5:$H$42,MATCH(E373,Comptes!$A$5:$A$42,0))</f>
      </c>
      <c r="Q373" s="0" t="inlineStr">
        <is>
          <t xml:space="preserve">7</t>
        </is>
      </c>
    </row>
    <row r="374">
      <c r="A374" s="4" t="inlineStr">
        <is>
          <t xml:space="preserve">VT</t>
        </is>
      </c>
      <c r="B374" s="0" t="inlineStr">
        <is>
          <t xml:space="preserve">Journal des ventes</t>
        </is>
      </c>
      <c r="C374" s="0" t="inlineStr">
        <is>
          <t xml:space="preserve">VT00026</t>
        </is>
      </c>
      <c r="D374" s="10">
        <v>45439</v>
      </c>
      <c r="E374" s="4" t="inlineStr">
        <is>
          <t xml:space="preserve">445710</t>
        </is>
      </c>
      <c r="F374" s="0" t="inlineStr">
        <is>
          <t xml:space="preserve">TVA collectee</t>
        </is>
      </c>
      <c r="G374" s="0" t="inlineStr">
        <is>
          <t xml:space="preserve">FA2024-0026</t>
        </is>
      </c>
      <c r="H374" s="0" t="inlineStr">
        <is>
          <t xml:space="preserve">Facture FA2024-0026 Coworking Atelier 9</t>
        </is>
      </c>
      <c r="I374" s="8">
        <v>0</v>
      </c>
      <c r="J374" s="8">
        <v>3966.98</v>
      </c>
      <c r="K374" s="0"/>
      <c r="L374" s="0"/>
      <c r="M374" s="8">
        <f>I374-J374</f>
      </c>
      <c r="N374" s="0" t="inlineStr">
        <is>
          <t xml:space="preserve">2024-05</t>
        </is>
      </c>
      <c r="O374" s="0">
        <f>INDEX(Journaux!$E$5:$E$18,MATCH("2024|"&amp;A374,Journaux!$A$5:$A$18,0))</f>
      </c>
      <c r="P374" s="0">
        <f>INDEX(Comptes!$H$5:$H$42,MATCH(E374,Comptes!$A$5:$A$42,0))</f>
      </c>
      <c r="Q374" s="0" t="inlineStr">
        <is>
          <t xml:space="preserve">4</t>
        </is>
      </c>
    </row>
    <row r="375">
      <c r="A375" s="4" t="inlineStr">
        <is>
          <t xml:space="preserve">AC</t>
        </is>
      </c>
      <c r="B375" s="0" t="inlineStr">
        <is>
          <t xml:space="preserve">Journal des achats</t>
        </is>
      </c>
      <c r="C375" s="0" t="inlineStr">
        <is>
          <t xml:space="preserve">AC00028</t>
        </is>
      </c>
      <c r="D375" s="10">
        <v>45441</v>
      </c>
      <c r="E375" s="4" t="inlineStr">
        <is>
          <t xml:space="preserve">601000</t>
        </is>
      </c>
      <c r="F375" s="0" t="inlineStr">
        <is>
          <t xml:space="preserve">Achats de matieres premieres</t>
        </is>
      </c>
      <c r="G375" s="0" t="inlineStr">
        <is>
          <t xml:space="preserve">F003-2024053</t>
        </is>
      </c>
      <c r="H375" s="0" t="inlineStr">
        <is>
          <t xml:space="preserve">Facture Vernis et Finitions F003-2024053</t>
        </is>
      </c>
      <c r="I375" s="8">
        <v>24068.92</v>
      </c>
      <c r="J375" s="8">
        <v>0</v>
      </c>
      <c r="K375" s="0"/>
      <c r="L375" s="0"/>
      <c r="M375" s="8">
        <f>I375-J375</f>
      </c>
      <c r="N375" s="0" t="inlineStr">
        <is>
          <t xml:space="preserve">2024-05</t>
        </is>
      </c>
      <c r="O375" s="0">
        <f>INDEX(Journaux!$E$5:$E$18,MATCH("2024|"&amp;A375,Journaux!$A$5:$A$18,0))</f>
      </c>
      <c r="P375" s="0">
        <f>INDEX(Comptes!$H$5:$H$42,MATCH(E375,Comptes!$A$5:$A$42,0))</f>
      </c>
      <c r="Q375" s="0" t="inlineStr">
        <is>
          <t xml:space="preserve">6</t>
        </is>
      </c>
    </row>
    <row r="376">
      <c r="A376" s="4" t="inlineStr">
        <is>
          <t xml:space="preserve">AC</t>
        </is>
      </c>
      <c r="B376" s="0" t="inlineStr">
        <is>
          <t xml:space="preserve">Journal des achats</t>
        </is>
      </c>
      <c r="C376" s="0" t="inlineStr">
        <is>
          <t xml:space="preserve">AC00028</t>
        </is>
      </c>
      <c r="D376" s="10">
        <v>45441</v>
      </c>
      <c r="E376" s="4" t="inlineStr">
        <is>
          <t xml:space="preserve">445660</t>
        </is>
      </c>
      <c r="F376" s="0" t="inlineStr">
        <is>
          <t xml:space="preserve">TVA deductible sur ABS</t>
        </is>
      </c>
      <c r="G376" s="0" t="inlineStr">
        <is>
          <t xml:space="preserve">F003-2024053</t>
        </is>
      </c>
      <c r="H376" s="0" t="inlineStr">
        <is>
          <t xml:space="preserve">Facture Vernis et Finitions F003-2024053</t>
        </is>
      </c>
      <c r="I376" s="8">
        <v>4813.78</v>
      </c>
      <c r="J376" s="8">
        <v>0</v>
      </c>
      <c r="K376" s="0"/>
      <c r="L376" s="0"/>
      <c r="M376" s="8">
        <f>I376-J376</f>
      </c>
      <c r="N376" s="0" t="inlineStr">
        <is>
          <t xml:space="preserve">2024-05</t>
        </is>
      </c>
      <c r="O376" s="0">
        <f>INDEX(Journaux!$E$5:$E$18,MATCH("2024|"&amp;A376,Journaux!$A$5:$A$18,0))</f>
      </c>
      <c r="P376" s="0">
        <f>INDEX(Comptes!$H$5:$H$42,MATCH(E376,Comptes!$A$5:$A$42,0))</f>
      </c>
      <c r="Q376" s="0" t="inlineStr">
        <is>
          <t xml:space="preserve">4</t>
        </is>
      </c>
    </row>
    <row r="377">
      <c r="A377" s="4" t="inlineStr">
        <is>
          <t xml:space="preserve">AC</t>
        </is>
      </c>
      <c r="B377" s="0" t="inlineStr">
        <is>
          <t xml:space="preserve">Journal des achats</t>
        </is>
      </c>
      <c r="C377" s="0" t="inlineStr">
        <is>
          <t xml:space="preserve">AC00028</t>
        </is>
      </c>
      <c r="D377" s="10">
        <v>45441</v>
      </c>
      <c r="E377" s="4" t="inlineStr">
        <is>
          <t xml:space="preserve">401000</t>
        </is>
      </c>
      <c r="F377" s="0" t="inlineStr">
        <is>
          <t xml:space="preserve">Fournisseurs</t>
        </is>
      </c>
      <c r="G377" s="0" t="inlineStr">
        <is>
          <t xml:space="preserve">F003-2024053</t>
        </is>
      </c>
      <c r="H377" s="0" t="inlineStr">
        <is>
          <t xml:space="preserve">Facture Vernis et Finitions F003-2024053</t>
        </is>
      </c>
      <c r="I377" s="8">
        <v>0</v>
      </c>
      <c r="J377" s="8">
        <v>28882.7</v>
      </c>
      <c r="K377" s="0" t="inlineStr">
        <is>
          <t xml:space="preserve">ACN</t>
        </is>
      </c>
      <c r="L377" s="0" t="inlineStr">
        <is>
          <t xml:space="preserve">Vernis et Finitions</t>
        </is>
      </c>
      <c r="M377" s="8">
        <f>I377-J377</f>
      </c>
      <c r="N377" s="0" t="inlineStr">
        <is>
          <t xml:space="preserve">2024-05</t>
        </is>
      </c>
      <c r="O377" s="0">
        <f>INDEX(Journaux!$E$5:$E$18,MATCH("2024|"&amp;A377,Journaux!$A$5:$A$18,0))</f>
      </c>
      <c r="P377" s="0">
        <f>INDEX(Comptes!$H$5:$H$42,MATCH(E377,Comptes!$A$5:$A$42,0))</f>
      </c>
      <c r="Q377" s="0" t="inlineStr">
        <is>
          <t xml:space="preserve">4</t>
        </is>
      </c>
      <c r="R377" s="7" t="inlineStr">
        <is>
          <t xml:space="preserve">401000|F003</t>
        </is>
      </c>
    </row>
    <row r="378">
      <c r="A378" s="4" t="inlineStr">
        <is>
          <t xml:space="preserve">VT</t>
        </is>
      </c>
      <c r="B378" s="0" t="inlineStr">
        <is>
          <t xml:space="preserve">Journal des ventes</t>
        </is>
      </c>
      <c r="C378" s="0" t="inlineStr">
        <is>
          <t xml:space="preserve">VT00024</t>
        </is>
      </c>
      <c r="D378" s="10">
        <v>45441</v>
      </c>
      <c r="E378" s="4" t="inlineStr">
        <is>
          <t xml:space="preserve">411000</t>
        </is>
      </c>
      <c r="F378" s="0" t="inlineStr">
        <is>
          <t xml:space="preserve">Clients</t>
        </is>
      </c>
      <c r="G378" s="0" t="inlineStr">
        <is>
          <t xml:space="preserve">FA2024-0024</t>
        </is>
      </c>
      <c r="H378" s="0" t="inlineStr">
        <is>
          <t xml:space="preserve">Facture FA2024-0024 Cabinet Varenne Associes</t>
        </is>
      </c>
      <c r="I378" s="8">
        <v>37253.3</v>
      </c>
      <c r="J378" s="8">
        <v>0</v>
      </c>
      <c r="K378" s="0" t="inlineStr">
        <is>
          <t xml:space="preserve">AAC</t>
        </is>
      </c>
      <c r="L378" s="0" t="inlineStr">
        <is>
          <t xml:space="preserve">Cabinet Varenne Associes</t>
        </is>
      </c>
      <c r="M378" s="8">
        <f>I378-J378</f>
      </c>
      <c r="N378" s="0" t="inlineStr">
        <is>
          <t xml:space="preserve">2024-05</t>
        </is>
      </c>
      <c r="O378" s="0">
        <f>INDEX(Journaux!$E$5:$E$18,MATCH("2024|"&amp;A378,Journaux!$A$5:$A$18,0))</f>
      </c>
      <c r="P378" s="0">
        <f>INDEX(Comptes!$H$5:$H$42,MATCH(E378,Comptes!$A$5:$A$42,0))</f>
      </c>
      <c r="Q378" s="0" t="inlineStr">
        <is>
          <t xml:space="preserve">4</t>
        </is>
      </c>
      <c r="R378" s="7" t="inlineStr">
        <is>
          <t xml:space="preserve">411000|C004</t>
        </is>
      </c>
    </row>
    <row r="379">
      <c r="A379" s="4" t="inlineStr">
        <is>
          <t xml:space="preserve">VT</t>
        </is>
      </c>
      <c r="B379" s="0" t="inlineStr">
        <is>
          <t xml:space="preserve">Journal des ventes</t>
        </is>
      </c>
      <c r="C379" s="0" t="inlineStr">
        <is>
          <t xml:space="preserve">VT00024</t>
        </is>
      </c>
      <c r="D379" s="10">
        <v>45441</v>
      </c>
      <c r="E379" s="4" t="inlineStr">
        <is>
          <t xml:space="preserve">701000</t>
        </is>
      </c>
      <c r="F379" s="0" t="inlineStr">
        <is>
          <t xml:space="preserve">Ventes de produits finis</t>
        </is>
      </c>
      <c r="G379" s="0" t="inlineStr">
        <is>
          <t xml:space="preserve">FA2024-0024</t>
        </is>
      </c>
      <c r="H379" s="0" t="inlineStr">
        <is>
          <t xml:space="preserve">Facture FA2024-0024 Cabinet Varenne Associes</t>
        </is>
      </c>
      <c r="I379" s="8">
        <v>0</v>
      </c>
      <c r="J379" s="8">
        <v>31044.42</v>
      </c>
      <c r="K379" s="0"/>
      <c r="L379" s="0"/>
      <c r="M379" s="8">
        <f>I379-J379</f>
      </c>
      <c r="N379" s="0" t="inlineStr">
        <is>
          <t xml:space="preserve">2024-05</t>
        </is>
      </c>
      <c r="O379" s="0">
        <f>INDEX(Journaux!$E$5:$E$18,MATCH("2024|"&amp;A379,Journaux!$A$5:$A$18,0))</f>
      </c>
      <c r="P379" s="0">
        <f>INDEX(Comptes!$H$5:$H$42,MATCH(E379,Comptes!$A$5:$A$42,0))</f>
      </c>
      <c r="Q379" s="0" t="inlineStr">
        <is>
          <t xml:space="preserve">7</t>
        </is>
      </c>
    </row>
    <row r="380">
      <c r="A380" s="4" t="inlineStr">
        <is>
          <t xml:space="preserve">VT</t>
        </is>
      </c>
      <c r="B380" s="0" t="inlineStr">
        <is>
          <t xml:space="preserve">Journal des ventes</t>
        </is>
      </c>
      <c r="C380" s="0" t="inlineStr">
        <is>
          <t xml:space="preserve">VT00024</t>
        </is>
      </c>
      <c r="D380" s="10">
        <v>45441</v>
      </c>
      <c r="E380" s="4" t="inlineStr">
        <is>
          <t xml:space="preserve">445710</t>
        </is>
      </c>
      <c r="F380" s="0" t="inlineStr">
        <is>
          <t xml:space="preserve">TVA collectee</t>
        </is>
      </c>
      <c r="G380" s="0" t="inlineStr">
        <is>
          <t xml:space="preserve">FA2024-0024</t>
        </is>
      </c>
      <c r="H380" s="0" t="inlineStr">
        <is>
          <t xml:space="preserve">Facture FA2024-0024 Cabinet Varenne Associes</t>
        </is>
      </c>
      <c r="I380" s="8">
        <v>0</v>
      </c>
      <c r="J380" s="8">
        <v>6208.88</v>
      </c>
      <c r="K380" s="0"/>
      <c r="L380" s="0"/>
      <c r="M380" s="8">
        <f>I380-J380</f>
      </c>
      <c r="N380" s="0" t="inlineStr">
        <is>
          <t xml:space="preserve">2024-05</t>
        </is>
      </c>
      <c r="O380" s="0">
        <f>INDEX(Journaux!$E$5:$E$18,MATCH("2024|"&amp;A380,Journaux!$A$5:$A$18,0))</f>
      </c>
      <c r="P380" s="0">
        <f>INDEX(Comptes!$H$5:$H$42,MATCH(E380,Comptes!$A$5:$A$42,0))</f>
      </c>
      <c r="Q380" s="0" t="inlineStr">
        <is>
          <t xml:space="preserve">4</t>
        </is>
      </c>
    </row>
    <row r="381">
      <c r="A381" s="4" t="inlineStr">
        <is>
          <t xml:space="preserve">BQ</t>
        </is>
      </c>
      <c r="B381" s="0" t="inlineStr">
        <is>
          <t xml:space="preserve">Banque Fictive</t>
        </is>
      </c>
      <c r="C381" s="0" t="inlineStr">
        <is>
          <t xml:space="preserve">BQ00013</t>
        </is>
      </c>
      <c r="D381" s="10">
        <v>45443</v>
      </c>
      <c r="E381" s="4" t="inlineStr">
        <is>
          <t xml:space="preserve">421000</t>
        </is>
      </c>
      <c r="F381" s="0" t="inlineStr">
        <is>
          <t xml:space="preserve">Personnel remunerations dues</t>
        </is>
      </c>
      <c r="G381" s="0" t="inlineStr">
        <is>
          <t xml:space="preserve">VIRSAL202405</t>
        </is>
      </c>
      <c r="H381" s="0" t="inlineStr">
        <is>
          <t xml:space="preserve">Virement salaires 05/2024</t>
        </is>
      </c>
      <c r="I381" s="8">
        <v>40113.35</v>
      </c>
      <c r="J381" s="8">
        <v>0</v>
      </c>
      <c r="K381" s="0"/>
      <c r="L381" s="0"/>
      <c r="M381" s="8">
        <f>I381-J381</f>
      </c>
      <c r="N381" s="0" t="inlineStr">
        <is>
          <t xml:space="preserve">2024-05</t>
        </is>
      </c>
      <c r="O381" s="0">
        <f>INDEX(Journaux!$E$5:$E$18,MATCH("2024|"&amp;A381,Journaux!$A$5:$A$18,0))</f>
      </c>
      <c r="P381" s="0">
        <f>INDEX(Comptes!$H$5:$H$42,MATCH(E381,Comptes!$A$5:$A$42,0))</f>
      </c>
      <c r="Q381" s="0" t="inlineStr">
        <is>
          <t xml:space="preserve">4</t>
        </is>
      </c>
    </row>
    <row r="382">
      <c r="A382" s="4" t="inlineStr">
        <is>
          <t xml:space="preserve">BQ</t>
        </is>
      </c>
      <c r="B382" s="0" t="inlineStr">
        <is>
          <t xml:space="preserve">Banque Fictive</t>
        </is>
      </c>
      <c r="C382" s="0" t="inlineStr">
        <is>
          <t xml:space="preserve">BQ00013</t>
        </is>
      </c>
      <c r="D382" s="10">
        <v>45443</v>
      </c>
      <c r="E382" s="4" t="inlineStr">
        <is>
          <t xml:space="preserve">512000</t>
        </is>
      </c>
      <c r="F382" s="0" t="inlineStr">
        <is>
          <t xml:space="preserve">Banque Fictive</t>
        </is>
      </c>
      <c r="G382" s="0" t="inlineStr">
        <is>
          <t xml:space="preserve">VIRSAL202405</t>
        </is>
      </c>
      <c r="H382" s="0" t="inlineStr">
        <is>
          <t xml:space="preserve">Virement salaires 05/2024</t>
        </is>
      </c>
      <c r="I382" s="8">
        <v>0</v>
      </c>
      <c r="J382" s="8">
        <v>40113.35</v>
      </c>
      <c r="K382" s="0"/>
      <c r="L382" s="0"/>
      <c r="M382" s="8">
        <f>I382-J382</f>
      </c>
      <c r="N382" s="0" t="inlineStr">
        <is>
          <t xml:space="preserve">2024-05</t>
        </is>
      </c>
      <c r="O382" s="0">
        <f>INDEX(Journaux!$E$5:$E$18,MATCH("2024|"&amp;A382,Journaux!$A$5:$A$18,0))</f>
      </c>
      <c r="P382" s="0">
        <f>INDEX(Comptes!$H$5:$H$42,MATCH(E382,Comptes!$A$5:$A$42,0))</f>
      </c>
      <c r="Q382" s="0" t="inlineStr">
        <is>
          <t xml:space="preserve">5</t>
        </is>
      </c>
    </row>
    <row r="383">
      <c r="A383" s="4" t="inlineStr">
        <is>
          <t xml:space="preserve">BQ</t>
        </is>
      </c>
      <c r="B383" s="0" t="inlineStr">
        <is>
          <t xml:space="preserve">Banque Fictive</t>
        </is>
      </c>
      <c r="C383" s="0" t="inlineStr">
        <is>
          <t xml:space="preserve">BQ00015</t>
        </is>
      </c>
      <c r="D383" s="10">
        <v>45443</v>
      </c>
      <c r="E383" s="4" t="inlineStr">
        <is>
          <t xml:space="preserve">627000</t>
        </is>
      </c>
      <c r="F383" s="0" t="inlineStr">
        <is>
          <t xml:space="preserve">Services bancaires</t>
        </is>
      </c>
      <c r="G383" s="0" t="inlineStr">
        <is>
          <t xml:space="preserve">FRB202405</t>
        </is>
      </c>
      <c r="H383" s="0" t="inlineStr">
        <is>
          <t xml:space="preserve">Frais bancaires 05/2024</t>
        </is>
      </c>
      <c r="I383" s="8">
        <v>85</v>
      </c>
      <c r="J383" s="8">
        <v>0</v>
      </c>
      <c r="K383" s="0"/>
      <c r="L383" s="0"/>
      <c r="M383" s="8">
        <f>I383-J383</f>
      </c>
      <c r="N383" s="0" t="inlineStr">
        <is>
          <t xml:space="preserve">2024-05</t>
        </is>
      </c>
      <c r="O383" s="0">
        <f>INDEX(Journaux!$E$5:$E$18,MATCH("2024|"&amp;A383,Journaux!$A$5:$A$18,0))</f>
      </c>
      <c r="P383" s="0">
        <f>INDEX(Comptes!$H$5:$H$42,MATCH(E383,Comptes!$A$5:$A$42,0))</f>
      </c>
      <c r="Q383" s="0" t="inlineStr">
        <is>
          <t xml:space="preserve">6</t>
        </is>
      </c>
    </row>
    <row r="384">
      <c r="A384" s="4" t="inlineStr">
        <is>
          <t xml:space="preserve">BQ</t>
        </is>
      </c>
      <c r="B384" s="0" t="inlineStr">
        <is>
          <t xml:space="preserve">Banque Fictive</t>
        </is>
      </c>
      <c r="C384" s="0" t="inlineStr">
        <is>
          <t xml:space="preserve">BQ00015</t>
        </is>
      </c>
      <c r="D384" s="10">
        <v>45443</v>
      </c>
      <c r="E384" s="4" t="inlineStr">
        <is>
          <t xml:space="preserve">512000</t>
        </is>
      </c>
      <c r="F384" s="0" t="inlineStr">
        <is>
          <t xml:space="preserve">Banque Fictive</t>
        </is>
      </c>
      <c r="G384" s="0" t="inlineStr">
        <is>
          <t xml:space="preserve">FRB202405</t>
        </is>
      </c>
      <c r="H384" s="0" t="inlineStr">
        <is>
          <t xml:space="preserve">Frais bancaires 05/2024</t>
        </is>
      </c>
      <c r="I384" s="8">
        <v>0</v>
      </c>
      <c r="J384" s="8">
        <v>85</v>
      </c>
      <c r="K384" s="0"/>
      <c r="L384" s="0"/>
      <c r="M384" s="8">
        <f>I384-J384</f>
      </c>
      <c r="N384" s="0" t="inlineStr">
        <is>
          <t xml:space="preserve">2024-05</t>
        </is>
      </c>
      <c r="O384" s="0">
        <f>INDEX(Journaux!$E$5:$E$18,MATCH("2024|"&amp;A384,Journaux!$A$5:$A$18,0))</f>
      </c>
      <c r="P384" s="0">
        <f>INDEX(Comptes!$H$5:$H$42,MATCH(E384,Comptes!$A$5:$A$42,0))</f>
      </c>
      <c r="Q384" s="0" t="inlineStr">
        <is>
          <t xml:space="preserve">5</t>
        </is>
      </c>
    </row>
    <row r="385">
      <c r="A385" s="4" t="inlineStr">
        <is>
          <t xml:space="preserve">BQ</t>
        </is>
      </c>
      <c r="B385" s="0" t="inlineStr">
        <is>
          <t xml:space="preserve">Banque Fictive</t>
        </is>
      </c>
      <c r="C385" s="0" t="inlineStr">
        <is>
          <t xml:space="preserve">BQ00144</t>
        </is>
      </c>
      <c r="D385" s="10">
        <v>45443</v>
      </c>
      <c r="E385" s="4" t="inlineStr">
        <is>
          <t xml:space="preserve">401000</t>
        </is>
      </c>
      <c r="F385" s="0" t="inlineStr">
        <is>
          <t xml:space="preserve">Fournisseurs</t>
        </is>
      </c>
      <c r="G385" s="0" t="inlineStr">
        <is>
          <t xml:space="preserve">DEC-F001-2024042</t>
        </is>
      </c>
      <c r="H385" s="0" t="inlineStr">
        <is>
          <t xml:space="preserve">Reglement fournisseur Scierie du Nord F001-2024042</t>
        </is>
      </c>
      <c r="I385" s="8">
        <v>23539.72</v>
      </c>
      <c r="J385" s="8">
        <v>0</v>
      </c>
      <c r="K385" s="0" t="inlineStr">
        <is>
          <t xml:space="preserve">ACF</t>
        </is>
      </c>
      <c r="L385" s="0" t="inlineStr">
        <is>
          <t xml:space="preserve">Scierie du Nord</t>
        </is>
      </c>
      <c r="M385" s="8">
        <f>I385-J385</f>
      </c>
      <c r="N385" s="0" t="inlineStr">
        <is>
          <t xml:space="preserve">2024-05</t>
        </is>
      </c>
      <c r="O385" s="0">
        <f>INDEX(Journaux!$E$5:$E$18,MATCH("2024|"&amp;A385,Journaux!$A$5:$A$18,0))</f>
      </c>
      <c r="P385" s="0">
        <f>INDEX(Comptes!$H$5:$H$42,MATCH(E385,Comptes!$A$5:$A$42,0))</f>
      </c>
      <c r="Q385" s="0" t="inlineStr">
        <is>
          <t xml:space="preserve">4</t>
        </is>
      </c>
      <c r="R385" s="7" t="inlineStr">
        <is>
          <t xml:space="preserve">401000|F001</t>
        </is>
      </c>
    </row>
    <row r="386">
      <c r="A386" s="4" t="inlineStr">
        <is>
          <t xml:space="preserve">BQ</t>
        </is>
      </c>
      <c r="B386" s="0" t="inlineStr">
        <is>
          <t xml:space="preserve">Banque Fictive</t>
        </is>
      </c>
      <c r="C386" s="0" t="inlineStr">
        <is>
          <t xml:space="preserve">BQ00144</t>
        </is>
      </c>
      <c r="D386" s="10">
        <v>45443</v>
      </c>
      <c r="E386" s="4" t="inlineStr">
        <is>
          <t xml:space="preserve">512000</t>
        </is>
      </c>
      <c r="F386" s="0" t="inlineStr">
        <is>
          <t xml:space="preserve">Banque Fictive</t>
        </is>
      </c>
      <c r="G386" s="0" t="inlineStr">
        <is>
          <t xml:space="preserve">DEC-F001-2024042</t>
        </is>
      </c>
      <c r="H386" s="0" t="inlineStr">
        <is>
          <t xml:space="preserve">Reglement fournisseur Scierie du Nord F001-2024042</t>
        </is>
      </c>
      <c r="I386" s="8">
        <v>0</v>
      </c>
      <c r="J386" s="8">
        <v>23539.72</v>
      </c>
      <c r="K386" s="0"/>
      <c r="L386" s="0"/>
      <c r="M386" s="8">
        <f>I386-J386</f>
      </c>
      <c r="N386" s="0" t="inlineStr">
        <is>
          <t xml:space="preserve">2024-05</t>
        </is>
      </c>
      <c r="O386" s="0">
        <f>INDEX(Journaux!$E$5:$E$18,MATCH("2024|"&amp;A386,Journaux!$A$5:$A$18,0))</f>
      </c>
      <c r="P386" s="0">
        <f>INDEX(Comptes!$H$5:$H$42,MATCH(E386,Comptes!$A$5:$A$42,0))</f>
      </c>
      <c r="Q386" s="0" t="inlineStr">
        <is>
          <t xml:space="preserve">5</t>
        </is>
      </c>
    </row>
    <row r="387">
      <c r="A387" s="4" t="inlineStr">
        <is>
          <t xml:space="preserve">OD</t>
        </is>
      </c>
      <c r="B387" s="0" t="inlineStr">
        <is>
          <t xml:space="preserve">Operations diverses</t>
        </is>
      </c>
      <c r="C387" s="0" t="inlineStr">
        <is>
          <t xml:space="preserve">OD00005</t>
        </is>
      </c>
      <c r="D387" s="10">
        <v>45443</v>
      </c>
      <c r="E387" s="4" t="inlineStr">
        <is>
          <t xml:space="preserve">445710</t>
        </is>
      </c>
      <c r="F387" s="0" t="inlineStr">
        <is>
          <t xml:space="preserve">TVA collectee</t>
        </is>
      </c>
      <c r="G387" s="0" t="inlineStr">
        <is>
          <t xml:space="preserve">CA3-202405</t>
        </is>
      </c>
      <c r="H387" s="0" t="inlineStr">
        <is>
          <t xml:space="preserve">Declaration TVA 05/2024</t>
        </is>
      </c>
      <c r="I387" s="8">
        <v>36666.67</v>
      </c>
      <c r="J387" s="8">
        <v>0</v>
      </c>
      <c r="K387" s="0"/>
      <c r="L387" s="0"/>
      <c r="M387" s="8">
        <f>I387-J387</f>
      </c>
      <c r="N387" s="0" t="inlineStr">
        <is>
          <t xml:space="preserve">2024-05</t>
        </is>
      </c>
      <c r="O387" s="0">
        <f>INDEX(Journaux!$E$5:$E$18,MATCH("2024|"&amp;A387,Journaux!$A$5:$A$18,0))</f>
      </c>
      <c r="P387" s="0">
        <f>INDEX(Comptes!$H$5:$H$42,MATCH(E387,Comptes!$A$5:$A$42,0))</f>
      </c>
      <c r="Q387" s="0" t="inlineStr">
        <is>
          <t xml:space="preserve">4</t>
        </is>
      </c>
    </row>
    <row r="388">
      <c r="A388" s="4" t="inlineStr">
        <is>
          <t xml:space="preserve">OD</t>
        </is>
      </c>
      <c r="B388" s="0" t="inlineStr">
        <is>
          <t xml:space="preserve">Operations diverses</t>
        </is>
      </c>
      <c r="C388" s="0" t="inlineStr">
        <is>
          <t xml:space="preserve">OD00005</t>
        </is>
      </c>
      <c r="D388" s="10">
        <v>45443</v>
      </c>
      <c r="E388" s="4" t="inlineStr">
        <is>
          <t xml:space="preserve">445660</t>
        </is>
      </c>
      <c r="F388" s="0" t="inlineStr">
        <is>
          <t xml:space="preserve">TVA deductible sur ABS</t>
        </is>
      </c>
      <c r="G388" s="0" t="inlineStr">
        <is>
          <t xml:space="preserve">CA3-202405</t>
        </is>
      </c>
      <c r="H388" s="0" t="inlineStr">
        <is>
          <t xml:space="preserve">Declaration TVA 05/2024</t>
        </is>
      </c>
      <c r="I388" s="8">
        <v>0</v>
      </c>
      <c r="J388" s="8">
        <v>17708.66</v>
      </c>
      <c r="K388" s="0"/>
      <c r="L388" s="0"/>
      <c r="M388" s="8">
        <f>I388-J388</f>
      </c>
      <c r="N388" s="0" t="inlineStr">
        <is>
          <t xml:space="preserve">2024-05</t>
        </is>
      </c>
      <c r="O388" s="0">
        <f>INDEX(Journaux!$E$5:$E$18,MATCH("2024|"&amp;A388,Journaux!$A$5:$A$18,0))</f>
      </c>
      <c r="P388" s="0">
        <f>INDEX(Comptes!$H$5:$H$42,MATCH(E388,Comptes!$A$5:$A$42,0))</f>
      </c>
      <c r="Q388" s="0" t="inlineStr">
        <is>
          <t xml:space="preserve">4</t>
        </is>
      </c>
    </row>
    <row r="389">
      <c r="A389" s="4" t="inlineStr">
        <is>
          <t xml:space="preserve">OD</t>
        </is>
      </c>
      <c r="B389" s="0" t="inlineStr">
        <is>
          <t xml:space="preserve">Operations diverses</t>
        </is>
      </c>
      <c r="C389" s="0" t="inlineStr">
        <is>
          <t xml:space="preserve">OD00005</t>
        </is>
      </c>
      <c r="D389" s="10">
        <v>45443</v>
      </c>
      <c r="E389" s="4" t="inlineStr">
        <is>
          <t xml:space="preserve">445510</t>
        </is>
      </c>
      <c r="F389" s="0" t="inlineStr">
        <is>
          <t xml:space="preserve">TVA a decaisser</t>
        </is>
      </c>
      <c r="G389" s="0" t="inlineStr">
        <is>
          <t xml:space="preserve">CA3-202405</t>
        </is>
      </c>
      <c r="H389" s="0" t="inlineStr">
        <is>
          <t xml:space="preserve">Declaration TVA 05/2024</t>
        </is>
      </c>
      <c r="I389" s="8">
        <v>0</v>
      </c>
      <c r="J389" s="8">
        <v>18958.01</v>
      </c>
      <c r="K389" s="0"/>
      <c r="L389" s="0"/>
      <c r="M389" s="8">
        <f>I389-J389</f>
      </c>
      <c r="N389" s="0" t="inlineStr">
        <is>
          <t xml:space="preserve">2024-05</t>
        </is>
      </c>
      <c r="O389" s="0">
        <f>INDEX(Journaux!$E$5:$E$18,MATCH("2024|"&amp;A389,Journaux!$A$5:$A$18,0))</f>
      </c>
      <c r="P389" s="0">
        <f>INDEX(Comptes!$H$5:$H$42,MATCH(E389,Comptes!$A$5:$A$42,0))</f>
      </c>
      <c r="Q389" s="0" t="inlineStr">
        <is>
          <t xml:space="preserve">4</t>
        </is>
      </c>
    </row>
    <row r="390">
      <c r="A390" s="4" t="inlineStr">
        <is>
          <t xml:space="preserve">SA</t>
        </is>
      </c>
      <c r="B390" s="0" t="inlineStr">
        <is>
          <t xml:space="preserve">Salaires</t>
        </is>
      </c>
      <c r="C390" s="0" t="inlineStr">
        <is>
          <t xml:space="preserve">SA00005</t>
        </is>
      </c>
      <c r="D390" s="10">
        <v>45443</v>
      </c>
      <c r="E390" s="4" t="inlineStr">
        <is>
          <t xml:space="preserve">641000</t>
        </is>
      </c>
      <c r="F390" s="0" t="inlineStr">
        <is>
          <t xml:space="preserve">Remunerations du personnel</t>
        </is>
      </c>
      <c r="G390" s="0" t="inlineStr">
        <is>
          <t xml:space="preserve">PAIE202405</t>
        </is>
      </c>
      <c r="H390" s="0" t="inlineStr">
        <is>
          <t xml:space="preserve">Paie 05/2024</t>
        </is>
      </c>
      <c r="I390" s="8">
        <v>51427.37</v>
      </c>
      <c r="J390" s="8">
        <v>0</v>
      </c>
      <c r="K390" s="0"/>
      <c r="L390" s="0"/>
      <c r="M390" s="8">
        <f>I390-J390</f>
      </c>
      <c r="N390" s="0" t="inlineStr">
        <is>
          <t xml:space="preserve">2024-05</t>
        </is>
      </c>
      <c r="O390" s="0">
        <f>INDEX(Journaux!$E$5:$E$18,MATCH("2024|"&amp;A390,Journaux!$A$5:$A$18,0))</f>
      </c>
      <c r="P390" s="0">
        <f>INDEX(Comptes!$H$5:$H$42,MATCH(E390,Comptes!$A$5:$A$42,0))</f>
      </c>
      <c r="Q390" s="0" t="inlineStr">
        <is>
          <t xml:space="preserve">6</t>
        </is>
      </c>
    </row>
    <row r="391">
      <c r="A391" s="4" t="inlineStr">
        <is>
          <t xml:space="preserve">SA</t>
        </is>
      </c>
      <c r="B391" s="0" t="inlineStr">
        <is>
          <t xml:space="preserve">Salaires</t>
        </is>
      </c>
      <c r="C391" s="0" t="inlineStr">
        <is>
          <t xml:space="preserve">SA00005</t>
        </is>
      </c>
      <c r="D391" s="10">
        <v>45443</v>
      </c>
      <c r="E391" s="4" t="inlineStr">
        <is>
          <t xml:space="preserve">645100</t>
        </is>
      </c>
      <c r="F391" s="0" t="inlineStr">
        <is>
          <t xml:space="preserve">Cotisations URSSAF</t>
        </is>
      </c>
      <c r="G391" s="0" t="inlineStr">
        <is>
          <t xml:space="preserve">PAIE202405</t>
        </is>
      </c>
      <c r="H391" s="0" t="inlineStr">
        <is>
          <t xml:space="preserve">Paie 05/2024</t>
        </is>
      </c>
      <c r="I391" s="8">
        <v>21599.5</v>
      </c>
      <c r="J391" s="8">
        <v>0</v>
      </c>
      <c r="K391" s="0"/>
      <c r="L391" s="0"/>
      <c r="M391" s="8">
        <f>I391-J391</f>
      </c>
      <c r="N391" s="0" t="inlineStr">
        <is>
          <t xml:space="preserve">2024-05</t>
        </is>
      </c>
      <c r="O391" s="0">
        <f>INDEX(Journaux!$E$5:$E$18,MATCH("2024|"&amp;A391,Journaux!$A$5:$A$18,0))</f>
      </c>
      <c r="P391" s="0">
        <f>INDEX(Comptes!$H$5:$H$42,MATCH(E391,Comptes!$A$5:$A$42,0))</f>
      </c>
      <c r="Q391" s="0" t="inlineStr">
        <is>
          <t xml:space="preserve">6</t>
        </is>
      </c>
    </row>
    <row r="392">
      <c r="A392" s="4" t="inlineStr">
        <is>
          <t xml:space="preserve">SA</t>
        </is>
      </c>
      <c r="B392" s="0" t="inlineStr">
        <is>
          <t xml:space="preserve">Salaires</t>
        </is>
      </c>
      <c r="C392" s="0" t="inlineStr">
        <is>
          <t xml:space="preserve">SA00005</t>
        </is>
      </c>
      <c r="D392" s="10">
        <v>45443</v>
      </c>
      <c r="E392" s="4" t="inlineStr">
        <is>
          <t xml:space="preserve">421000</t>
        </is>
      </c>
      <c r="F392" s="0" t="inlineStr">
        <is>
          <t xml:space="preserve">Personnel remunerations dues</t>
        </is>
      </c>
      <c r="G392" s="0" t="inlineStr">
        <is>
          <t xml:space="preserve">PAIE202405</t>
        </is>
      </c>
      <c r="H392" s="0" t="inlineStr">
        <is>
          <t xml:space="preserve">Paie 05/2024</t>
        </is>
      </c>
      <c r="I392" s="8">
        <v>0</v>
      </c>
      <c r="J392" s="8">
        <v>40113.35</v>
      </c>
      <c r="K392" s="0"/>
      <c r="L392" s="0"/>
      <c r="M392" s="8">
        <f>I392-J392</f>
      </c>
      <c r="N392" s="0" t="inlineStr">
        <is>
          <t xml:space="preserve">2024-05</t>
        </is>
      </c>
      <c r="O392" s="0">
        <f>INDEX(Journaux!$E$5:$E$18,MATCH("2024|"&amp;A392,Journaux!$A$5:$A$18,0))</f>
      </c>
      <c r="P392" s="0">
        <f>INDEX(Comptes!$H$5:$H$42,MATCH(E392,Comptes!$A$5:$A$42,0))</f>
      </c>
      <c r="Q392" s="0" t="inlineStr">
        <is>
          <t xml:space="preserve">4</t>
        </is>
      </c>
    </row>
    <row r="393">
      <c r="A393" s="4" t="inlineStr">
        <is>
          <t xml:space="preserve">SA</t>
        </is>
      </c>
      <c r="B393" s="0" t="inlineStr">
        <is>
          <t xml:space="preserve">Salaires</t>
        </is>
      </c>
      <c r="C393" s="0" t="inlineStr">
        <is>
          <t xml:space="preserve">SA00005</t>
        </is>
      </c>
      <c r="D393" s="10">
        <v>45443</v>
      </c>
      <c r="E393" s="4" t="inlineStr">
        <is>
          <t xml:space="preserve">431000</t>
        </is>
      </c>
      <c r="F393" s="0" t="inlineStr">
        <is>
          <t xml:space="preserve">Securite sociale</t>
        </is>
      </c>
      <c r="G393" s="0" t="inlineStr">
        <is>
          <t xml:space="preserve">PAIE202405</t>
        </is>
      </c>
      <c r="H393" s="0" t="inlineStr">
        <is>
          <t xml:space="preserve">Paie 05/2024</t>
        </is>
      </c>
      <c r="I393" s="8">
        <v>0</v>
      </c>
      <c r="J393" s="8">
        <v>32913.52</v>
      </c>
      <c r="K393" s="0"/>
      <c r="L393" s="0"/>
      <c r="M393" s="8">
        <f>I393-J393</f>
      </c>
      <c r="N393" s="0" t="inlineStr">
        <is>
          <t xml:space="preserve">2024-05</t>
        </is>
      </c>
      <c r="O393" s="0">
        <f>INDEX(Journaux!$E$5:$E$18,MATCH("2024|"&amp;A393,Journaux!$A$5:$A$18,0))</f>
      </c>
      <c r="P393" s="0">
        <f>INDEX(Comptes!$H$5:$H$42,MATCH(E393,Comptes!$A$5:$A$42,0))</f>
      </c>
      <c r="Q393" s="0" t="inlineStr">
        <is>
          <t xml:space="preserve">4</t>
        </is>
      </c>
    </row>
    <row r="394">
      <c r="A394" s="4" t="inlineStr">
        <is>
          <t xml:space="preserve">BQ</t>
        </is>
      </c>
      <c r="B394" s="0" t="inlineStr">
        <is>
          <t xml:space="preserve">Banque Fictive</t>
        </is>
      </c>
      <c r="C394" s="0" t="inlineStr">
        <is>
          <t xml:space="preserve">BQ00085</t>
        </is>
      </c>
      <c r="D394" s="10">
        <v>45446</v>
      </c>
      <c r="E394" s="4" t="inlineStr">
        <is>
          <t xml:space="preserve">512000</t>
        </is>
      </c>
      <c r="F394" s="0" t="inlineStr">
        <is>
          <t xml:space="preserve">Banque Fictive</t>
        </is>
      </c>
      <c r="G394" s="0" t="inlineStr">
        <is>
          <t xml:space="preserve">ENC-FA2024-0020</t>
        </is>
      </c>
      <c r="H394" s="0" t="inlineStr">
        <is>
          <t xml:space="preserve">Reglement client Agence Mobilis FA2024-0020</t>
        </is>
      </c>
      <c r="I394" s="8">
        <v>60133.91</v>
      </c>
      <c r="J394" s="8">
        <v>0</v>
      </c>
      <c r="K394" s="0"/>
      <c r="L394" s="0"/>
      <c r="M394" s="8">
        <f>I394-J394</f>
      </c>
      <c r="N394" s="0" t="inlineStr">
        <is>
          <t xml:space="preserve">2024-06</t>
        </is>
      </c>
      <c r="O394" s="0">
        <f>INDEX(Journaux!$E$5:$E$18,MATCH("2024|"&amp;A394,Journaux!$A$5:$A$18,0))</f>
      </c>
      <c r="P394" s="0">
        <f>INDEX(Comptes!$H$5:$H$42,MATCH(E394,Comptes!$A$5:$A$42,0))</f>
      </c>
      <c r="Q394" s="0" t="inlineStr">
        <is>
          <t xml:space="preserve">5</t>
        </is>
      </c>
    </row>
    <row r="395">
      <c r="A395" s="4" t="inlineStr">
        <is>
          <t xml:space="preserve">BQ</t>
        </is>
      </c>
      <c r="B395" s="0" t="inlineStr">
        <is>
          <t xml:space="preserve">Banque Fictive</t>
        </is>
      </c>
      <c r="C395" s="0" t="inlineStr">
        <is>
          <t xml:space="preserve">BQ00085</t>
        </is>
      </c>
      <c r="D395" s="10">
        <v>45446</v>
      </c>
      <c r="E395" s="4" t="inlineStr">
        <is>
          <t xml:space="preserve">411000</t>
        </is>
      </c>
      <c r="F395" s="0" t="inlineStr">
        <is>
          <t xml:space="preserve">Clients</t>
        </is>
      </c>
      <c r="G395" s="0" t="inlineStr">
        <is>
          <t xml:space="preserve">ENC-FA2024-0020</t>
        </is>
      </c>
      <c r="H395" s="0" t="inlineStr">
        <is>
          <t xml:space="preserve">Reglement client Agence Mobilis FA2024-0020</t>
        </is>
      </c>
      <c r="I395" s="8">
        <v>0</v>
      </c>
      <c r="J395" s="8">
        <v>60133.91</v>
      </c>
      <c r="K395" s="0" t="inlineStr">
        <is>
          <t xml:space="preserve">AAY</t>
        </is>
      </c>
      <c r="L395" s="0" t="inlineStr">
        <is>
          <t xml:space="preserve">Agence Mobilis</t>
        </is>
      </c>
      <c r="M395" s="8">
        <f>I395-J395</f>
      </c>
      <c r="N395" s="0" t="inlineStr">
        <is>
          <t xml:space="preserve">2024-06</t>
        </is>
      </c>
      <c r="O395" s="0">
        <f>INDEX(Journaux!$E$5:$E$18,MATCH("2024|"&amp;A395,Journaux!$A$5:$A$18,0))</f>
      </c>
      <c r="P395" s="0">
        <f>INDEX(Comptes!$H$5:$H$42,MATCH(E395,Comptes!$A$5:$A$42,0))</f>
      </c>
      <c r="Q395" s="0" t="inlineStr">
        <is>
          <t xml:space="preserve">4</t>
        </is>
      </c>
      <c r="R395" s="7" t="inlineStr">
        <is>
          <t xml:space="preserve">411000|C002</t>
        </is>
      </c>
    </row>
    <row r="396">
      <c r="A396" s="4" t="inlineStr">
        <is>
          <t xml:space="preserve">BQ</t>
        </is>
      </c>
      <c r="B396" s="0" t="inlineStr">
        <is>
          <t xml:space="preserve">Banque Fictive</t>
        </is>
      </c>
      <c r="C396" s="0" t="inlineStr">
        <is>
          <t xml:space="preserve">BQ00088</t>
        </is>
      </c>
      <c r="D396" s="10">
        <v>45446</v>
      </c>
      <c r="E396" s="4" t="inlineStr">
        <is>
          <t xml:space="preserve">512000</t>
        </is>
      </c>
      <c r="F396" s="0" t="inlineStr">
        <is>
          <t xml:space="preserve">Banque Fictive</t>
        </is>
      </c>
      <c r="G396" s="0" t="inlineStr">
        <is>
          <t xml:space="preserve">ENC-FA2024-0023</t>
        </is>
      </c>
      <c r="H396" s="0" t="inlineStr">
        <is>
          <t xml:space="preserve">Reglement client Restaurant Le Comptoir FA2024-0023</t>
        </is>
      </c>
      <c r="I396" s="8">
        <v>46078.18</v>
      </c>
      <c r="J396" s="8">
        <v>0</v>
      </c>
      <c r="K396" s="0"/>
      <c r="L396" s="0"/>
      <c r="M396" s="8">
        <f>I396-J396</f>
      </c>
      <c r="N396" s="0" t="inlineStr">
        <is>
          <t xml:space="preserve">2024-06</t>
        </is>
      </c>
      <c r="O396" s="0">
        <f>INDEX(Journaux!$E$5:$E$18,MATCH("2024|"&amp;A396,Journaux!$A$5:$A$18,0))</f>
      </c>
      <c r="P396" s="0">
        <f>INDEX(Comptes!$H$5:$H$42,MATCH(E396,Comptes!$A$5:$A$42,0))</f>
      </c>
      <c r="Q396" s="0" t="inlineStr">
        <is>
          <t xml:space="preserve">5</t>
        </is>
      </c>
    </row>
    <row r="397">
      <c r="A397" s="4" t="inlineStr">
        <is>
          <t xml:space="preserve">BQ</t>
        </is>
      </c>
      <c r="B397" s="0" t="inlineStr">
        <is>
          <t xml:space="preserve">Banque Fictive</t>
        </is>
      </c>
      <c r="C397" s="0" t="inlineStr">
        <is>
          <t xml:space="preserve">BQ00088</t>
        </is>
      </c>
      <c r="D397" s="10">
        <v>45446</v>
      </c>
      <c r="E397" s="4" t="inlineStr">
        <is>
          <t xml:space="preserve">411000</t>
        </is>
      </c>
      <c r="F397" s="0" t="inlineStr">
        <is>
          <t xml:space="preserve">Clients</t>
        </is>
      </c>
      <c r="G397" s="0" t="inlineStr">
        <is>
          <t xml:space="preserve">ENC-FA2024-0023</t>
        </is>
      </c>
      <c r="H397" s="0" t="inlineStr">
        <is>
          <t xml:space="preserve">Reglement client Restaurant Le Comptoir FA2024-0023</t>
        </is>
      </c>
      <c r="I397" s="8">
        <v>0</v>
      </c>
      <c r="J397" s="8">
        <v>46078.18</v>
      </c>
      <c r="K397" s="0" t="inlineStr">
        <is>
          <t xml:space="preserve">AAB</t>
        </is>
      </c>
      <c r="L397" s="0" t="inlineStr">
        <is>
          <t xml:space="preserve">Restaurant Le Comptoir</t>
        </is>
      </c>
      <c r="M397" s="8">
        <f>I397-J397</f>
      </c>
      <c r="N397" s="0" t="inlineStr">
        <is>
          <t xml:space="preserve">2024-06</t>
        </is>
      </c>
      <c r="O397" s="0">
        <f>INDEX(Journaux!$E$5:$E$18,MATCH("2024|"&amp;A397,Journaux!$A$5:$A$18,0))</f>
      </c>
      <c r="P397" s="0">
        <f>INDEX(Comptes!$H$5:$H$42,MATCH(E397,Comptes!$A$5:$A$42,0))</f>
      </c>
      <c r="Q397" s="0" t="inlineStr">
        <is>
          <t xml:space="preserve">4</t>
        </is>
      </c>
      <c r="R397" s="7" t="inlineStr">
        <is>
          <t xml:space="preserve">411000|C005</t>
        </is>
      </c>
    </row>
    <row r="398">
      <c r="A398" s="4" t="inlineStr">
        <is>
          <t xml:space="preserve">BQ</t>
        </is>
      </c>
      <c r="B398" s="0" t="inlineStr">
        <is>
          <t xml:space="preserve">Banque Fictive</t>
        </is>
      </c>
      <c r="C398" s="0" t="inlineStr">
        <is>
          <t xml:space="preserve">BQ00145</t>
        </is>
      </c>
      <c r="D398" s="10">
        <v>45446</v>
      </c>
      <c r="E398" s="4" t="inlineStr">
        <is>
          <t xml:space="preserve">401000</t>
        </is>
      </c>
      <c r="F398" s="0" t="inlineStr">
        <is>
          <t xml:space="preserve">Fournisseurs</t>
        </is>
      </c>
      <c r="G398" s="0" t="inlineStr">
        <is>
          <t xml:space="preserve">DEC-F001-2024043</t>
        </is>
      </c>
      <c r="H398" s="0" t="inlineStr">
        <is>
          <t xml:space="preserve">Reglement fournisseur Scierie du Nord F001-2024043</t>
        </is>
      </c>
      <c r="I398" s="8">
        <v>38003.58</v>
      </c>
      <c r="J398" s="8">
        <v>0</v>
      </c>
      <c r="K398" s="0" t="inlineStr">
        <is>
          <t xml:space="preserve">ACG</t>
        </is>
      </c>
      <c r="L398" s="0" t="inlineStr">
        <is>
          <t xml:space="preserve">Scierie du Nord</t>
        </is>
      </c>
      <c r="M398" s="8">
        <f>I398-J398</f>
      </c>
      <c r="N398" s="0" t="inlineStr">
        <is>
          <t xml:space="preserve">2024-06</t>
        </is>
      </c>
      <c r="O398" s="0">
        <f>INDEX(Journaux!$E$5:$E$18,MATCH("2024|"&amp;A398,Journaux!$A$5:$A$18,0))</f>
      </c>
      <c r="P398" s="0">
        <f>INDEX(Comptes!$H$5:$H$42,MATCH(E398,Comptes!$A$5:$A$42,0))</f>
      </c>
      <c r="Q398" s="0" t="inlineStr">
        <is>
          <t xml:space="preserve">4</t>
        </is>
      </c>
      <c r="R398" s="7" t="inlineStr">
        <is>
          <t xml:space="preserve">401000|F001</t>
        </is>
      </c>
    </row>
    <row r="399">
      <c r="A399" s="4" t="inlineStr">
        <is>
          <t xml:space="preserve">BQ</t>
        </is>
      </c>
      <c r="B399" s="0" t="inlineStr">
        <is>
          <t xml:space="preserve">Banque Fictive</t>
        </is>
      </c>
      <c r="C399" s="0" t="inlineStr">
        <is>
          <t xml:space="preserve">BQ00145</t>
        </is>
      </c>
      <c r="D399" s="10">
        <v>45446</v>
      </c>
      <c r="E399" s="4" t="inlineStr">
        <is>
          <t xml:space="preserve">512000</t>
        </is>
      </c>
      <c r="F399" s="0" t="inlineStr">
        <is>
          <t xml:space="preserve">Banque Fictive</t>
        </is>
      </c>
      <c r="G399" s="0" t="inlineStr">
        <is>
          <t xml:space="preserve">DEC-F001-2024043</t>
        </is>
      </c>
      <c r="H399" s="0" t="inlineStr">
        <is>
          <t xml:space="preserve">Reglement fournisseur Scierie du Nord F001-2024043</t>
        </is>
      </c>
      <c r="I399" s="8">
        <v>0</v>
      </c>
      <c r="J399" s="8">
        <v>38003.58</v>
      </c>
      <c r="K399" s="0"/>
      <c r="L399" s="0"/>
      <c r="M399" s="8">
        <f>I399-J399</f>
      </c>
      <c r="N399" s="0" t="inlineStr">
        <is>
          <t xml:space="preserve">2024-06</t>
        </is>
      </c>
      <c r="O399" s="0">
        <f>INDEX(Journaux!$E$5:$E$18,MATCH("2024|"&amp;A399,Journaux!$A$5:$A$18,0))</f>
      </c>
      <c r="P399" s="0">
        <f>INDEX(Comptes!$H$5:$H$42,MATCH(E399,Comptes!$A$5:$A$42,0))</f>
      </c>
      <c r="Q399" s="0" t="inlineStr">
        <is>
          <t xml:space="preserve">5</t>
        </is>
      </c>
    </row>
    <row r="400">
      <c r="A400" s="4" t="inlineStr">
        <is>
          <t xml:space="preserve">VT</t>
        </is>
      </c>
      <c r="B400" s="0" t="inlineStr">
        <is>
          <t xml:space="preserve">Journal des ventes</t>
        </is>
      </c>
      <c r="C400" s="0" t="inlineStr">
        <is>
          <t xml:space="preserve">VT00029</t>
        </is>
      </c>
      <c r="D400" s="10">
        <v>45446</v>
      </c>
      <c r="E400" s="4" t="inlineStr">
        <is>
          <t xml:space="preserve">411000</t>
        </is>
      </c>
      <c r="F400" s="0" t="inlineStr">
        <is>
          <t xml:space="preserve">Clients</t>
        </is>
      </c>
      <c r="G400" s="0" t="inlineStr">
        <is>
          <t xml:space="preserve">FA2024-0029</t>
        </is>
      </c>
      <c r="H400" s="0" t="inlineStr">
        <is>
          <t xml:space="preserve">Facture FA2024-0029 Hotel Les Tilleuls</t>
        </is>
      </c>
      <c r="I400" s="8">
        <v>30137.64</v>
      </c>
      <c r="J400" s="8">
        <v>0</v>
      </c>
      <c r="K400" s="0" t="inlineStr">
        <is>
          <t xml:space="preserve">AAH</t>
        </is>
      </c>
      <c r="L400" s="0" t="inlineStr">
        <is>
          <t xml:space="preserve">Hotel Les Tilleuls</t>
        </is>
      </c>
      <c r="M400" s="8">
        <f>I400-J400</f>
      </c>
      <c r="N400" s="0" t="inlineStr">
        <is>
          <t xml:space="preserve">2024-06</t>
        </is>
      </c>
      <c r="O400" s="0">
        <f>INDEX(Journaux!$E$5:$E$18,MATCH("2024|"&amp;A400,Journaux!$A$5:$A$18,0))</f>
      </c>
      <c r="P400" s="0">
        <f>INDEX(Comptes!$H$5:$H$42,MATCH(E400,Comptes!$A$5:$A$42,0))</f>
      </c>
      <c r="Q400" s="0" t="inlineStr">
        <is>
          <t xml:space="preserve">4</t>
        </is>
      </c>
      <c r="R400" s="7" t="inlineStr">
        <is>
          <t xml:space="preserve">411000|C001</t>
        </is>
      </c>
    </row>
    <row r="401">
      <c r="A401" s="4" t="inlineStr">
        <is>
          <t xml:space="preserve">VT</t>
        </is>
      </c>
      <c r="B401" s="0" t="inlineStr">
        <is>
          <t xml:space="preserve">Journal des ventes</t>
        </is>
      </c>
      <c r="C401" s="0" t="inlineStr">
        <is>
          <t xml:space="preserve">VT00029</t>
        </is>
      </c>
      <c r="D401" s="10">
        <v>45446</v>
      </c>
      <c r="E401" s="4" t="inlineStr">
        <is>
          <t xml:space="preserve">701000</t>
        </is>
      </c>
      <c r="F401" s="0" t="inlineStr">
        <is>
          <t xml:space="preserve">Ventes de produits finis</t>
        </is>
      </c>
      <c r="G401" s="0" t="inlineStr">
        <is>
          <t xml:space="preserve">FA2024-0029</t>
        </is>
      </c>
      <c r="H401" s="0" t="inlineStr">
        <is>
          <t xml:space="preserve">Facture FA2024-0029 Hotel Les Tilleuls</t>
        </is>
      </c>
      <c r="I401" s="8">
        <v>0</v>
      </c>
      <c r="J401" s="8">
        <v>25114.7</v>
      </c>
      <c r="K401" s="0"/>
      <c r="L401" s="0"/>
      <c r="M401" s="8">
        <f>I401-J401</f>
      </c>
      <c r="N401" s="0" t="inlineStr">
        <is>
          <t xml:space="preserve">2024-06</t>
        </is>
      </c>
      <c r="O401" s="0">
        <f>INDEX(Journaux!$E$5:$E$18,MATCH("2024|"&amp;A401,Journaux!$A$5:$A$18,0))</f>
      </c>
      <c r="P401" s="0">
        <f>INDEX(Comptes!$H$5:$H$42,MATCH(E401,Comptes!$A$5:$A$42,0))</f>
      </c>
      <c r="Q401" s="0" t="inlineStr">
        <is>
          <t xml:space="preserve">7</t>
        </is>
      </c>
    </row>
    <row r="402">
      <c r="A402" s="4" t="inlineStr">
        <is>
          <t xml:space="preserve">VT</t>
        </is>
      </c>
      <c r="B402" s="0" t="inlineStr">
        <is>
          <t xml:space="preserve">Journal des ventes</t>
        </is>
      </c>
      <c r="C402" s="0" t="inlineStr">
        <is>
          <t xml:space="preserve">VT00029</t>
        </is>
      </c>
      <c r="D402" s="10">
        <v>45446</v>
      </c>
      <c r="E402" s="4" t="inlineStr">
        <is>
          <t xml:space="preserve">445710</t>
        </is>
      </c>
      <c r="F402" s="0" t="inlineStr">
        <is>
          <t xml:space="preserve">TVA collectee</t>
        </is>
      </c>
      <c r="G402" s="0" t="inlineStr">
        <is>
          <t xml:space="preserve">FA2024-0029</t>
        </is>
      </c>
      <c r="H402" s="0" t="inlineStr">
        <is>
          <t xml:space="preserve">Facture FA2024-0029 Hotel Les Tilleuls</t>
        </is>
      </c>
      <c r="I402" s="8">
        <v>0</v>
      </c>
      <c r="J402" s="8">
        <v>5022.94</v>
      </c>
      <c r="K402" s="0"/>
      <c r="L402" s="0"/>
      <c r="M402" s="8">
        <f>I402-J402</f>
      </c>
      <c r="N402" s="0" t="inlineStr">
        <is>
          <t xml:space="preserve">2024-06</t>
        </is>
      </c>
      <c r="O402" s="0">
        <f>INDEX(Journaux!$E$5:$E$18,MATCH("2024|"&amp;A402,Journaux!$A$5:$A$18,0))</f>
      </c>
      <c r="P402" s="0">
        <f>INDEX(Comptes!$H$5:$H$42,MATCH(E402,Comptes!$A$5:$A$42,0))</f>
      </c>
      <c r="Q402" s="0" t="inlineStr">
        <is>
          <t xml:space="preserve">4</t>
        </is>
      </c>
    </row>
    <row r="403">
      <c r="A403" s="4" t="inlineStr">
        <is>
          <t xml:space="preserve">VT</t>
        </is>
      </c>
      <c r="B403" s="0" t="inlineStr">
        <is>
          <t xml:space="preserve">Journal des ventes</t>
        </is>
      </c>
      <c r="C403" s="0" t="inlineStr">
        <is>
          <t xml:space="preserve">VT00030</t>
        </is>
      </c>
      <c r="D403" s="10">
        <v>45446</v>
      </c>
      <c r="E403" s="4" t="inlineStr">
        <is>
          <t xml:space="preserve">411000</t>
        </is>
      </c>
      <c r="F403" s="0" t="inlineStr">
        <is>
          <t xml:space="preserve">Clients</t>
        </is>
      </c>
      <c r="G403" s="0" t="inlineStr">
        <is>
          <t xml:space="preserve">FA2024-0030</t>
        </is>
      </c>
      <c r="H403" s="0" t="inlineStr">
        <is>
          <t xml:space="preserve">Facture FA2024-0030 Clinique du Parc</t>
        </is>
      </c>
      <c r="I403" s="8">
        <v>50966.76</v>
      </c>
      <c r="J403" s="8">
        <v>0</v>
      </c>
      <c r="K403" s="0" t="inlineStr">
        <is>
          <t xml:space="preserve">AAI</t>
        </is>
      </c>
      <c r="L403" s="0" t="inlineStr">
        <is>
          <t xml:space="preserve">Clinique du Parc</t>
        </is>
      </c>
      <c r="M403" s="8">
        <f>I403-J403</f>
      </c>
      <c r="N403" s="0" t="inlineStr">
        <is>
          <t xml:space="preserve">2024-06</t>
        </is>
      </c>
      <c r="O403" s="0">
        <f>INDEX(Journaux!$E$5:$E$18,MATCH("2024|"&amp;A403,Journaux!$A$5:$A$18,0))</f>
      </c>
      <c r="P403" s="0">
        <f>INDEX(Comptes!$H$5:$H$42,MATCH(E403,Comptes!$A$5:$A$42,0))</f>
      </c>
      <c r="Q403" s="0" t="inlineStr">
        <is>
          <t xml:space="preserve">4</t>
        </is>
      </c>
      <c r="R403" s="7" t="inlineStr">
        <is>
          <t xml:space="preserve">411000|C006</t>
        </is>
      </c>
    </row>
    <row r="404">
      <c r="A404" s="4" t="inlineStr">
        <is>
          <t xml:space="preserve">VT</t>
        </is>
      </c>
      <c r="B404" s="0" t="inlineStr">
        <is>
          <t xml:space="preserve">Journal des ventes</t>
        </is>
      </c>
      <c r="C404" s="0" t="inlineStr">
        <is>
          <t xml:space="preserve">VT00030</t>
        </is>
      </c>
      <c r="D404" s="10">
        <v>45446</v>
      </c>
      <c r="E404" s="4" t="inlineStr">
        <is>
          <t xml:space="preserve">701000</t>
        </is>
      </c>
      <c r="F404" s="0" t="inlineStr">
        <is>
          <t xml:space="preserve">Ventes de produits finis</t>
        </is>
      </c>
      <c r="G404" s="0" t="inlineStr">
        <is>
          <t xml:space="preserve">FA2024-0030</t>
        </is>
      </c>
      <c r="H404" s="0" t="inlineStr">
        <is>
          <t xml:space="preserve">Facture FA2024-0030 Clinique du Parc</t>
        </is>
      </c>
      <c r="I404" s="8">
        <v>0</v>
      </c>
      <c r="J404" s="8">
        <v>42472.3</v>
      </c>
      <c r="K404" s="0"/>
      <c r="L404" s="0"/>
      <c r="M404" s="8">
        <f>I404-J404</f>
      </c>
      <c r="N404" s="0" t="inlineStr">
        <is>
          <t xml:space="preserve">2024-06</t>
        </is>
      </c>
      <c r="O404" s="0">
        <f>INDEX(Journaux!$E$5:$E$18,MATCH("2024|"&amp;A404,Journaux!$A$5:$A$18,0))</f>
      </c>
      <c r="P404" s="0">
        <f>INDEX(Comptes!$H$5:$H$42,MATCH(E404,Comptes!$A$5:$A$42,0))</f>
      </c>
      <c r="Q404" s="0" t="inlineStr">
        <is>
          <t xml:space="preserve">7</t>
        </is>
      </c>
    </row>
    <row r="405">
      <c r="A405" s="4" t="inlineStr">
        <is>
          <t xml:space="preserve">VT</t>
        </is>
      </c>
      <c r="B405" s="0" t="inlineStr">
        <is>
          <t xml:space="preserve">Journal des ventes</t>
        </is>
      </c>
      <c r="C405" s="0" t="inlineStr">
        <is>
          <t xml:space="preserve">VT00030</t>
        </is>
      </c>
      <c r="D405" s="10">
        <v>45446</v>
      </c>
      <c r="E405" s="4" t="inlineStr">
        <is>
          <t xml:space="preserve">445710</t>
        </is>
      </c>
      <c r="F405" s="0" t="inlineStr">
        <is>
          <t xml:space="preserve">TVA collectee</t>
        </is>
      </c>
      <c r="G405" s="0" t="inlineStr">
        <is>
          <t xml:space="preserve">FA2024-0030</t>
        </is>
      </c>
      <c r="H405" s="0" t="inlineStr">
        <is>
          <t xml:space="preserve">Facture FA2024-0030 Clinique du Parc</t>
        </is>
      </c>
      <c r="I405" s="8">
        <v>0</v>
      </c>
      <c r="J405" s="8">
        <v>8494.46</v>
      </c>
      <c r="K405" s="0"/>
      <c r="L405" s="0"/>
      <c r="M405" s="8">
        <f>I405-J405</f>
      </c>
      <c r="N405" s="0" t="inlineStr">
        <is>
          <t xml:space="preserve">2024-06</t>
        </is>
      </c>
      <c r="O405" s="0">
        <f>INDEX(Journaux!$E$5:$E$18,MATCH("2024|"&amp;A405,Journaux!$A$5:$A$18,0))</f>
      </c>
      <c r="P405" s="0">
        <f>INDEX(Comptes!$H$5:$H$42,MATCH(E405,Comptes!$A$5:$A$42,0))</f>
      </c>
      <c r="Q405" s="0" t="inlineStr">
        <is>
          <t xml:space="preserve">4</t>
        </is>
      </c>
    </row>
    <row r="406">
      <c r="A406" s="4" t="inlineStr">
        <is>
          <t xml:space="preserve">BQ</t>
        </is>
      </c>
      <c r="B406" s="0" t="inlineStr">
        <is>
          <t xml:space="preserve">Banque Fictive</t>
        </is>
      </c>
      <c r="C406" s="0" t="inlineStr">
        <is>
          <t xml:space="preserve">BQ00153</t>
        </is>
      </c>
      <c r="D406" s="10">
        <v>45447</v>
      </c>
      <c r="E406" s="4" t="inlineStr">
        <is>
          <t xml:space="preserve">401000</t>
        </is>
      </c>
      <c r="F406" s="0" t="inlineStr">
        <is>
          <t xml:space="preserve">Fournisseurs</t>
        </is>
      </c>
      <c r="G406" s="0" t="inlineStr">
        <is>
          <t xml:space="preserve">DEC-F004-202405</t>
        </is>
      </c>
      <c r="H406" s="0" t="inlineStr">
        <is>
          <t xml:space="preserve">Reglement fournisseur SCI Les Halles F004-202405</t>
        </is>
      </c>
      <c r="I406" s="8">
        <v>10200</v>
      </c>
      <c r="J406" s="8">
        <v>0</v>
      </c>
      <c r="K406" s="0" t="inlineStr">
        <is>
          <t xml:space="preserve">ACO</t>
        </is>
      </c>
      <c r="L406" s="0" t="inlineStr">
        <is>
          <t xml:space="preserve">SCI Les Halles</t>
        </is>
      </c>
      <c r="M406" s="8">
        <f>I406-J406</f>
      </c>
      <c r="N406" s="0" t="inlineStr">
        <is>
          <t xml:space="preserve">2024-06</t>
        </is>
      </c>
      <c r="O406" s="0">
        <f>INDEX(Journaux!$E$5:$E$18,MATCH("2024|"&amp;A406,Journaux!$A$5:$A$18,0))</f>
      </c>
      <c r="P406" s="0">
        <f>INDEX(Comptes!$H$5:$H$42,MATCH(E406,Comptes!$A$5:$A$42,0))</f>
      </c>
      <c r="Q406" s="0" t="inlineStr">
        <is>
          <t xml:space="preserve">4</t>
        </is>
      </c>
      <c r="R406" s="7" t="inlineStr">
        <is>
          <t xml:space="preserve">401000|F004</t>
        </is>
      </c>
    </row>
    <row r="407">
      <c r="A407" s="4" t="inlineStr">
        <is>
          <t xml:space="preserve">BQ</t>
        </is>
      </c>
      <c r="B407" s="0" t="inlineStr">
        <is>
          <t xml:space="preserve">Banque Fictive</t>
        </is>
      </c>
      <c r="C407" s="0" t="inlineStr">
        <is>
          <t xml:space="preserve">BQ00153</t>
        </is>
      </c>
      <c r="D407" s="10">
        <v>45447</v>
      </c>
      <c r="E407" s="4" t="inlineStr">
        <is>
          <t xml:space="preserve">512000</t>
        </is>
      </c>
      <c r="F407" s="0" t="inlineStr">
        <is>
          <t xml:space="preserve">Banque Fictive</t>
        </is>
      </c>
      <c r="G407" s="0" t="inlineStr">
        <is>
          <t xml:space="preserve">DEC-F004-202405</t>
        </is>
      </c>
      <c r="H407" s="0" t="inlineStr">
        <is>
          <t xml:space="preserve">Reglement fournisseur SCI Les Halles F004-202405</t>
        </is>
      </c>
      <c r="I407" s="8">
        <v>0</v>
      </c>
      <c r="J407" s="8">
        <v>10200</v>
      </c>
      <c r="K407" s="0"/>
      <c r="L407" s="0"/>
      <c r="M407" s="8">
        <f>I407-J407</f>
      </c>
      <c r="N407" s="0" t="inlineStr">
        <is>
          <t xml:space="preserve">2024-06</t>
        </is>
      </c>
      <c r="O407" s="0">
        <f>INDEX(Journaux!$E$5:$E$18,MATCH("2024|"&amp;A407,Journaux!$A$5:$A$18,0))</f>
      </c>
      <c r="P407" s="0">
        <f>INDEX(Comptes!$H$5:$H$42,MATCH(E407,Comptes!$A$5:$A$42,0))</f>
      </c>
      <c r="Q407" s="0" t="inlineStr">
        <is>
          <t xml:space="preserve">5</t>
        </is>
      </c>
    </row>
    <row r="408">
      <c r="A408" s="4" t="inlineStr">
        <is>
          <t xml:space="preserve">BQ</t>
        </is>
      </c>
      <c r="B408" s="0" t="inlineStr">
        <is>
          <t xml:space="preserve">Banque Fictive</t>
        </is>
      </c>
      <c r="C408" s="0" t="inlineStr">
        <is>
          <t xml:space="preserve">BQ00154</t>
        </is>
      </c>
      <c r="D408" s="10">
        <v>45447</v>
      </c>
      <c r="E408" s="4" t="inlineStr">
        <is>
          <t xml:space="preserve">401000</t>
        </is>
      </c>
      <c r="F408" s="0" t="inlineStr">
        <is>
          <t xml:space="preserve">Fournisseurs</t>
        </is>
      </c>
      <c r="G408" s="0" t="inlineStr">
        <is>
          <t xml:space="preserve">DEC-F005-202405</t>
        </is>
      </c>
      <c r="H408" s="0" t="inlineStr">
        <is>
          <t xml:space="preserve">Reglement fournisseur Energie Plus F005-202405</t>
        </is>
      </c>
      <c r="I408" s="8">
        <v>3076.03</v>
      </c>
      <c r="J408" s="8">
        <v>0</v>
      </c>
      <c r="K408" s="0" t="inlineStr">
        <is>
          <t xml:space="preserve">ACP</t>
        </is>
      </c>
      <c r="L408" s="0" t="inlineStr">
        <is>
          <t xml:space="preserve">Energie Plus</t>
        </is>
      </c>
      <c r="M408" s="8">
        <f>I408-J408</f>
      </c>
      <c r="N408" s="0" t="inlineStr">
        <is>
          <t xml:space="preserve">2024-06</t>
        </is>
      </c>
      <c r="O408" s="0">
        <f>INDEX(Journaux!$E$5:$E$18,MATCH("2024|"&amp;A408,Journaux!$A$5:$A$18,0))</f>
      </c>
      <c r="P408" s="0">
        <f>INDEX(Comptes!$H$5:$H$42,MATCH(E408,Comptes!$A$5:$A$42,0))</f>
      </c>
      <c r="Q408" s="0" t="inlineStr">
        <is>
          <t xml:space="preserve">4</t>
        </is>
      </c>
      <c r="R408" s="7" t="inlineStr">
        <is>
          <t xml:space="preserve">401000|F005</t>
        </is>
      </c>
    </row>
    <row r="409">
      <c r="A409" s="4" t="inlineStr">
        <is>
          <t xml:space="preserve">BQ</t>
        </is>
      </c>
      <c r="B409" s="0" t="inlineStr">
        <is>
          <t xml:space="preserve">Banque Fictive</t>
        </is>
      </c>
      <c r="C409" s="0" t="inlineStr">
        <is>
          <t xml:space="preserve">BQ00154</t>
        </is>
      </c>
      <c r="D409" s="10">
        <v>45447</v>
      </c>
      <c r="E409" s="4" t="inlineStr">
        <is>
          <t xml:space="preserve">512000</t>
        </is>
      </c>
      <c r="F409" s="0" t="inlineStr">
        <is>
          <t xml:space="preserve">Banque Fictive</t>
        </is>
      </c>
      <c r="G409" s="0" t="inlineStr">
        <is>
          <t xml:space="preserve">DEC-F005-202405</t>
        </is>
      </c>
      <c r="H409" s="0" t="inlineStr">
        <is>
          <t xml:space="preserve">Reglement fournisseur Energie Plus F005-202405</t>
        </is>
      </c>
      <c r="I409" s="8">
        <v>0</v>
      </c>
      <c r="J409" s="8">
        <v>3076.03</v>
      </c>
      <c r="K409" s="0"/>
      <c r="L409" s="0"/>
      <c r="M409" s="8">
        <f>I409-J409</f>
      </c>
      <c r="N409" s="0" t="inlineStr">
        <is>
          <t xml:space="preserve">2024-06</t>
        </is>
      </c>
      <c r="O409" s="0">
        <f>INDEX(Journaux!$E$5:$E$18,MATCH("2024|"&amp;A409,Journaux!$A$5:$A$18,0))</f>
      </c>
      <c r="P409" s="0">
        <f>INDEX(Comptes!$H$5:$H$42,MATCH(E409,Comptes!$A$5:$A$42,0))</f>
      </c>
      <c r="Q409" s="0" t="inlineStr">
        <is>
          <t xml:space="preserve">5</t>
        </is>
      </c>
    </row>
    <row r="410">
      <c r="A410" s="4" t="inlineStr">
        <is>
          <t xml:space="preserve">BQ</t>
        </is>
      </c>
      <c r="B410" s="0" t="inlineStr">
        <is>
          <t xml:space="preserve">Banque Fictive</t>
        </is>
      </c>
      <c r="C410" s="0" t="inlineStr">
        <is>
          <t xml:space="preserve">BQ00155</t>
        </is>
      </c>
      <c r="D410" s="10">
        <v>45447</v>
      </c>
      <c r="E410" s="4" t="inlineStr">
        <is>
          <t xml:space="preserve">401000</t>
        </is>
      </c>
      <c r="F410" s="0" t="inlineStr">
        <is>
          <t xml:space="preserve">Fournisseurs</t>
        </is>
      </c>
      <c r="G410" s="0" t="inlineStr">
        <is>
          <t xml:space="preserve">DEC-F008-202405</t>
        </is>
      </c>
      <c r="H410" s="0" t="inlineStr">
        <is>
          <t xml:space="preserve">Reglement fournisseur Telecom Pro F008-202405</t>
        </is>
      </c>
      <c r="I410" s="8">
        <v>576</v>
      </c>
      <c r="J410" s="8">
        <v>0</v>
      </c>
      <c r="K410" s="0" t="inlineStr">
        <is>
          <t xml:space="preserve">ACQ</t>
        </is>
      </c>
      <c r="L410" s="0" t="inlineStr">
        <is>
          <t xml:space="preserve">Telecom Pro</t>
        </is>
      </c>
      <c r="M410" s="8">
        <f>I410-J410</f>
      </c>
      <c r="N410" s="0" t="inlineStr">
        <is>
          <t xml:space="preserve">2024-06</t>
        </is>
      </c>
      <c r="O410" s="0">
        <f>INDEX(Journaux!$E$5:$E$18,MATCH("2024|"&amp;A410,Journaux!$A$5:$A$18,0))</f>
      </c>
      <c r="P410" s="0">
        <f>INDEX(Comptes!$H$5:$H$42,MATCH(E410,Comptes!$A$5:$A$42,0))</f>
      </c>
      <c r="Q410" s="0" t="inlineStr">
        <is>
          <t xml:space="preserve">4</t>
        </is>
      </c>
      <c r="R410" s="7" t="inlineStr">
        <is>
          <t xml:space="preserve">401000|F008</t>
        </is>
      </c>
    </row>
    <row r="411">
      <c r="A411" s="4" t="inlineStr">
        <is>
          <t xml:space="preserve">BQ</t>
        </is>
      </c>
      <c r="B411" s="0" t="inlineStr">
        <is>
          <t xml:space="preserve">Banque Fictive</t>
        </is>
      </c>
      <c r="C411" s="0" t="inlineStr">
        <is>
          <t xml:space="preserve">BQ00155</t>
        </is>
      </c>
      <c r="D411" s="10">
        <v>45447</v>
      </c>
      <c r="E411" s="4" t="inlineStr">
        <is>
          <t xml:space="preserve">512000</t>
        </is>
      </c>
      <c r="F411" s="0" t="inlineStr">
        <is>
          <t xml:space="preserve">Banque Fictive</t>
        </is>
      </c>
      <c r="G411" s="0" t="inlineStr">
        <is>
          <t xml:space="preserve">DEC-F008-202405</t>
        </is>
      </c>
      <c r="H411" s="0" t="inlineStr">
        <is>
          <t xml:space="preserve">Reglement fournisseur Telecom Pro F008-202405</t>
        </is>
      </c>
      <c r="I411" s="8">
        <v>0</v>
      </c>
      <c r="J411" s="8">
        <v>576</v>
      </c>
      <c r="K411" s="0"/>
      <c r="L411" s="0"/>
      <c r="M411" s="8">
        <f>I411-J411</f>
      </c>
      <c r="N411" s="0" t="inlineStr">
        <is>
          <t xml:space="preserve">2024-06</t>
        </is>
      </c>
      <c r="O411" s="0">
        <f>INDEX(Journaux!$E$5:$E$18,MATCH("2024|"&amp;A411,Journaux!$A$5:$A$18,0))</f>
      </c>
      <c r="P411" s="0">
        <f>INDEX(Comptes!$H$5:$H$42,MATCH(E411,Comptes!$A$5:$A$42,0))</f>
      </c>
      <c r="Q411" s="0" t="inlineStr">
        <is>
          <t xml:space="preserve">5</t>
        </is>
      </c>
    </row>
    <row r="412">
      <c r="A412" s="4" t="inlineStr">
        <is>
          <t xml:space="preserve">AC</t>
        </is>
      </c>
      <c r="B412" s="0" t="inlineStr">
        <is>
          <t xml:space="preserve">Journal des achats</t>
        </is>
      </c>
      <c r="C412" s="0" t="inlineStr">
        <is>
          <t xml:space="preserve">AC00035</t>
        </is>
      </c>
      <c r="D412" s="10">
        <v>45448</v>
      </c>
      <c r="E412" s="4" t="inlineStr">
        <is>
          <t xml:space="preserve">613200</t>
        </is>
      </c>
      <c r="F412" s="0" t="inlineStr">
        <is>
          <t xml:space="preserve">Locations immobilieres</t>
        </is>
      </c>
      <c r="G412" s="0" t="inlineStr">
        <is>
          <t xml:space="preserve">F004-202406</t>
        </is>
      </c>
      <c r="H412" s="0" t="inlineStr">
        <is>
          <t xml:space="preserve">Facture SCI Les Halles 2024-06</t>
        </is>
      </c>
      <c r="I412" s="8">
        <v>8500</v>
      </c>
      <c r="J412" s="8">
        <v>0</v>
      </c>
      <c r="K412" s="0"/>
      <c r="L412" s="0"/>
      <c r="M412" s="8">
        <f>I412-J412</f>
      </c>
      <c r="N412" s="0" t="inlineStr">
        <is>
          <t xml:space="preserve">2024-06</t>
        </is>
      </c>
      <c r="O412" s="0">
        <f>INDEX(Journaux!$E$5:$E$18,MATCH("2024|"&amp;A412,Journaux!$A$5:$A$18,0))</f>
      </c>
      <c r="P412" s="0">
        <f>INDEX(Comptes!$H$5:$H$42,MATCH(E412,Comptes!$A$5:$A$42,0))</f>
      </c>
      <c r="Q412" s="0" t="inlineStr">
        <is>
          <t xml:space="preserve">6</t>
        </is>
      </c>
    </row>
    <row r="413">
      <c r="A413" s="4" t="inlineStr">
        <is>
          <t xml:space="preserve">AC</t>
        </is>
      </c>
      <c r="B413" s="0" t="inlineStr">
        <is>
          <t xml:space="preserve">Journal des achats</t>
        </is>
      </c>
      <c r="C413" s="0" t="inlineStr">
        <is>
          <t xml:space="preserve">AC00035</t>
        </is>
      </c>
      <c r="D413" s="10">
        <v>45448</v>
      </c>
      <c r="E413" s="4" t="inlineStr">
        <is>
          <t xml:space="preserve">445660</t>
        </is>
      </c>
      <c r="F413" s="0" t="inlineStr">
        <is>
          <t xml:space="preserve">TVA deductible sur ABS</t>
        </is>
      </c>
      <c r="G413" s="0" t="inlineStr">
        <is>
          <t xml:space="preserve">F004-202406</t>
        </is>
      </c>
      <c r="H413" s="0" t="inlineStr">
        <is>
          <t xml:space="preserve">Facture SCI Les Halles 2024-06</t>
        </is>
      </c>
      <c r="I413" s="8">
        <v>1700</v>
      </c>
      <c r="J413" s="8">
        <v>0</v>
      </c>
      <c r="K413" s="0"/>
      <c r="L413" s="0"/>
      <c r="M413" s="8">
        <f>I413-J413</f>
      </c>
      <c r="N413" s="0" t="inlineStr">
        <is>
          <t xml:space="preserve">2024-06</t>
        </is>
      </c>
      <c r="O413" s="0">
        <f>INDEX(Journaux!$E$5:$E$18,MATCH("2024|"&amp;A413,Journaux!$A$5:$A$18,0))</f>
      </c>
      <c r="P413" s="0">
        <f>INDEX(Comptes!$H$5:$H$42,MATCH(E413,Comptes!$A$5:$A$42,0))</f>
      </c>
      <c r="Q413" s="0" t="inlineStr">
        <is>
          <t xml:space="preserve">4</t>
        </is>
      </c>
    </row>
    <row r="414">
      <c r="A414" s="4" t="inlineStr">
        <is>
          <t xml:space="preserve">AC</t>
        </is>
      </c>
      <c r="B414" s="0" t="inlineStr">
        <is>
          <t xml:space="preserve">Journal des achats</t>
        </is>
      </c>
      <c r="C414" s="0" t="inlineStr">
        <is>
          <t xml:space="preserve">AC00035</t>
        </is>
      </c>
      <c r="D414" s="10">
        <v>45448</v>
      </c>
      <c r="E414" s="4" t="inlineStr">
        <is>
          <t xml:space="preserve">401000</t>
        </is>
      </c>
      <c r="F414" s="0" t="inlineStr">
        <is>
          <t xml:space="preserve">Fournisseurs</t>
        </is>
      </c>
      <c r="G414" s="0" t="inlineStr">
        <is>
          <t xml:space="preserve">F004-202406</t>
        </is>
      </c>
      <c r="H414" s="0" t="inlineStr">
        <is>
          <t xml:space="preserve">Facture SCI Les Halles 2024-06</t>
        </is>
      </c>
      <c r="I414" s="8">
        <v>0</v>
      </c>
      <c r="J414" s="8">
        <v>10200</v>
      </c>
      <c r="K414" s="0" t="inlineStr">
        <is>
          <t xml:space="preserve">ACU</t>
        </is>
      </c>
      <c r="L414" s="0" t="inlineStr">
        <is>
          <t xml:space="preserve">SCI Les Halles</t>
        </is>
      </c>
      <c r="M414" s="8">
        <f>I414-J414</f>
      </c>
      <c r="N414" s="0" t="inlineStr">
        <is>
          <t xml:space="preserve">2024-06</t>
        </is>
      </c>
      <c r="O414" s="0">
        <f>INDEX(Journaux!$E$5:$E$18,MATCH("2024|"&amp;A414,Journaux!$A$5:$A$18,0))</f>
      </c>
      <c r="P414" s="0">
        <f>INDEX(Comptes!$H$5:$H$42,MATCH(E414,Comptes!$A$5:$A$42,0))</f>
      </c>
      <c r="Q414" s="0" t="inlineStr">
        <is>
          <t xml:space="preserve">4</t>
        </is>
      </c>
      <c r="R414" s="7" t="inlineStr">
        <is>
          <t xml:space="preserve">401000|F004</t>
        </is>
      </c>
    </row>
    <row r="415">
      <c r="A415" s="4" t="inlineStr">
        <is>
          <t xml:space="preserve">AC</t>
        </is>
      </c>
      <c r="B415" s="0" t="inlineStr">
        <is>
          <t xml:space="preserve">Journal des achats</t>
        </is>
      </c>
      <c r="C415" s="0" t="inlineStr">
        <is>
          <t xml:space="preserve">AC00036</t>
        </is>
      </c>
      <c r="D415" s="10">
        <v>45448</v>
      </c>
      <c r="E415" s="4" t="inlineStr">
        <is>
          <t xml:space="preserve">606100</t>
        </is>
      </c>
      <c r="F415" s="0" t="inlineStr">
        <is>
          <t xml:space="preserve">Fournitures non stockables energie</t>
        </is>
      </c>
      <c r="G415" s="0" t="inlineStr">
        <is>
          <t xml:space="preserve">F005-202406</t>
        </is>
      </c>
      <c r="H415" s="0" t="inlineStr">
        <is>
          <t xml:space="preserve">Facture Energie Plus 2024-06</t>
        </is>
      </c>
      <c r="I415" s="8">
        <v>3480.8</v>
      </c>
      <c r="J415" s="8">
        <v>0</v>
      </c>
      <c r="K415" s="0"/>
      <c r="L415" s="0"/>
      <c r="M415" s="8">
        <f>I415-J415</f>
      </c>
      <c r="N415" s="0" t="inlineStr">
        <is>
          <t xml:space="preserve">2024-06</t>
        </is>
      </c>
      <c r="O415" s="0">
        <f>INDEX(Journaux!$E$5:$E$18,MATCH("2024|"&amp;A415,Journaux!$A$5:$A$18,0))</f>
      </c>
      <c r="P415" s="0">
        <f>INDEX(Comptes!$H$5:$H$42,MATCH(E415,Comptes!$A$5:$A$42,0))</f>
      </c>
      <c r="Q415" s="0" t="inlineStr">
        <is>
          <t xml:space="preserve">6</t>
        </is>
      </c>
    </row>
    <row r="416">
      <c r="A416" s="4" t="inlineStr">
        <is>
          <t xml:space="preserve">AC</t>
        </is>
      </c>
      <c r="B416" s="0" t="inlineStr">
        <is>
          <t xml:space="preserve">Journal des achats</t>
        </is>
      </c>
      <c r="C416" s="0" t="inlineStr">
        <is>
          <t xml:space="preserve">AC00036</t>
        </is>
      </c>
      <c r="D416" s="10">
        <v>45448</v>
      </c>
      <c r="E416" s="4" t="inlineStr">
        <is>
          <t xml:space="preserve">445660</t>
        </is>
      </c>
      <c r="F416" s="0" t="inlineStr">
        <is>
          <t xml:space="preserve">TVA deductible sur ABS</t>
        </is>
      </c>
      <c r="G416" s="0" t="inlineStr">
        <is>
          <t xml:space="preserve">F005-202406</t>
        </is>
      </c>
      <c r="H416" s="0" t="inlineStr">
        <is>
          <t xml:space="preserve">Facture Energie Plus 2024-06</t>
        </is>
      </c>
      <c r="I416" s="8">
        <v>696.16</v>
      </c>
      <c r="J416" s="8">
        <v>0</v>
      </c>
      <c r="K416" s="0"/>
      <c r="L416" s="0"/>
      <c r="M416" s="8">
        <f>I416-J416</f>
      </c>
      <c r="N416" s="0" t="inlineStr">
        <is>
          <t xml:space="preserve">2024-06</t>
        </is>
      </c>
      <c r="O416" s="0">
        <f>INDEX(Journaux!$E$5:$E$18,MATCH("2024|"&amp;A416,Journaux!$A$5:$A$18,0))</f>
      </c>
      <c r="P416" s="0">
        <f>INDEX(Comptes!$H$5:$H$42,MATCH(E416,Comptes!$A$5:$A$42,0))</f>
      </c>
      <c r="Q416" s="0" t="inlineStr">
        <is>
          <t xml:space="preserve">4</t>
        </is>
      </c>
    </row>
    <row r="417">
      <c r="A417" s="4" t="inlineStr">
        <is>
          <t xml:space="preserve">AC</t>
        </is>
      </c>
      <c r="B417" s="0" t="inlineStr">
        <is>
          <t xml:space="preserve">Journal des achats</t>
        </is>
      </c>
      <c r="C417" s="0" t="inlineStr">
        <is>
          <t xml:space="preserve">AC00036</t>
        </is>
      </c>
      <c r="D417" s="10">
        <v>45448</v>
      </c>
      <c r="E417" s="4" t="inlineStr">
        <is>
          <t xml:space="preserve">401000</t>
        </is>
      </c>
      <c r="F417" s="0" t="inlineStr">
        <is>
          <t xml:space="preserve">Fournisseurs</t>
        </is>
      </c>
      <c r="G417" s="0" t="inlineStr">
        <is>
          <t xml:space="preserve">F005-202406</t>
        </is>
      </c>
      <c r="H417" s="0" t="inlineStr">
        <is>
          <t xml:space="preserve">Facture Energie Plus 2024-06</t>
        </is>
      </c>
      <c r="I417" s="8">
        <v>0</v>
      </c>
      <c r="J417" s="8">
        <v>4176.96</v>
      </c>
      <c r="K417" s="0" t="inlineStr">
        <is>
          <t xml:space="preserve">ACV</t>
        </is>
      </c>
      <c r="L417" s="0" t="inlineStr">
        <is>
          <t xml:space="preserve">Energie Plus</t>
        </is>
      </c>
      <c r="M417" s="8">
        <f>I417-J417</f>
      </c>
      <c r="N417" s="0" t="inlineStr">
        <is>
          <t xml:space="preserve">2024-06</t>
        </is>
      </c>
      <c r="O417" s="0">
        <f>INDEX(Journaux!$E$5:$E$18,MATCH("2024|"&amp;A417,Journaux!$A$5:$A$18,0))</f>
      </c>
      <c r="P417" s="0">
        <f>INDEX(Comptes!$H$5:$H$42,MATCH(E417,Comptes!$A$5:$A$42,0))</f>
      </c>
      <c r="Q417" s="0" t="inlineStr">
        <is>
          <t xml:space="preserve">4</t>
        </is>
      </c>
      <c r="R417" s="7" t="inlineStr">
        <is>
          <t xml:space="preserve">401000|F005</t>
        </is>
      </c>
    </row>
    <row r="418">
      <c r="A418" s="4" t="inlineStr">
        <is>
          <t xml:space="preserve">AC</t>
        </is>
      </c>
      <c r="B418" s="0" t="inlineStr">
        <is>
          <t xml:space="preserve">Journal des achats</t>
        </is>
      </c>
      <c r="C418" s="0" t="inlineStr">
        <is>
          <t xml:space="preserve">AC00037</t>
        </is>
      </c>
      <c r="D418" s="10">
        <v>45448</v>
      </c>
      <c r="E418" s="4" t="inlineStr">
        <is>
          <t xml:space="preserve">626000</t>
        </is>
      </c>
      <c r="F418" s="0" t="inlineStr">
        <is>
          <t xml:space="preserve">Frais postaux et telecommunications</t>
        </is>
      </c>
      <c r="G418" s="0" t="inlineStr">
        <is>
          <t xml:space="preserve">F008-202406</t>
        </is>
      </c>
      <c r="H418" s="0" t="inlineStr">
        <is>
          <t xml:space="preserve">Facture Telecom Pro 2024-06</t>
        </is>
      </c>
      <c r="I418" s="8">
        <v>480</v>
      </c>
      <c r="J418" s="8">
        <v>0</v>
      </c>
      <c r="K418" s="0"/>
      <c r="L418" s="0"/>
      <c r="M418" s="8">
        <f>I418-J418</f>
      </c>
      <c r="N418" s="0" t="inlineStr">
        <is>
          <t xml:space="preserve">2024-06</t>
        </is>
      </c>
      <c r="O418" s="0">
        <f>INDEX(Journaux!$E$5:$E$18,MATCH("2024|"&amp;A418,Journaux!$A$5:$A$18,0))</f>
      </c>
      <c r="P418" s="0">
        <f>INDEX(Comptes!$H$5:$H$42,MATCH(E418,Comptes!$A$5:$A$42,0))</f>
      </c>
      <c r="Q418" s="0" t="inlineStr">
        <is>
          <t xml:space="preserve">6</t>
        </is>
      </c>
    </row>
    <row r="419">
      <c r="A419" s="4" t="inlineStr">
        <is>
          <t xml:space="preserve">AC</t>
        </is>
      </c>
      <c r="B419" s="0" t="inlineStr">
        <is>
          <t xml:space="preserve">Journal des achats</t>
        </is>
      </c>
      <c r="C419" s="0" t="inlineStr">
        <is>
          <t xml:space="preserve">AC00037</t>
        </is>
      </c>
      <c r="D419" s="10">
        <v>45448</v>
      </c>
      <c r="E419" s="4" t="inlineStr">
        <is>
          <t xml:space="preserve">445660</t>
        </is>
      </c>
      <c r="F419" s="0" t="inlineStr">
        <is>
          <t xml:space="preserve">TVA deductible sur ABS</t>
        </is>
      </c>
      <c r="G419" s="0" t="inlineStr">
        <is>
          <t xml:space="preserve">F008-202406</t>
        </is>
      </c>
      <c r="H419" s="0" t="inlineStr">
        <is>
          <t xml:space="preserve">Facture Telecom Pro 2024-06</t>
        </is>
      </c>
      <c r="I419" s="8">
        <v>96</v>
      </c>
      <c r="J419" s="8">
        <v>0</v>
      </c>
      <c r="K419" s="0"/>
      <c r="L419" s="0"/>
      <c r="M419" s="8">
        <f>I419-J419</f>
      </c>
      <c r="N419" s="0" t="inlineStr">
        <is>
          <t xml:space="preserve">2024-06</t>
        </is>
      </c>
      <c r="O419" s="0">
        <f>INDEX(Journaux!$E$5:$E$18,MATCH("2024|"&amp;A419,Journaux!$A$5:$A$18,0))</f>
      </c>
      <c r="P419" s="0">
        <f>INDEX(Comptes!$H$5:$H$42,MATCH(E419,Comptes!$A$5:$A$42,0))</f>
      </c>
      <c r="Q419" s="0" t="inlineStr">
        <is>
          <t xml:space="preserve">4</t>
        </is>
      </c>
    </row>
    <row r="420">
      <c r="A420" s="4" t="inlineStr">
        <is>
          <t xml:space="preserve">AC</t>
        </is>
      </c>
      <c r="B420" s="0" t="inlineStr">
        <is>
          <t xml:space="preserve">Journal des achats</t>
        </is>
      </c>
      <c r="C420" s="0" t="inlineStr">
        <is>
          <t xml:space="preserve">AC00037</t>
        </is>
      </c>
      <c r="D420" s="10">
        <v>45448</v>
      </c>
      <c r="E420" s="4" t="inlineStr">
        <is>
          <t xml:space="preserve">401000</t>
        </is>
      </c>
      <c r="F420" s="0" t="inlineStr">
        <is>
          <t xml:space="preserve">Fournisseurs</t>
        </is>
      </c>
      <c r="G420" s="0" t="inlineStr">
        <is>
          <t xml:space="preserve">F008-202406</t>
        </is>
      </c>
      <c r="H420" s="0" t="inlineStr">
        <is>
          <t xml:space="preserve">Facture Telecom Pro 2024-06</t>
        </is>
      </c>
      <c r="I420" s="8">
        <v>0</v>
      </c>
      <c r="J420" s="8">
        <v>576</v>
      </c>
      <c r="K420" s="0" t="inlineStr">
        <is>
          <t xml:space="preserve">ACW</t>
        </is>
      </c>
      <c r="L420" s="0" t="inlineStr">
        <is>
          <t xml:space="preserve">Telecom Pro</t>
        </is>
      </c>
      <c r="M420" s="8">
        <f>I420-J420</f>
      </c>
      <c r="N420" s="0" t="inlineStr">
        <is>
          <t xml:space="preserve">2024-06</t>
        </is>
      </c>
      <c r="O420" s="0">
        <f>INDEX(Journaux!$E$5:$E$18,MATCH("2024|"&amp;A420,Journaux!$A$5:$A$18,0))</f>
      </c>
      <c r="P420" s="0">
        <f>INDEX(Comptes!$H$5:$H$42,MATCH(E420,Comptes!$A$5:$A$42,0))</f>
      </c>
      <c r="Q420" s="0" t="inlineStr">
        <is>
          <t xml:space="preserve">4</t>
        </is>
      </c>
      <c r="R420" s="7" t="inlineStr">
        <is>
          <t xml:space="preserve">401000|F008</t>
        </is>
      </c>
    </row>
    <row r="421">
      <c r="A421" s="4" t="inlineStr">
        <is>
          <t xml:space="preserve">AC</t>
        </is>
      </c>
      <c r="B421" s="0" t="inlineStr">
        <is>
          <t xml:space="preserve">Journal des achats</t>
        </is>
      </c>
      <c r="C421" s="0" t="inlineStr">
        <is>
          <t xml:space="preserve">AC00038</t>
        </is>
      </c>
      <c r="D421" s="10">
        <v>45448</v>
      </c>
      <c r="E421" s="4" t="inlineStr">
        <is>
          <t xml:space="preserve">622600</t>
        </is>
      </c>
      <c r="F421" s="0" t="inlineStr">
        <is>
          <t xml:space="preserve">Honoraires</t>
        </is>
      </c>
      <c r="G421" s="0" t="inlineStr">
        <is>
          <t xml:space="preserve">F007-202406</t>
        </is>
      </c>
      <c r="H421" s="0" t="inlineStr">
        <is>
          <t xml:space="preserve">Facture Cabinet Comptable Exemple 2024-06</t>
        </is>
      </c>
      <c r="I421" s="8">
        <v>6000</v>
      </c>
      <c r="J421" s="8">
        <v>0</v>
      </c>
      <c r="K421" s="0"/>
      <c r="L421" s="0"/>
      <c r="M421" s="8">
        <f>I421-J421</f>
      </c>
      <c r="N421" s="0" t="inlineStr">
        <is>
          <t xml:space="preserve">2024-06</t>
        </is>
      </c>
      <c r="O421" s="0">
        <f>INDEX(Journaux!$E$5:$E$18,MATCH("2024|"&amp;A421,Journaux!$A$5:$A$18,0))</f>
      </c>
      <c r="P421" s="0">
        <f>INDEX(Comptes!$H$5:$H$42,MATCH(E421,Comptes!$A$5:$A$42,0))</f>
      </c>
      <c r="Q421" s="0" t="inlineStr">
        <is>
          <t xml:space="preserve">6</t>
        </is>
      </c>
    </row>
    <row r="422">
      <c r="A422" s="4" t="inlineStr">
        <is>
          <t xml:space="preserve">AC</t>
        </is>
      </c>
      <c r="B422" s="0" t="inlineStr">
        <is>
          <t xml:space="preserve">Journal des achats</t>
        </is>
      </c>
      <c r="C422" s="0" t="inlineStr">
        <is>
          <t xml:space="preserve">AC00038</t>
        </is>
      </c>
      <c r="D422" s="10">
        <v>45448</v>
      </c>
      <c r="E422" s="4" t="inlineStr">
        <is>
          <t xml:space="preserve">445660</t>
        </is>
      </c>
      <c r="F422" s="0" t="inlineStr">
        <is>
          <t xml:space="preserve">TVA deductible sur ABS</t>
        </is>
      </c>
      <c r="G422" s="0" t="inlineStr">
        <is>
          <t xml:space="preserve">F007-202406</t>
        </is>
      </c>
      <c r="H422" s="0" t="inlineStr">
        <is>
          <t xml:space="preserve">Facture Cabinet Comptable Exemple 2024-06</t>
        </is>
      </c>
      <c r="I422" s="8">
        <v>1200</v>
      </c>
      <c r="J422" s="8">
        <v>0</v>
      </c>
      <c r="K422" s="0"/>
      <c r="L422" s="0"/>
      <c r="M422" s="8">
        <f>I422-J422</f>
      </c>
      <c r="N422" s="0" t="inlineStr">
        <is>
          <t xml:space="preserve">2024-06</t>
        </is>
      </c>
      <c r="O422" s="0">
        <f>INDEX(Journaux!$E$5:$E$18,MATCH("2024|"&amp;A422,Journaux!$A$5:$A$18,0))</f>
      </c>
      <c r="P422" s="0">
        <f>INDEX(Comptes!$H$5:$H$42,MATCH(E422,Comptes!$A$5:$A$42,0))</f>
      </c>
      <c r="Q422" s="0" t="inlineStr">
        <is>
          <t xml:space="preserve">4</t>
        </is>
      </c>
    </row>
    <row r="423">
      <c r="A423" s="4" t="inlineStr">
        <is>
          <t xml:space="preserve">AC</t>
        </is>
      </c>
      <c r="B423" s="0" t="inlineStr">
        <is>
          <t xml:space="preserve">Journal des achats</t>
        </is>
      </c>
      <c r="C423" s="0" t="inlineStr">
        <is>
          <t xml:space="preserve">AC00038</t>
        </is>
      </c>
      <c r="D423" s="10">
        <v>45448</v>
      </c>
      <c r="E423" s="4" t="inlineStr">
        <is>
          <t xml:space="preserve">401000</t>
        </is>
      </c>
      <c r="F423" s="0" t="inlineStr">
        <is>
          <t xml:space="preserve">Fournisseurs</t>
        </is>
      </c>
      <c r="G423" s="0" t="inlineStr">
        <is>
          <t xml:space="preserve">F007-202406</t>
        </is>
      </c>
      <c r="H423" s="0" t="inlineStr">
        <is>
          <t xml:space="preserve">Facture Cabinet Comptable Exemple 2024-06</t>
        </is>
      </c>
      <c r="I423" s="8">
        <v>0</v>
      </c>
      <c r="J423" s="8">
        <v>7200</v>
      </c>
      <c r="K423" s="0" t="inlineStr">
        <is>
          <t xml:space="preserve">ACX</t>
        </is>
      </c>
      <c r="L423" s="0" t="inlineStr">
        <is>
          <t xml:space="preserve">Cabinet Comptable Exemple</t>
        </is>
      </c>
      <c r="M423" s="8">
        <f>I423-J423</f>
      </c>
      <c r="N423" s="0" t="inlineStr">
        <is>
          <t xml:space="preserve">2024-06</t>
        </is>
      </c>
      <c r="O423" s="0">
        <f>INDEX(Journaux!$E$5:$E$18,MATCH("2024|"&amp;A423,Journaux!$A$5:$A$18,0))</f>
      </c>
      <c r="P423" s="0">
        <f>INDEX(Comptes!$H$5:$H$42,MATCH(E423,Comptes!$A$5:$A$42,0))</f>
      </c>
      <c r="Q423" s="0" t="inlineStr">
        <is>
          <t xml:space="preserve">4</t>
        </is>
      </c>
      <c r="R423" s="7" t="inlineStr">
        <is>
          <t xml:space="preserve">401000|F007</t>
        </is>
      </c>
    </row>
    <row r="424">
      <c r="A424" s="4" t="inlineStr">
        <is>
          <t xml:space="preserve">BQ</t>
        </is>
      </c>
      <c r="B424" s="0" t="inlineStr">
        <is>
          <t xml:space="preserve">Banque Fictive</t>
        </is>
      </c>
      <c r="C424" s="0" t="inlineStr">
        <is>
          <t xml:space="preserve">BQ00143</t>
        </is>
      </c>
      <c r="D424" s="10">
        <v>45449</v>
      </c>
      <c r="E424" s="4" t="inlineStr">
        <is>
          <t xml:space="preserve">401000</t>
        </is>
      </c>
      <c r="F424" s="0" t="inlineStr">
        <is>
          <t xml:space="preserve">Fournisseurs</t>
        </is>
      </c>
      <c r="G424" s="0" t="inlineStr">
        <is>
          <t xml:space="preserve">DEC-F002-2024041</t>
        </is>
      </c>
      <c r="H424" s="0" t="inlineStr">
        <is>
          <t xml:space="preserve">Reglement fournisseur Quincaillerie Pro Est F002-2024041</t>
        </is>
      </c>
      <c r="I424" s="8">
        <v>26656.7</v>
      </c>
      <c r="J424" s="8">
        <v>0</v>
      </c>
      <c r="K424" s="0" t="inlineStr">
        <is>
          <t xml:space="preserve">ACE</t>
        </is>
      </c>
      <c r="L424" s="0" t="inlineStr">
        <is>
          <t xml:space="preserve">Quincaillerie Pro Est</t>
        </is>
      </c>
      <c r="M424" s="8">
        <f>I424-J424</f>
      </c>
      <c r="N424" s="0" t="inlineStr">
        <is>
          <t xml:space="preserve">2024-06</t>
        </is>
      </c>
      <c r="O424" s="0">
        <f>INDEX(Journaux!$E$5:$E$18,MATCH("2024|"&amp;A424,Journaux!$A$5:$A$18,0))</f>
      </c>
      <c r="P424" s="0">
        <f>INDEX(Comptes!$H$5:$H$42,MATCH(E424,Comptes!$A$5:$A$42,0))</f>
      </c>
      <c r="Q424" s="0" t="inlineStr">
        <is>
          <t xml:space="preserve">4</t>
        </is>
      </c>
      <c r="R424" s="7" t="inlineStr">
        <is>
          <t xml:space="preserve">401000|F002</t>
        </is>
      </c>
    </row>
    <row r="425">
      <c r="A425" s="4" t="inlineStr">
        <is>
          <t xml:space="preserve">BQ</t>
        </is>
      </c>
      <c r="B425" s="0" t="inlineStr">
        <is>
          <t xml:space="preserve">Banque Fictive</t>
        </is>
      </c>
      <c r="C425" s="0" t="inlineStr">
        <is>
          <t xml:space="preserve">BQ00143</t>
        </is>
      </c>
      <c r="D425" s="10">
        <v>45449</v>
      </c>
      <c r="E425" s="4" t="inlineStr">
        <is>
          <t xml:space="preserve">512000</t>
        </is>
      </c>
      <c r="F425" s="0" t="inlineStr">
        <is>
          <t xml:space="preserve">Banque Fictive</t>
        </is>
      </c>
      <c r="G425" s="0" t="inlineStr">
        <is>
          <t xml:space="preserve">DEC-F002-2024041</t>
        </is>
      </c>
      <c r="H425" s="0" t="inlineStr">
        <is>
          <t xml:space="preserve">Reglement fournisseur Quincaillerie Pro Est F002-2024041</t>
        </is>
      </c>
      <c r="I425" s="8">
        <v>0</v>
      </c>
      <c r="J425" s="8">
        <v>26656.7</v>
      </c>
      <c r="K425" s="0"/>
      <c r="L425" s="0"/>
      <c r="M425" s="8">
        <f>I425-J425</f>
      </c>
      <c r="N425" s="0" t="inlineStr">
        <is>
          <t xml:space="preserve">2024-06</t>
        </is>
      </c>
      <c r="O425" s="0">
        <f>INDEX(Journaux!$E$5:$E$18,MATCH("2024|"&amp;A425,Journaux!$A$5:$A$18,0))</f>
      </c>
      <c r="P425" s="0">
        <f>INDEX(Comptes!$H$5:$H$42,MATCH(E425,Comptes!$A$5:$A$42,0))</f>
      </c>
      <c r="Q425" s="0" t="inlineStr">
        <is>
          <t xml:space="preserve">5</t>
        </is>
      </c>
    </row>
    <row r="426">
      <c r="A426" s="4" t="inlineStr">
        <is>
          <t xml:space="preserve">VT</t>
        </is>
      </c>
      <c r="B426" s="0" t="inlineStr">
        <is>
          <t xml:space="preserve">Journal des ventes</t>
        </is>
      </c>
      <c r="C426" s="0" t="inlineStr">
        <is>
          <t xml:space="preserve">VT00031</t>
        </is>
      </c>
      <c r="D426" s="10">
        <v>45450</v>
      </c>
      <c r="E426" s="4" t="inlineStr">
        <is>
          <t xml:space="preserve">411000</t>
        </is>
      </c>
      <c r="F426" s="0" t="inlineStr">
        <is>
          <t xml:space="preserve">Clients</t>
        </is>
      </c>
      <c r="G426" s="0" t="inlineStr">
        <is>
          <t xml:space="preserve">FA2024-0031</t>
        </is>
      </c>
      <c r="H426" s="0" t="inlineStr">
        <is>
          <t xml:space="preserve">Facture FA2024-0031 Cabinet Varenne Associes</t>
        </is>
      </c>
      <c r="I426" s="8">
        <v>52316</v>
      </c>
      <c r="J426" s="8">
        <v>0</v>
      </c>
      <c r="K426" s="0" t="inlineStr">
        <is>
          <t xml:space="preserve">AAJ</t>
        </is>
      </c>
      <c r="L426" s="0" t="inlineStr">
        <is>
          <t xml:space="preserve">Cabinet Varenne Associes</t>
        </is>
      </c>
      <c r="M426" s="8">
        <f>I426-J426</f>
      </c>
      <c r="N426" s="0" t="inlineStr">
        <is>
          <t xml:space="preserve">2024-06</t>
        </is>
      </c>
      <c r="O426" s="0">
        <f>INDEX(Journaux!$E$5:$E$18,MATCH("2024|"&amp;A426,Journaux!$A$5:$A$18,0))</f>
      </c>
      <c r="P426" s="0">
        <f>INDEX(Comptes!$H$5:$H$42,MATCH(E426,Comptes!$A$5:$A$42,0))</f>
      </c>
      <c r="Q426" s="0" t="inlineStr">
        <is>
          <t xml:space="preserve">4</t>
        </is>
      </c>
      <c r="R426" s="7" t="inlineStr">
        <is>
          <t xml:space="preserve">411000|C004</t>
        </is>
      </c>
    </row>
    <row r="427">
      <c r="A427" s="4" t="inlineStr">
        <is>
          <t xml:space="preserve">VT</t>
        </is>
      </c>
      <c r="B427" s="0" t="inlineStr">
        <is>
          <t xml:space="preserve">Journal des ventes</t>
        </is>
      </c>
      <c r="C427" s="0" t="inlineStr">
        <is>
          <t xml:space="preserve">VT00031</t>
        </is>
      </c>
      <c r="D427" s="10">
        <v>45450</v>
      </c>
      <c r="E427" s="4" t="inlineStr">
        <is>
          <t xml:space="preserve">701000</t>
        </is>
      </c>
      <c r="F427" s="0" t="inlineStr">
        <is>
          <t xml:space="preserve">Ventes de produits finis</t>
        </is>
      </c>
      <c r="G427" s="0" t="inlineStr">
        <is>
          <t xml:space="preserve">FA2024-0031</t>
        </is>
      </c>
      <c r="H427" s="0" t="inlineStr">
        <is>
          <t xml:space="preserve">Facture FA2024-0031 Cabinet Varenne Associes</t>
        </is>
      </c>
      <c r="I427" s="8">
        <v>0</v>
      </c>
      <c r="J427" s="8">
        <v>43596.67</v>
      </c>
      <c r="K427" s="0"/>
      <c r="L427" s="0"/>
      <c r="M427" s="8">
        <f>I427-J427</f>
      </c>
      <c r="N427" s="0" t="inlineStr">
        <is>
          <t xml:space="preserve">2024-06</t>
        </is>
      </c>
      <c r="O427" s="0">
        <f>INDEX(Journaux!$E$5:$E$18,MATCH("2024|"&amp;A427,Journaux!$A$5:$A$18,0))</f>
      </c>
      <c r="P427" s="0">
        <f>INDEX(Comptes!$H$5:$H$42,MATCH(E427,Comptes!$A$5:$A$42,0))</f>
      </c>
      <c r="Q427" s="0" t="inlineStr">
        <is>
          <t xml:space="preserve">7</t>
        </is>
      </c>
    </row>
    <row r="428">
      <c r="A428" s="4" t="inlineStr">
        <is>
          <t xml:space="preserve">VT</t>
        </is>
      </c>
      <c r="B428" s="0" t="inlineStr">
        <is>
          <t xml:space="preserve">Journal des ventes</t>
        </is>
      </c>
      <c r="C428" s="0" t="inlineStr">
        <is>
          <t xml:space="preserve">VT00031</t>
        </is>
      </c>
      <c r="D428" s="10">
        <v>45450</v>
      </c>
      <c r="E428" s="4" t="inlineStr">
        <is>
          <t xml:space="preserve">445710</t>
        </is>
      </c>
      <c r="F428" s="0" t="inlineStr">
        <is>
          <t xml:space="preserve">TVA collectee</t>
        </is>
      </c>
      <c r="G428" s="0" t="inlineStr">
        <is>
          <t xml:space="preserve">FA2024-0031</t>
        </is>
      </c>
      <c r="H428" s="0" t="inlineStr">
        <is>
          <t xml:space="preserve">Facture FA2024-0031 Cabinet Varenne Associes</t>
        </is>
      </c>
      <c r="I428" s="8">
        <v>0</v>
      </c>
      <c r="J428" s="8">
        <v>8719.33</v>
      </c>
      <c r="K428" s="0"/>
      <c r="L428" s="0"/>
      <c r="M428" s="8">
        <f>I428-J428</f>
      </c>
      <c r="N428" s="0" t="inlineStr">
        <is>
          <t xml:space="preserve">2024-06</t>
        </is>
      </c>
      <c r="O428" s="0">
        <f>INDEX(Journaux!$E$5:$E$18,MATCH("2024|"&amp;A428,Journaux!$A$5:$A$18,0))</f>
      </c>
      <c r="P428" s="0">
        <f>INDEX(Comptes!$H$5:$H$42,MATCH(E428,Comptes!$A$5:$A$42,0))</f>
      </c>
      <c r="Q428" s="0" t="inlineStr">
        <is>
          <t xml:space="preserve">4</t>
        </is>
      </c>
    </row>
    <row r="429">
      <c r="A429" s="4" t="inlineStr">
        <is>
          <t xml:space="preserve">BQ</t>
        </is>
      </c>
      <c r="B429" s="0" t="inlineStr">
        <is>
          <t xml:space="preserve">Banque Fictive</t>
        </is>
      </c>
      <c r="C429" s="0" t="inlineStr">
        <is>
          <t xml:space="preserve">BQ00017</t>
        </is>
      </c>
      <c r="D429" s="10">
        <v>45453</v>
      </c>
      <c r="E429" s="4" t="inlineStr">
        <is>
          <t xml:space="preserve">164000</t>
        </is>
      </c>
      <c r="F429" s="0" t="inlineStr">
        <is>
          <t xml:space="preserve">Emprunts aupres des etablissements de credit</t>
        </is>
      </c>
      <c r="G429" s="0" t="inlineStr">
        <is>
          <t xml:space="preserve">ECH202406</t>
        </is>
      </c>
      <c r="H429" s="0" t="inlineStr">
        <is>
          <t xml:space="preserve">Echeance emprunt 06/2024</t>
        </is>
      </c>
      <c r="I429" s="8">
        <v>2000</v>
      </c>
      <c r="J429" s="8">
        <v>0</v>
      </c>
      <c r="K429" s="0"/>
      <c r="L429" s="0"/>
      <c r="M429" s="8">
        <f>I429-J429</f>
      </c>
      <c r="N429" s="0" t="inlineStr">
        <is>
          <t xml:space="preserve">2024-06</t>
        </is>
      </c>
      <c r="O429" s="0">
        <f>INDEX(Journaux!$E$5:$E$18,MATCH("2024|"&amp;A429,Journaux!$A$5:$A$18,0))</f>
      </c>
      <c r="P429" s="0">
        <f>INDEX(Comptes!$H$5:$H$42,MATCH(E429,Comptes!$A$5:$A$42,0))</f>
      </c>
      <c r="Q429" s="0" t="inlineStr">
        <is>
          <t xml:space="preserve">1</t>
        </is>
      </c>
    </row>
    <row r="430">
      <c r="A430" s="4" t="inlineStr">
        <is>
          <t xml:space="preserve">BQ</t>
        </is>
      </c>
      <c r="B430" s="0" t="inlineStr">
        <is>
          <t xml:space="preserve">Banque Fictive</t>
        </is>
      </c>
      <c r="C430" s="0" t="inlineStr">
        <is>
          <t xml:space="preserve">BQ00017</t>
        </is>
      </c>
      <c r="D430" s="10">
        <v>45453</v>
      </c>
      <c r="E430" s="4" t="inlineStr">
        <is>
          <t xml:space="preserve">661100</t>
        </is>
      </c>
      <c r="F430" s="0" t="inlineStr">
        <is>
          <t xml:space="preserve">Interets des emprunts</t>
        </is>
      </c>
      <c r="G430" s="0" t="inlineStr">
        <is>
          <t xml:space="preserve">ECH202406</t>
        </is>
      </c>
      <c r="H430" s="0" t="inlineStr">
        <is>
          <t xml:space="preserve">Echeance emprunt 06/2024</t>
        </is>
      </c>
      <c r="I430" s="8">
        <v>266.67</v>
      </c>
      <c r="J430" s="8">
        <v>0</v>
      </c>
      <c r="K430" s="0"/>
      <c r="L430" s="0"/>
      <c r="M430" s="8">
        <f>I430-J430</f>
      </c>
      <c r="N430" s="0" t="inlineStr">
        <is>
          <t xml:space="preserve">2024-06</t>
        </is>
      </c>
      <c r="O430" s="0">
        <f>INDEX(Journaux!$E$5:$E$18,MATCH("2024|"&amp;A430,Journaux!$A$5:$A$18,0))</f>
      </c>
      <c r="P430" s="0">
        <f>INDEX(Comptes!$H$5:$H$42,MATCH(E430,Comptes!$A$5:$A$42,0))</f>
      </c>
      <c r="Q430" s="0" t="inlineStr">
        <is>
          <t xml:space="preserve">6</t>
        </is>
      </c>
    </row>
    <row r="431">
      <c r="A431" s="4" t="inlineStr">
        <is>
          <t xml:space="preserve">BQ</t>
        </is>
      </c>
      <c r="B431" s="0" t="inlineStr">
        <is>
          <t xml:space="preserve">Banque Fictive</t>
        </is>
      </c>
      <c r="C431" s="0" t="inlineStr">
        <is>
          <t xml:space="preserve">BQ00017</t>
        </is>
      </c>
      <c r="D431" s="10">
        <v>45453</v>
      </c>
      <c r="E431" s="4" t="inlineStr">
        <is>
          <t xml:space="preserve">512000</t>
        </is>
      </c>
      <c r="F431" s="0" t="inlineStr">
        <is>
          <t xml:space="preserve">Banque Fictive</t>
        </is>
      </c>
      <c r="G431" s="0" t="inlineStr">
        <is>
          <t xml:space="preserve">ECH202406</t>
        </is>
      </c>
      <c r="H431" s="0" t="inlineStr">
        <is>
          <t xml:space="preserve">Echeance emprunt 06/2024</t>
        </is>
      </c>
      <c r="I431" s="8">
        <v>0</v>
      </c>
      <c r="J431" s="8">
        <v>2266.67</v>
      </c>
      <c r="K431" s="0"/>
      <c r="L431" s="0"/>
      <c r="M431" s="8">
        <f>I431-J431</f>
      </c>
      <c r="N431" s="0" t="inlineStr">
        <is>
          <t xml:space="preserve">2024-06</t>
        </is>
      </c>
      <c r="O431" s="0">
        <f>INDEX(Journaux!$E$5:$E$18,MATCH("2024|"&amp;A431,Journaux!$A$5:$A$18,0))</f>
      </c>
      <c r="P431" s="0">
        <f>INDEX(Comptes!$H$5:$H$42,MATCH(E431,Comptes!$A$5:$A$42,0))</f>
      </c>
      <c r="Q431" s="0" t="inlineStr">
        <is>
          <t xml:space="preserve">5</t>
        </is>
      </c>
    </row>
    <row r="432">
      <c r="A432" s="4" t="inlineStr">
        <is>
          <t xml:space="preserve">BQ</t>
        </is>
      </c>
      <c r="B432" s="0" t="inlineStr">
        <is>
          <t xml:space="preserve">Banque Fictive</t>
        </is>
      </c>
      <c r="C432" s="0" t="inlineStr">
        <is>
          <t xml:space="preserve">BQ00084</t>
        </is>
      </c>
      <c r="D432" s="10">
        <v>45453</v>
      </c>
      <c r="E432" s="4" t="inlineStr">
        <is>
          <t xml:space="preserve">512000</t>
        </is>
      </c>
      <c r="F432" s="0" t="inlineStr">
        <is>
          <t xml:space="preserve">Banque Fictive</t>
        </is>
      </c>
      <c r="G432" s="0" t="inlineStr">
        <is>
          <t xml:space="preserve">ENC-FA2024-0019</t>
        </is>
      </c>
      <c r="H432" s="0" t="inlineStr">
        <is>
          <t xml:space="preserve">Reglement client Hotel Les Tilleuls FA2024-0019</t>
        </is>
      </c>
      <c r="I432" s="8">
        <v>50701.08</v>
      </c>
      <c r="J432" s="8">
        <v>0</v>
      </c>
      <c r="K432" s="0"/>
      <c r="L432" s="0"/>
      <c r="M432" s="8">
        <f>I432-J432</f>
      </c>
      <c r="N432" s="0" t="inlineStr">
        <is>
          <t xml:space="preserve">2024-06</t>
        </is>
      </c>
      <c r="O432" s="0">
        <f>INDEX(Journaux!$E$5:$E$18,MATCH("2024|"&amp;A432,Journaux!$A$5:$A$18,0))</f>
      </c>
      <c r="P432" s="0">
        <f>INDEX(Comptes!$H$5:$H$42,MATCH(E432,Comptes!$A$5:$A$42,0))</f>
      </c>
      <c r="Q432" s="0" t="inlineStr">
        <is>
          <t xml:space="preserve">5</t>
        </is>
      </c>
    </row>
    <row r="433">
      <c r="A433" s="4" t="inlineStr">
        <is>
          <t xml:space="preserve">BQ</t>
        </is>
      </c>
      <c r="B433" s="0" t="inlineStr">
        <is>
          <t xml:space="preserve">Banque Fictive</t>
        </is>
      </c>
      <c r="C433" s="0" t="inlineStr">
        <is>
          <t xml:space="preserve">BQ00084</t>
        </is>
      </c>
      <c r="D433" s="10">
        <v>45453</v>
      </c>
      <c r="E433" s="4" t="inlineStr">
        <is>
          <t xml:space="preserve">411000</t>
        </is>
      </c>
      <c r="F433" s="0" t="inlineStr">
        <is>
          <t xml:space="preserve">Clients</t>
        </is>
      </c>
      <c r="G433" s="0" t="inlineStr">
        <is>
          <t xml:space="preserve">ENC-FA2024-0019</t>
        </is>
      </c>
      <c r="H433" s="0" t="inlineStr">
        <is>
          <t xml:space="preserve">Reglement client Hotel Les Tilleuls FA2024-0019</t>
        </is>
      </c>
      <c r="I433" s="8">
        <v>0</v>
      </c>
      <c r="J433" s="8">
        <v>50701.08</v>
      </c>
      <c r="K433" s="0" t="inlineStr">
        <is>
          <t xml:space="preserve">AAX</t>
        </is>
      </c>
      <c r="L433" s="0" t="inlineStr">
        <is>
          <t xml:space="preserve">Hotel Les Tilleuls</t>
        </is>
      </c>
      <c r="M433" s="8">
        <f>I433-J433</f>
      </c>
      <c r="N433" s="0" t="inlineStr">
        <is>
          <t xml:space="preserve">2024-06</t>
        </is>
      </c>
      <c r="O433" s="0">
        <f>INDEX(Journaux!$E$5:$E$18,MATCH("2024|"&amp;A433,Journaux!$A$5:$A$18,0))</f>
      </c>
      <c r="P433" s="0">
        <f>INDEX(Comptes!$H$5:$H$42,MATCH(E433,Comptes!$A$5:$A$42,0))</f>
      </c>
      <c r="Q433" s="0" t="inlineStr">
        <is>
          <t xml:space="preserve">4</t>
        </is>
      </c>
      <c r="R433" s="7" t="inlineStr">
        <is>
          <t xml:space="preserve">411000|C001</t>
        </is>
      </c>
    </row>
    <row r="434">
      <c r="A434" s="4" t="inlineStr">
        <is>
          <t xml:space="preserve">BQ</t>
        </is>
      </c>
      <c r="B434" s="0" t="inlineStr">
        <is>
          <t xml:space="preserve">Banque Fictive</t>
        </is>
      </c>
      <c r="C434" s="0" t="inlineStr">
        <is>
          <t xml:space="preserve">BQ00086</t>
        </is>
      </c>
      <c r="D434" s="10">
        <v>45453</v>
      </c>
      <c r="E434" s="4" t="inlineStr">
        <is>
          <t xml:space="preserve">512000</t>
        </is>
      </c>
      <c r="F434" s="0" t="inlineStr">
        <is>
          <t xml:space="preserve">Banque Fictive</t>
        </is>
      </c>
      <c r="G434" s="0" t="inlineStr">
        <is>
          <t xml:space="preserve">ENC-FA2024-0021</t>
        </is>
      </c>
      <c r="H434" s="0" t="inlineStr">
        <is>
          <t xml:space="preserve">Reglement client Restaurant Le Comptoir FA2024-0021</t>
        </is>
      </c>
      <c r="I434" s="8">
        <v>54422.12</v>
      </c>
      <c r="J434" s="8">
        <v>0</v>
      </c>
      <c r="K434" s="0"/>
      <c r="L434" s="0"/>
      <c r="M434" s="8">
        <f>I434-J434</f>
      </c>
      <c r="N434" s="0" t="inlineStr">
        <is>
          <t xml:space="preserve">2024-06</t>
        </is>
      </c>
      <c r="O434" s="0">
        <f>INDEX(Journaux!$E$5:$E$18,MATCH("2024|"&amp;A434,Journaux!$A$5:$A$18,0))</f>
      </c>
      <c r="P434" s="0">
        <f>INDEX(Comptes!$H$5:$H$42,MATCH(E434,Comptes!$A$5:$A$42,0))</f>
      </c>
      <c r="Q434" s="0" t="inlineStr">
        <is>
          <t xml:space="preserve">5</t>
        </is>
      </c>
    </row>
    <row r="435">
      <c r="A435" s="4" t="inlineStr">
        <is>
          <t xml:space="preserve">BQ</t>
        </is>
      </c>
      <c r="B435" s="0" t="inlineStr">
        <is>
          <t xml:space="preserve">Banque Fictive</t>
        </is>
      </c>
      <c r="C435" s="0" t="inlineStr">
        <is>
          <t xml:space="preserve">BQ00086</t>
        </is>
      </c>
      <c r="D435" s="10">
        <v>45453</v>
      </c>
      <c r="E435" s="4" t="inlineStr">
        <is>
          <t xml:space="preserve">411000</t>
        </is>
      </c>
      <c r="F435" s="0" t="inlineStr">
        <is>
          <t xml:space="preserve">Clients</t>
        </is>
      </c>
      <c r="G435" s="0" t="inlineStr">
        <is>
          <t xml:space="preserve">ENC-FA2024-0021</t>
        </is>
      </c>
      <c r="H435" s="0" t="inlineStr">
        <is>
          <t xml:space="preserve">Reglement client Restaurant Le Comptoir FA2024-0021</t>
        </is>
      </c>
      <c r="I435" s="8">
        <v>0</v>
      </c>
      <c r="J435" s="8">
        <v>54422.12</v>
      </c>
      <c r="K435" s="0" t="inlineStr">
        <is>
          <t xml:space="preserve">AAZ</t>
        </is>
      </c>
      <c r="L435" s="0" t="inlineStr">
        <is>
          <t xml:space="preserve">Restaurant Le Comptoir</t>
        </is>
      </c>
      <c r="M435" s="8">
        <f>I435-J435</f>
      </c>
      <c r="N435" s="0" t="inlineStr">
        <is>
          <t xml:space="preserve">2024-06</t>
        </is>
      </c>
      <c r="O435" s="0">
        <f>INDEX(Journaux!$E$5:$E$18,MATCH("2024|"&amp;A435,Journaux!$A$5:$A$18,0))</f>
      </c>
      <c r="P435" s="0">
        <f>INDEX(Comptes!$H$5:$H$42,MATCH(E435,Comptes!$A$5:$A$42,0))</f>
      </c>
      <c r="Q435" s="0" t="inlineStr">
        <is>
          <t xml:space="preserve">4</t>
        </is>
      </c>
      <c r="R435" s="7" t="inlineStr">
        <is>
          <t xml:space="preserve">411000|C005</t>
        </is>
      </c>
    </row>
    <row r="436">
      <c r="A436" s="4" t="inlineStr">
        <is>
          <t xml:space="preserve">AC</t>
        </is>
      </c>
      <c r="B436" s="0" t="inlineStr">
        <is>
          <t xml:space="preserve">Journal des achats</t>
        </is>
      </c>
      <c r="C436" s="0" t="inlineStr">
        <is>
          <t xml:space="preserve">AC00034</t>
        </is>
      </c>
      <c r="D436" s="10">
        <v>45456</v>
      </c>
      <c r="E436" s="4" t="inlineStr">
        <is>
          <t xml:space="preserve">601000</t>
        </is>
      </c>
      <c r="F436" s="0" t="inlineStr">
        <is>
          <t xml:space="preserve">Achats de matieres premieres</t>
        </is>
      </c>
      <c r="G436" s="0" t="inlineStr">
        <is>
          <t xml:space="preserve">F001-2024063</t>
        </is>
      </c>
      <c r="H436" s="0" t="inlineStr">
        <is>
          <t xml:space="preserve">Facture Scierie du Nord F001-2024063</t>
        </is>
      </c>
      <c r="I436" s="8">
        <v>29163.78</v>
      </c>
      <c r="J436" s="8">
        <v>0</v>
      </c>
      <c r="K436" s="0"/>
      <c r="L436" s="0"/>
      <c r="M436" s="8">
        <f>I436-J436</f>
      </c>
      <c r="N436" s="0" t="inlineStr">
        <is>
          <t xml:space="preserve">2024-06</t>
        </is>
      </c>
      <c r="O436" s="0">
        <f>INDEX(Journaux!$E$5:$E$18,MATCH("2024|"&amp;A436,Journaux!$A$5:$A$18,0))</f>
      </c>
      <c r="P436" s="0">
        <f>INDEX(Comptes!$H$5:$H$42,MATCH(E436,Comptes!$A$5:$A$42,0))</f>
      </c>
      <c r="Q436" s="0" t="inlineStr">
        <is>
          <t xml:space="preserve">6</t>
        </is>
      </c>
    </row>
    <row r="437">
      <c r="A437" s="4" t="inlineStr">
        <is>
          <t xml:space="preserve">AC</t>
        </is>
      </c>
      <c r="B437" s="0" t="inlineStr">
        <is>
          <t xml:space="preserve">Journal des achats</t>
        </is>
      </c>
      <c r="C437" s="0" t="inlineStr">
        <is>
          <t xml:space="preserve">AC00034</t>
        </is>
      </c>
      <c r="D437" s="10">
        <v>45456</v>
      </c>
      <c r="E437" s="4" t="inlineStr">
        <is>
          <t xml:space="preserve">445660</t>
        </is>
      </c>
      <c r="F437" s="0" t="inlineStr">
        <is>
          <t xml:space="preserve">TVA deductible sur ABS</t>
        </is>
      </c>
      <c r="G437" s="0" t="inlineStr">
        <is>
          <t xml:space="preserve">F001-2024063</t>
        </is>
      </c>
      <c r="H437" s="0" t="inlineStr">
        <is>
          <t xml:space="preserve">Facture Scierie du Nord F001-2024063</t>
        </is>
      </c>
      <c r="I437" s="8">
        <v>5832.76</v>
      </c>
      <c r="J437" s="8">
        <v>0</v>
      </c>
      <c r="K437" s="0"/>
      <c r="L437" s="0"/>
      <c r="M437" s="8">
        <f>I437-J437</f>
      </c>
      <c r="N437" s="0" t="inlineStr">
        <is>
          <t xml:space="preserve">2024-06</t>
        </is>
      </c>
      <c r="O437" s="0">
        <f>INDEX(Journaux!$E$5:$E$18,MATCH("2024|"&amp;A437,Journaux!$A$5:$A$18,0))</f>
      </c>
      <c r="P437" s="0">
        <f>INDEX(Comptes!$H$5:$H$42,MATCH(E437,Comptes!$A$5:$A$42,0))</f>
      </c>
      <c r="Q437" s="0" t="inlineStr">
        <is>
          <t xml:space="preserve">4</t>
        </is>
      </c>
    </row>
    <row r="438">
      <c r="A438" s="4" t="inlineStr">
        <is>
          <t xml:space="preserve">AC</t>
        </is>
      </c>
      <c r="B438" s="0" t="inlineStr">
        <is>
          <t xml:space="preserve">Journal des achats</t>
        </is>
      </c>
      <c r="C438" s="0" t="inlineStr">
        <is>
          <t xml:space="preserve">AC00034</t>
        </is>
      </c>
      <c r="D438" s="10">
        <v>45456</v>
      </c>
      <c r="E438" s="4" t="inlineStr">
        <is>
          <t xml:space="preserve">401000</t>
        </is>
      </c>
      <c r="F438" s="0" t="inlineStr">
        <is>
          <t xml:space="preserve">Fournisseurs</t>
        </is>
      </c>
      <c r="G438" s="0" t="inlineStr">
        <is>
          <t xml:space="preserve">F001-2024063</t>
        </is>
      </c>
      <c r="H438" s="0" t="inlineStr">
        <is>
          <t xml:space="preserve">Facture Scierie du Nord F001-2024063</t>
        </is>
      </c>
      <c r="I438" s="8">
        <v>0</v>
      </c>
      <c r="J438" s="8">
        <v>34996.54</v>
      </c>
      <c r="K438" s="0" t="inlineStr">
        <is>
          <t xml:space="preserve">ACT</t>
        </is>
      </c>
      <c r="L438" s="0" t="inlineStr">
        <is>
          <t xml:space="preserve">Scierie du Nord</t>
        </is>
      </c>
      <c r="M438" s="8">
        <f>I438-J438</f>
      </c>
      <c r="N438" s="0" t="inlineStr">
        <is>
          <t xml:space="preserve">2024-06</t>
        </is>
      </c>
      <c r="O438" s="0">
        <f>INDEX(Journaux!$E$5:$E$18,MATCH("2024|"&amp;A438,Journaux!$A$5:$A$18,0))</f>
      </c>
      <c r="P438" s="0">
        <f>INDEX(Comptes!$H$5:$H$42,MATCH(E438,Comptes!$A$5:$A$42,0))</f>
      </c>
      <c r="Q438" s="0" t="inlineStr">
        <is>
          <t xml:space="preserve">4</t>
        </is>
      </c>
      <c r="R438" s="7" t="inlineStr">
        <is>
          <t xml:space="preserve">401000|F001</t>
        </is>
      </c>
    </row>
    <row r="439">
      <c r="A439" s="4" t="inlineStr">
        <is>
          <t xml:space="preserve">AC</t>
        </is>
      </c>
      <c r="B439" s="0" t="inlineStr">
        <is>
          <t xml:space="preserve">Journal des achats</t>
        </is>
      </c>
      <c r="C439" s="0" t="inlineStr">
        <is>
          <t xml:space="preserve">AC00032</t>
        </is>
      </c>
      <c r="D439" s="10">
        <v>45457</v>
      </c>
      <c r="E439" s="4" t="inlineStr">
        <is>
          <t xml:space="preserve">601000</t>
        </is>
      </c>
      <c r="F439" s="0" t="inlineStr">
        <is>
          <t xml:space="preserve">Achats de matieres premieres</t>
        </is>
      </c>
      <c r="G439" s="0" t="inlineStr">
        <is>
          <t xml:space="preserve">F003-2024061</t>
        </is>
      </c>
      <c r="H439" s="0" t="inlineStr">
        <is>
          <t xml:space="preserve">Facture Vernis et Finitions F003-2024061</t>
        </is>
      </c>
      <c r="I439" s="8">
        <v>24771.26</v>
      </c>
      <c r="J439" s="8">
        <v>0</v>
      </c>
      <c r="K439" s="0"/>
      <c r="L439" s="0"/>
      <c r="M439" s="8">
        <f>I439-J439</f>
      </c>
      <c r="N439" s="0" t="inlineStr">
        <is>
          <t xml:space="preserve">2024-06</t>
        </is>
      </c>
      <c r="O439" s="0">
        <f>INDEX(Journaux!$E$5:$E$18,MATCH("2024|"&amp;A439,Journaux!$A$5:$A$18,0))</f>
      </c>
      <c r="P439" s="0">
        <f>INDEX(Comptes!$H$5:$H$42,MATCH(E439,Comptes!$A$5:$A$42,0))</f>
      </c>
      <c r="Q439" s="0" t="inlineStr">
        <is>
          <t xml:space="preserve">6</t>
        </is>
      </c>
    </row>
    <row r="440">
      <c r="A440" s="4" t="inlineStr">
        <is>
          <t xml:space="preserve">AC</t>
        </is>
      </c>
      <c r="B440" s="0" t="inlineStr">
        <is>
          <t xml:space="preserve">Journal des achats</t>
        </is>
      </c>
      <c r="C440" s="0" t="inlineStr">
        <is>
          <t xml:space="preserve">AC00032</t>
        </is>
      </c>
      <c r="D440" s="10">
        <v>45457</v>
      </c>
      <c r="E440" s="4" t="inlineStr">
        <is>
          <t xml:space="preserve">445660</t>
        </is>
      </c>
      <c r="F440" s="0" t="inlineStr">
        <is>
          <t xml:space="preserve">TVA deductible sur ABS</t>
        </is>
      </c>
      <c r="G440" s="0" t="inlineStr">
        <is>
          <t xml:space="preserve">F003-2024061</t>
        </is>
      </c>
      <c r="H440" s="0" t="inlineStr">
        <is>
          <t xml:space="preserve">Facture Vernis et Finitions F003-2024061</t>
        </is>
      </c>
      <c r="I440" s="8">
        <v>4954.25</v>
      </c>
      <c r="J440" s="8">
        <v>0</v>
      </c>
      <c r="K440" s="0"/>
      <c r="L440" s="0"/>
      <c r="M440" s="8">
        <f>I440-J440</f>
      </c>
      <c r="N440" s="0" t="inlineStr">
        <is>
          <t xml:space="preserve">2024-06</t>
        </is>
      </c>
      <c r="O440" s="0">
        <f>INDEX(Journaux!$E$5:$E$18,MATCH("2024|"&amp;A440,Journaux!$A$5:$A$18,0))</f>
      </c>
      <c r="P440" s="0">
        <f>INDEX(Comptes!$H$5:$H$42,MATCH(E440,Comptes!$A$5:$A$42,0))</f>
      </c>
      <c r="Q440" s="0" t="inlineStr">
        <is>
          <t xml:space="preserve">4</t>
        </is>
      </c>
    </row>
    <row r="441">
      <c r="A441" s="4" t="inlineStr">
        <is>
          <t xml:space="preserve">AC</t>
        </is>
      </c>
      <c r="B441" s="0" t="inlineStr">
        <is>
          <t xml:space="preserve">Journal des achats</t>
        </is>
      </c>
      <c r="C441" s="0" t="inlineStr">
        <is>
          <t xml:space="preserve">AC00032</t>
        </is>
      </c>
      <c r="D441" s="10">
        <v>45457</v>
      </c>
      <c r="E441" s="4" t="inlineStr">
        <is>
          <t xml:space="preserve">401000</t>
        </is>
      </c>
      <c r="F441" s="0" t="inlineStr">
        <is>
          <t xml:space="preserve">Fournisseurs</t>
        </is>
      </c>
      <c r="G441" s="0" t="inlineStr">
        <is>
          <t xml:space="preserve">F003-2024061</t>
        </is>
      </c>
      <c r="H441" s="0" t="inlineStr">
        <is>
          <t xml:space="preserve">Facture Vernis et Finitions F003-2024061</t>
        </is>
      </c>
      <c r="I441" s="8">
        <v>0</v>
      </c>
      <c r="J441" s="8">
        <v>29725.51</v>
      </c>
      <c r="K441" s="0" t="inlineStr">
        <is>
          <t xml:space="preserve">ACR</t>
        </is>
      </c>
      <c r="L441" s="0" t="inlineStr">
        <is>
          <t xml:space="preserve">Vernis et Finitions</t>
        </is>
      </c>
      <c r="M441" s="8">
        <f>I441-J441</f>
      </c>
      <c r="N441" s="0" t="inlineStr">
        <is>
          <t xml:space="preserve">2024-06</t>
        </is>
      </c>
      <c r="O441" s="0">
        <f>INDEX(Journaux!$E$5:$E$18,MATCH("2024|"&amp;A441,Journaux!$A$5:$A$18,0))</f>
      </c>
      <c r="P441" s="0">
        <f>INDEX(Comptes!$H$5:$H$42,MATCH(E441,Comptes!$A$5:$A$42,0))</f>
      </c>
      <c r="Q441" s="0" t="inlineStr">
        <is>
          <t xml:space="preserve">4</t>
        </is>
      </c>
      <c r="R441" s="7" t="inlineStr">
        <is>
          <t xml:space="preserve">401000|F003</t>
        </is>
      </c>
    </row>
    <row r="442">
      <c r="A442" s="4" t="inlineStr">
        <is>
          <t xml:space="preserve">BQ</t>
        </is>
      </c>
      <c r="B442" s="0" t="inlineStr">
        <is>
          <t xml:space="preserve">Banque Fictive</t>
        </is>
      </c>
      <c r="C442" s="0" t="inlineStr">
        <is>
          <t xml:space="preserve">BQ00047</t>
        </is>
      </c>
      <c r="D442" s="10">
        <v>45458</v>
      </c>
      <c r="E442" s="4" t="inlineStr">
        <is>
          <t xml:space="preserve">431000</t>
        </is>
      </c>
      <c r="F442" s="0" t="inlineStr">
        <is>
          <t xml:space="preserve">Securite sociale</t>
        </is>
      </c>
      <c r="G442" s="0" t="inlineStr">
        <is>
          <t xml:space="preserve">URSSAF202405</t>
        </is>
      </c>
      <c r="H442" s="0" t="inlineStr">
        <is>
          <t xml:space="preserve">Reglement URSSAF 05/2024</t>
        </is>
      </c>
      <c r="I442" s="8">
        <v>32913.52</v>
      </c>
      <c r="J442" s="8">
        <v>0</v>
      </c>
      <c r="K442" s="0"/>
      <c r="L442" s="0"/>
      <c r="M442" s="8">
        <f>I442-J442</f>
      </c>
      <c r="N442" s="0" t="inlineStr">
        <is>
          <t xml:space="preserve">2024-06</t>
        </is>
      </c>
      <c r="O442" s="0">
        <f>INDEX(Journaux!$E$5:$E$18,MATCH("2024|"&amp;A442,Journaux!$A$5:$A$18,0))</f>
      </c>
      <c r="P442" s="0">
        <f>INDEX(Comptes!$H$5:$H$42,MATCH(E442,Comptes!$A$5:$A$42,0))</f>
      </c>
      <c r="Q442" s="0" t="inlineStr">
        <is>
          <t xml:space="preserve">4</t>
        </is>
      </c>
    </row>
    <row r="443">
      <c r="A443" s="4" t="inlineStr">
        <is>
          <t xml:space="preserve">BQ</t>
        </is>
      </c>
      <c r="B443" s="0" t="inlineStr">
        <is>
          <t xml:space="preserve">Banque Fictive</t>
        </is>
      </c>
      <c r="C443" s="0" t="inlineStr">
        <is>
          <t xml:space="preserve">BQ00047</t>
        </is>
      </c>
      <c r="D443" s="10">
        <v>45458</v>
      </c>
      <c r="E443" s="4" t="inlineStr">
        <is>
          <t xml:space="preserve">512000</t>
        </is>
      </c>
      <c r="F443" s="0" t="inlineStr">
        <is>
          <t xml:space="preserve">Banque Fictive</t>
        </is>
      </c>
      <c r="G443" s="0" t="inlineStr">
        <is>
          <t xml:space="preserve">URSSAF202405</t>
        </is>
      </c>
      <c r="H443" s="0" t="inlineStr">
        <is>
          <t xml:space="preserve">Reglement URSSAF 05/2024</t>
        </is>
      </c>
      <c r="I443" s="8">
        <v>0</v>
      </c>
      <c r="J443" s="8">
        <v>32913.52</v>
      </c>
      <c r="K443" s="0"/>
      <c r="L443" s="0"/>
      <c r="M443" s="8">
        <f>I443-J443</f>
      </c>
      <c r="N443" s="0" t="inlineStr">
        <is>
          <t xml:space="preserve">2024-06</t>
        </is>
      </c>
      <c r="O443" s="0">
        <f>INDEX(Journaux!$E$5:$E$18,MATCH("2024|"&amp;A443,Journaux!$A$5:$A$18,0))</f>
      </c>
      <c r="P443" s="0">
        <f>INDEX(Comptes!$H$5:$H$42,MATCH(E443,Comptes!$A$5:$A$42,0))</f>
      </c>
      <c r="Q443" s="0" t="inlineStr">
        <is>
          <t xml:space="preserve">5</t>
        </is>
      </c>
    </row>
    <row r="444">
      <c r="A444" s="4" t="inlineStr">
        <is>
          <t xml:space="preserve">BQ</t>
        </is>
      </c>
      <c r="B444" s="0" t="inlineStr">
        <is>
          <t xml:space="preserve">Banque Fictive</t>
        </is>
      </c>
      <c r="C444" s="0" t="inlineStr">
        <is>
          <t xml:space="preserve">BQ00093</t>
        </is>
      </c>
      <c r="D444" s="10">
        <v>45462</v>
      </c>
      <c r="E444" s="4" t="inlineStr">
        <is>
          <t xml:space="preserve">512000</t>
        </is>
      </c>
      <c r="F444" s="0" t="inlineStr">
        <is>
          <t xml:space="preserve">Banque Fictive</t>
        </is>
      </c>
      <c r="G444" s="0" t="inlineStr">
        <is>
          <t xml:space="preserve">ENC-FA2024-0028</t>
        </is>
      </c>
      <c r="H444" s="0" t="inlineStr">
        <is>
          <t xml:space="preserve">Reglement client Residence Bel Air FA2024-0028</t>
        </is>
      </c>
      <c r="I444" s="8">
        <v>47923.73</v>
      </c>
      <c r="J444" s="8">
        <v>0</v>
      </c>
      <c r="K444" s="0"/>
      <c r="L444" s="0"/>
      <c r="M444" s="8">
        <f>I444-J444</f>
      </c>
      <c r="N444" s="0" t="inlineStr">
        <is>
          <t xml:space="preserve">2024-06</t>
        </is>
      </c>
      <c r="O444" s="0">
        <f>INDEX(Journaux!$E$5:$E$18,MATCH("2024|"&amp;A444,Journaux!$A$5:$A$18,0))</f>
      </c>
      <c r="P444" s="0">
        <f>INDEX(Comptes!$H$5:$H$42,MATCH(E444,Comptes!$A$5:$A$42,0))</f>
      </c>
      <c r="Q444" s="0" t="inlineStr">
        <is>
          <t xml:space="preserve">5</t>
        </is>
      </c>
    </row>
    <row r="445">
      <c r="A445" s="4" t="inlineStr">
        <is>
          <t xml:space="preserve">BQ</t>
        </is>
      </c>
      <c r="B445" s="0" t="inlineStr">
        <is>
          <t xml:space="preserve">Banque Fictive</t>
        </is>
      </c>
      <c r="C445" s="0" t="inlineStr">
        <is>
          <t xml:space="preserve">BQ00093</t>
        </is>
      </c>
      <c r="D445" s="10">
        <v>45462</v>
      </c>
      <c r="E445" s="4" t="inlineStr">
        <is>
          <t xml:space="preserve">411000</t>
        </is>
      </c>
      <c r="F445" s="0" t="inlineStr">
        <is>
          <t xml:space="preserve">Clients</t>
        </is>
      </c>
      <c r="G445" s="0" t="inlineStr">
        <is>
          <t xml:space="preserve">ENC-FA2024-0028</t>
        </is>
      </c>
      <c r="H445" s="0" t="inlineStr">
        <is>
          <t xml:space="preserve">Reglement client Residence Bel Air FA2024-0028</t>
        </is>
      </c>
      <c r="I445" s="8">
        <v>0</v>
      </c>
      <c r="J445" s="8">
        <v>47923.73</v>
      </c>
      <c r="K445" s="0" t="inlineStr">
        <is>
          <t xml:space="preserve">AAG</t>
        </is>
      </c>
      <c r="L445" s="0" t="inlineStr">
        <is>
          <t xml:space="preserve">Residence Bel Air</t>
        </is>
      </c>
      <c r="M445" s="8">
        <f>I445-J445</f>
      </c>
      <c r="N445" s="0" t="inlineStr">
        <is>
          <t xml:space="preserve">2024-06</t>
        </is>
      </c>
      <c r="O445" s="0">
        <f>INDEX(Journaux!$E$5:$E$18,MATCH("2024|"&amp;A445,Journaux!$A$5:$A$18,0))</f>
      </c>
      <c r="P445" s="0">
        <f>INDEX(Comptes!$H$5:$H$42,MATCH(E445,Comptes!$A$5:$A$42,0))</f>
      </c>
      <c r="Q445" s="0" t="inlineStr">
        <is>
          <t xml:space="preserve">4</t>
        </is>
      </c>
      <c r="R445" s="7" t="inlineStr">
        <is>
          <t xml:space="preserve">411000|C003</t>
        </is>
      </c>
    </row>
    <row r="446">
      <c r="A446" s="4" t="inlineStr">
        <is>
          <t xml:space="preserve">BQ</t>
        </is>
      </c>
      <c r="B446" s="0" t="inlineStr">
        <is>
          <t xml:space="preserve">Banque Fictive</t>
        </is>
      </c>
      <c r="C446" s="0" t="inlineStr">
        <is>
          <t xml:space="preserve">BQ00048</t>
        </is>
      </c>
      <c r="D446" s="10">
        <v>45463</v>
      </c>
      <c r="E446" s="4" t="inlineStr">
        <is>
          <t xml:space="preserve">445510</t>
        </is>
      </c>
      <c r="F446" s="0" t="inlineStr">
        <is>
          <t xml:space="preserve">TVA a decaisser</t>
        </is>
      </c>
      <c r="G446" s="0" t="inlineStr">
        <is>
          <t xml:space="preserve">TVA202405</t>
        </is>
      </c>
      <c r="H446" s="0" t="inlineStr">
        <is>
          <t xml:space="preserve">Reglement TVA 05/2024</t>
        </is>
      </c>
      <c r="I446" s="8">
        <v>18958.01</v>
      </c>
      <c r="J446" s="8">
        <v>0</v>
      </c>
      <c r="K446" s="0"/>
      <c r="L446" s="0"/>
      <c r="M446" s="8">
        <f>I446-J446</f>
      </c>
      <c r="N446" s="0" t="inlineStr">
        <is>
          <t xml:space="preserve">2024-06</t>
        </is>
      </c>
      <c r="O446" s="0">
        <f>INDEX(Journaux!$E$5:$E$18,MATCH("2024|"&amp;A446,Journaux!$A$5:$A$18,0))</f>
      </c>
      <c r="P446" s="0">
        <f>INDEX(Comptes!$H$5:$H$42,MATCH(E446,Comptes!$A$5:$A$42,0))</f>
      </c>
      <c r="Q446" s="0" t="inlineStr">
        <is>
          <t xml:space="preserve">4</t>
        </is>
      </c>
    </row>
    <row r="447">
      <c r="A447" s="4" t="inlineStr">
        <is>
          <t xml:space="preserve">BQ</t>
        </is>
      </c>
      <c r="B447" s="0" t="inlineStr">
        <is>
          <t xml:space="preserve">Banque Fictive</t>
        </is>
      </c>
      <c r="C447" s="0" t="inlineStr">
        <is>
          <t xml:space="preserve">BQ00048</t>
        </is>
      </c>
      <c r="D447" s="10">
        <v>45463</v>
      </c>
      <c r="E447" s="4" t="inlineStr">
        <is>
          <t xml:space="preserve">512000</t>
        </is>
      </c>
      <c r="F447" s="0" t="inlineStr">
        <is>
          <t xml:space="preserve">Banque Fictive</t>
        </is>
      </c>
      <c r="G447" s="0" t="inlineStr">
        <is>
          <t xml:space="preserve">TVA202405</t>
        </is>
      </c>
      <c r="H447" s="0" t="inlineStr">
        <is>
          <t xml:space="preserve">Reglement TVA 05/2024</t>
        </is>
      </c>
      <c r="I447" s="8">
        <v>0</v>
      </c>
      <c r="J447" s="8">
        <v>18958.01</v>
      </c>
      <c r="K447" s="0"/>
      <c r="L447" s="0"/>
      <c r="M447" s="8">
        <f>I447-J447</f>
      </c>
      <c r="N447" s="0" t="inlineStr">
        <is>
          <t xml:space="preserve">2024-06</t>
        </is>
      </c>
      <c r="O447" s="0">
        <f>INDEX(Journaux!$E$5:$E$18,MATCH("2024|"&amp;A447,Journaux!$A$5:$A$18,0))</f>
      </c>
      <c r="P447" s="0">
        <f>INDEX(Comptes!$H$5:$H$42,MATCH(E447,Comptes!$A$5:$A$42,0))</f>
      </c>
      <c r="Q447" s="0" t="inlineStr">
        <is>
          <t xml:space="preserve">5</t>
        </is>
      </c>
    </row>
    <row r="448">
      <c r="A448" s="4" t="inlineStr">
        <is>
          <t xml:space="preserve">BQ</t>
        </is>
      </c>
      <c r="B448" s="0" t="inlineStr">
        <is>
          <t xml:space="preserve">Banque Fictive</t>
        </is>
      </c>
      <c r="C448" s="0" t="inlineStr">
        <is>
          <t xml:space="preserve">BQ00090</t>
        </is>
      </c>
      <c r="D448" s="10">
        <v>45463</v>
      </c>
      <c r="E448" s="4" t="inlineStr">
        <is>
          <t xml:space="preserve">512000</t>
        </is>
      </c>
      <c r="F448" s="0" t="inlineStr">
        <is>
          <t xml:space="preserve">Banque Fictive</t>
        </is>
      </c>
      <c r="G448" s="0" t="inlineStr">
        <is>
          <t xml:space="preserve">ENC-FA2024-0025</t>
        </is>
      </c>
      <c r="H448" s="0" t="inlineStr">
        <is>
          <t xml:space="preserve">Reglement client Agence Mobilis FA2024-0025</t>
        </is>
      </c>
      <c r="I448" s="8">
        <v>34206.12</v>
      </c>
      <c r="J448" s="8">
        <v>0</v>
      </c>
      <c r="K448" s="0"/>
      <c r="L448" s="0"/>
      <c r="M448" s="8">
        <f>I448-J448</f>
      </c>
      <c r="N448" s="0" t="inlineStr">
        <is>
          <t xml:space="preserve">2024-06</t>
        </is>
      </c>
      <c r="O448" s="0">
        <f>INDEX(Journaux!$E$5:$E$18,MATCH("2024|"&amp;A448,Journaux!$A$5:$A$18,0))</f>
      </c>
      <c r="P448" s="0">
        <f>INDEX(Comptes!$H$5:$H$42,MATCH(E448,Comptes!$A$5:$A$42,0))</f>
      </c>
      <c r="Q448" s="0" t="inlineStr">
        <is>
          <t xml:space="preserve">5</t>
        </is>
      </c>
    </row>
    <row r="449">
      <c r="A449" s="4" t="inlineStr">
        <is>
          <t xml:space="preserve">BQ</t>
        </is>
      </c>
      <c r="B449" s="0" t="inlineStr">
        <is>
          <t xml:space="preserve">Banque Fictive</t>
        </is>
      </c>
      <c r="C449" s="0" t="inlineStr">
        <is>
          <t xml:space="preserve">BQ00090</t>
        </is>
      </c>
      <c r="D449" s="10">
        <v>45463</v>
      </c>
      <c r="E449" s="4" t="inlineStr">
        <is>
          <t xml:space="preserve">411000</t>
        </is>
      </c>
      <c r="F449" s="0" t="inlineStr">
        <is>
          <t xml:space="preserve">Clients</t>
        </is>
      </c>
      <c r="G449" s="0" t="inlineStr">
        <is>
          <t xml:space="preserve">ENC-FA2024-0025</t>
        </is>
      </c>
      <c r="H449" s="0" t="inlineStr">
        <is>
          <t xml:space="preserve">Reglement client Agence Mobilis FA2024-0025</t>
        </is>
      </c>
      <c r="I449" s="8">
        <v>0</v>
      </c>
      <c r="J449" s="8">
        <v>34206.12</v>
      </c>
      <c r="K449" s="0" t="inlineStr">
        <is>
          <t xml:space="preserve">AAD</t>
        </is>
      </c>
      <c r="L449" s="0" t="inlineStr">
        <is>
          <t xml:space="preserve">Agence Mobilis</t>
        </is>
      </c>
      <c r="M449" s="8">
        <f>I449-J449</f>
      </c>
      <c r="N449" s="0" t="inlineStr">
        <is>
          <t xml:space="preserve">2024-06</t>
        </is>
      </c>
      <c r="O449" s="0">
        <f>INDEX(Journaux!$E$5:$E$18,MATCH("2024|"&amp;A449,Journaux!$A$5:$A$18,0))</f>
      </c>
      <c r="P449" s="0">
        <f>INDEX(Comptes!$H$5:$H$42,MATCH(E449,Comptes!$A$5:$A$42,0))</f>
      </c>
      <c r="Q449" s="0" t="inlineStr">
        <is>
          <t xml:space="preserve">4</t>
        </is>
      </c>
      <c r="R449" s="7" t="inlineStr">
        <is>
          <t xml:space="preserve">411000|C002</t>
        </is>
      </c>
    </row>
    <row r="450">
      <c r="A450" s="4" t="inlineStr">
        <is>
          <t xml:space="preserve">AC</t>
        </is>
      </c>
      <c r="B450" s="0" t="inlineStr">
        <is>
          <t xml:space="preserve">Journal des achats</t>
        </is>
      </c>
      <c r="C450" s="0" t="inlineStr">
        <is>
          <t xml:space="preserve">AC00033</t>
        </is>
      </c>
      <c r="D450" s="10">
        <v>45464</v>
      </c>
      <c r="E450" s="4" t="inlineStr">
        <is>
          <t xml:space="preserve">601000</t>
        </is>
      </c>
      <c r="F450" s="0" t="inlineStr">
        <is>
          <t xml:space="preserve">Achats de matieres premieres</t>
        </is>
      </c>
      <c r="G450" s="0" t="inlineStr">
        <is>
          <t xml:space="preserve">F001-2024062</t>
        </is>
      </c>
      <c r="H450" s="0" t="inlineStr">
        <is>
          <t xml:space="preserve">Facture Scierie du Nord F001-2024062</t>
        </is>
      </c>
      <c r="I450" s="8">
        <v>23064.95</v>
      </c>
      <c r="J450" s="8">
        <v>0</v>
      </c>
      <c r="K450" s="0"/>
      <c r="L450" s="0"/>
      <c r="M450" s="8">
        <f>I450-J450</f>
      </c>
      <c r="N450" s="0" t="inlineStr">
        <is>
          <t xml:space="preserve">2024-06</t>
        </is>
      </c>
      <c r="O450" s="0">
        <f>INDEX(Journaux!$E$5:$E$18,MATCH("2024|"&amp;A450,Journaux!$A$5:$A$18,0))</f>
      </c>
      <c r="P450" s="0">
        <f>INDEX(Comptes!$H$5:$H$42,MATCH(E450,Comptes!$A$5:$A$42,0))</f>
      </c>
      <c r="Q450" s="0" t="inlineStr">
        <is>
          <t xml:space="preserve">6</t>
        </is>
      </c>
    </row>
    <row r="451">
      <c r="A451" s="4" t="inlineStr">
        <is>
          <t xml:space="preserve">AC</t>
        </is>
      </c>
      <c r="B451" s="0" t="inlineStr">
        <is>
          <t xml:space="preserve">Journal des achats</t>
        </is>
      </c>
      <c r="C451" s="0" t="inlineStr">
        <is>
          <t xml:space="preserve">AC00033</t>
        </is>
      </c>
      <c r="D451" s="10">
        <v>45464</v>
      </c>
      <c r="E451" s="4" t="inlineStr">
        <is>
          <t xml:space="preserve">445660</t>
        </is>
      </c>
      <c r="F451" s="0" t="inlineStr">
        <is>
          <t xml:space="preserve">TVA deductible sur ABS</t>
        </is>
      </c>
      <c r="G451" s="0" t="inlineStr">
        <is>
          <t xml:space="preserve">F001-2024062</t>
        </is>
      </c>
      <c r="H451" s="0" t="inlineStr">
        <is>
          <t xml:space="preserve">Facture Scierie du Nord F001-2024062</t>
        </is>
      </c>
      <c r="I451" s="8">
        <v>4612.99</v>
      </c>
      <c r="J451" s="8">
        <v>0</v>
      </c>
      <c r="K451" s="0"/>
      <c r="L451" s="0"/>
      <c r="M451" s="8">
        <f>I451-J451</f>
      </c>
      <c r="N451" s="0" t="inlineStr">
        <is>
          <t xml:space="preserve">2024-06</t>
        </is>
      </c>
      <c r="O451" s="0">
        <f>INDEX(Journaux!$E$5:$E$18,MATCH("2024|"&amp;A451,Journaux!$A$5:$A$18,0))</f>
      </c>
      <c r="P451" s="0">
        <f>INDEX(Comptes!$H$5:$H$42,MATCH(E451,Comptes!$A$5:$A$42,0))</f>
      </c>
      <c r="Q451" s="0" t="inlineStr">
        <is>
          <t xml:space="preserve">4</t>
        </is>
      </c>
    </row>
    <row r="452">
      <c r="A452" s="4" t="inlineStr">
        <is>
          <t xml:space="preserve">AC</t>
        </is>
      </c>
      <c r="B452" s="0" t="inlineStr">
        <is>
          <t xml:space="preserve">Journal des achats</t>
        </is>
      </c>
      <c r="C452" s="0" t="inlineStr">
        <is>
          <t xml:space="preserve">AC00033</t>
        </is>
      </c>
      <c r="D452" s="10">
        <v>45464</v>
      </c>
      <c r="E452" s="4" t="inlineStr">
        <is>
          <t xml:space="preserve">401000</t>
        </is>
      </c>
      <c r="F452" s="0" t="inlineStr">
        <is>
          <t xml:space="preserve">Fournisseurs</t>
        </is>
      </c>
      <c r="G452" s="0" t="inlineStr">
        <is>
          <t xml:space="preserve">F001-2024062</t>
        </is>
      </c>
      <c r="H452" s="0" t="inlineStr">
        <is>
          <t xml:space="preserve">Facture Scierie du Nord F001-2024062</t>
        </is>
      </c>
      <c r="I452" s="8">
        <v>0</v>
      </c>
      <c r="J452" s="8">
        <v>27677.94</v>
      </c>
      <c r="K452" s="0" t="inlineStr">
        <is>
          <t xml:space="preserve">ACS</t>
        </is>
      </c>
      <c r="L452" s="0" t="inlineStr">
        <is>
          <t xml:space="preserve">Scierie du Nord</t>
        </is>
      </c>
      <c r="M452" s="8">
        <f>I452-J452</f>
      </c>
      <c r="N452" s="0" t="inlineStr">
        <is>
          <t xml:space="preserve">2024-06</t>
        </is>
      </c>
      <c r="O452" s="0">
        <f>INDEX(Journaux!$E$5:$E$18,MATCH("2024|"&amp;A452,Journaux!$A$5:$A$18,0))</f>
      </c>
      <c r="P452" s="0">
        <f>INDEX(Comptes!$H$5:$H$42,MATCH(E452,Comptes!$A$5:$A$42,0))</f>
      </c>
      <c r="Q452" s="0" t="inlineStr">
        <is>
          <t xml:space="preserve">4</t>
        </is>
      </c>
      <c r="R452" s="7" t="inlineStr">
        <is>
          <t xml:space="preserve">401000|F001</t>
        </is>
      </c>
    </row>
    <row r="453">
      <c r="A453" s="4" t="inlineStr">
        <is>
          <t xml:space="preserve">BQ</t>
        </is>
      </c>
      <c r="B453" s="0" t="inlineStr">
        <is>
          <t xml:space="preserve">Banque Fictive</t>
        </is>
      </c>
      <c r="C453" s="0" t="inlineStr">
        <is>
          <t xml:space="preserve">BQ00091</t>
        </is>
      </c>
      <c r="D453" s="10">
        <v>45467</v>
      </c>
      <c r="E453" s="4" t="inlineStr">
        <is>
          <t xml:space="preserve">512000</t>
        </is>
      </c>
      <c r="F453" s="0" t="inlineStr">
        <is>
          <t xml:space="preserve">Banque Fictive</t>
        </is>
      </c>
      <c r="G453" s="0" t="inlineStr">
        <is>
          <t xml:space="preserve">ENC-FA2024-0026</t>
        </is>
      </c>
      <c r="H453" s="0" t="inlineStr">
        <is>
          <t xml:space="preserve">Reglement client Coworking Atelier 9 FA2024-0026</t>
        </is>
      </c>
      <c r="I453" s="8">
        <v>23801.88</v>
      </c>
      <c r="J453" s="8">
        <v>0</v>
      </c>
      <c r="K453" s="0"/>
      <c r="L453" s="0"/>
      <c r="M453" s="8">
        <f>I453-J453</f>
      </c>
      <c r="N453" s="0" t="inlineStr">
        <is>
          <t xml:space="preserve">2024-06</t>
        </is>
      </c>
      <c r="O453" s="0">
        <f>INDEX(Journaux!$E$5:$E$18,MATCH("2024|"&amp;A453,Journaux!$A$5:$A$18,0))</f>
      </c>
      <c r="P453" s="0">
        <f>INDEX(Comptes!$H$5:$H$42,MATCH(E453,Comptes!$A$5:$A$42,0))</f>
      </c>
      <c r="Q453" s="0" t="inlineStr">
        <is>
          <t xml:space="preserve">5</t>
        </is>
      </c>
    </row>
    <row r="454">
      <c r="A454" s="4" t="inlineStr">
        <is>
          <t xml:space="preserve">BQ</t>
        </is>
      </c>
      <c r="B454" s="0" t="inlineStr">
        <is>
          <t xml:space="preserve">Banque Fictive</t>
        </is>
      </c>
      <c r="C454" s="0" t="inlineStr">
        <is>
          <t xml:space="preserve">BQ00091</t>
        </is>
      </c>
      <c r="D454" s="10">
        <v>45467</v>
      </c>
      <c r="E454" s="4" t="inlineStr">
        <is>
          <t xml:space="preserve">411000</t>
        </is>
      </c>
      <c r="F454" s="0" t="inlineStr">
        <is>
          <t xml:space="preserve">Clients</t>
        </is>
      </c>
      <c r="G454" s="0" t="inlineStr">
        <is>
          <t xml:space="preserve">ENC-FA2024-0026</t>
        </is>
      </c>
      <c r="H454" s="0" t="inlineStr">
        <is>
          <t xml:space="preserve">Reglement client Coworking Atelier 9 FA2024-0026</t>
        </is>
      </c>
      <c r="I454" s="8">
        <v>0</v>
      </c>
      <c r="J454" s="8">
        <v>23801.88</v>
      </c>
      <c r="K454" s="0" t="inlineStr">
        <is>
          <t xml:space="preserve">AAE</t>
        </is>
      </c>
      <c r="L454" s="0" t="inlineStr">
        <is>
          <t xml:space="preserve">Coworking Atelier 9</t>
        </is>
      </c>
      <c r="M454" s="8">
        <f>I454-J454</f>
      </c>
      <c r="N454" s="0" t="inlineStr">
        <is>
          <t xml:space="preserve">2024-06</t>
        </is>
      </c>
      <c r="O454" s="0">
        <f>INDEX(Journaux!$E$5:$E$18,MATCH("2024|"&amp;A454,Journaux!$A$5:$A$18,0))</f>
      </c>
      <c r="P454" s="0">
        <f>INDEX(Comptes!$H$5:$H$42,MATCH(E454,Comptes!$A$5:$A$42,0))</f>
      </c>
      <c r="Q454" s="0" t="inlineStr">
        <is>
          <t xml:space="preserve">4</t>
        </is>
      </c>
      <c r="R454" s="7" t="inlineStr">
        <is>
          <t xml:space="preserve">411000|C008</t>
        </is>
      </c>
    </row>
    <row r="455">
      <c r="A455" s="4" t="inlineStr">
        <is>
          <t xml:space="preserve">VT</t>
        </is>
      </c>
      <c r="B455" s="0" t="inlineStr">
        <is>
          <t xml:space="preserve">Journal des ventes</t>
        </is>
      </c>
      <c r="C455" s="0" t="inlineStr">
        <is>
          <t xml:space="preserve">VT00032</t>
        </is>
      </c>
      <c r="D455" s="10">
        <v>45467</v>
      </c>
      <c r="E455" s="4" t="inlineStr">
        <is>
          <t xml:space="preserve">411000</t>
        </is>
      </c>
      <c r="F455" s="0" t="inlineStr">
        <is>
          <t xml:space="preserve">Clients</t>
        </is>
      </c>
      <c r="G455" s="0" t="inlineStr">
        <is>
          <t xml:space="preserve">FA2024-0032</t>
        </is>
      </c>
      <c r="H455" s="0" t="inlineStr">
        <is>
          <t xml:space="preserve">Facture FA2024-0032 Residence Bel Air</t>
        </is>
      </c>
      <c r="I455" s="8">
        <v>29596.54</v>
      </c>
      <c r="J455" s="8">
        <v>0</v>
      </c>
      <c r="K455" s="0" t="inlineStr">
        <is>
          <t xml:space="preserve">AAK</t>
        </is>
      </c>
      <c r="L455" s="0" t="inlineStr">
        <is>
          <t xml:space="preserve">Residence Bel Air</t>
        </is>
      </c>
      <c r="M455" s="8">
        <f>I455-J455</f>
      </c>
      <c r="N455" s="0" t="inlineStr">
        <is>
          <t xml:space="preserve">2024-06</t>
        </is>
      </c>
      <c r="O455" s="0">
        <f>INDEX(Journaux!$E$5:$E$18,MATCH("2024|"&amp;A455,Journaux!$A$5:$A$18,0))</f>
      </c>
      <c r="P455" s="0">
        <f>INDEX(Comptes!$H$5:$H$42,MATCH(E455,Comptes!$A$5:$A$42,0))</f>
      </c>
      <c r="Q455" s="0" t="inlineStr">
        <is>
          <t xml:space="preserve">4</t>
        </is>
      </c>
      <c r="R455" s="7" t="inlineStr">
        <is>
          <t xml:space="preserve">411000|C003</t>
        </is>
      </c>
    </row>
    <row r="456">
      <c r="A456" s="4" t="inlineStr">
        <is>
          <t xml:space="preserve">VT</t>
        </is>
      </c>
      <c r="B456" s="0" t="inlineStr">
        <is>
          <t xml:space="preserve">Journal des ventes</t>
        </is>
      </c>
      <c r="C456" s="0" t="inlineStr">
        <is>
          <t xml:space="preserve">VT00032</t>
        </is>
      </c>
      <c r="D456" s="10">
        <v>45467</v>
      </c>
      <c r="E456" s="4" t="inlineStr">
        <is>
          <t xml:space="preserve">701000</t>
        </is>
      </c>
      <c r="F456" s="0" t="inlineStr">
        <is>
          <t xml:space="preserve">Ventes de produits finis</t>
        </is>
      </c>
      <c r="G456" s="0" t="inlineStr">
        <is>
          <t xml:space="preserve">FA2024-0032</t>
        </is>
      </c>
      <c r="H456" s="0" t="inlineStr">
        <is>
          <t xml:space="preserve">Facture FA2024-0032 Residence Bel Air</t>
        </is>
      </c>
      <c r="I456" s="8">
        <v>0</v>
      </c>
      <c r="J456" s="8">
        <v>24663.78</v>
      </c>
      <c r="K456" s="0"/>
      <c r="L456" s="0"/>
      <c r="M456" s="8">
        <f>I456-J456</f>
      </c>
      <c r="N456" s="0" t="inlineStr">
        <is>
          <t xml:space="preserve">2024-06</t>
        </is>
      </c>
      <c r="O456" s="0">
        <f>INDEX(Journaux!$E$5:$E$18,MATCH("2024|"&amp;A456,Journaux!$A$5:$A$18,0))</f>
      </c>
      <c r="P456" s="0">
        <f>INDEX(Comptes!$H$5:$H$42,MATCH(E456,Comptes!$A$5:$A$42,0))</f>
      </c>
      <c r="Q456" s="0" t="inlineStr">
        <is>
          <t xml:space="preserve">7</t>
        </is>
      </c>
    </row>
    <row r="457">
      <c r="A457" s="4" t="inlineStr">
        <is>
          <t xml:space="preserve">VT</t>
        </is>
      </c>
      <c r="B457" s="0" t="inlineStr">
        <is>
          <t xml:space="preserve">Journal des ventes</t>
        </is>
      </c>
      <c r="C457" s="0" t="inlineStr">
        <is>
          <t xml:space="preserve">VT00032</t>
        </is>
      </c>
      <c r="D457" s="10">
        <v>45467</v>
      </c>
      <c r="E457" s="4" t="inlineStr">
        <is>
          <t xml:space="preserve">445710</t>
        </is>
      </c>
      <c r="F457" s="0" t="inlineStr">
        <is>
          <t xml:space="preserve">TVA collectee</t>
        </is>
      </c>
      <c r="G457" s="0" t="inlineStr">
        <is>
          <t xml:space="preserve">FA2024-0032</t>
        </is>
      </c>
      <c r="H457" s="0" t="inlineStr">
        <is>
          <t xml:space="preserve">Facture FA2024-0032 Residence Bel Air</t>
        </is>
      </c>
      <c r="I457" s="8">
        <v>0</v>
      </c>
      <c r="J457" s="8">
        <v>4932.76</v>
      </c>
      <c r="K457" s="0"/>
      <c r="L457" s="0"/>
      <c r="M457" s="8">
        <f>I457-J457</f>
      </c>
      <c r="N457" s="0" t="inlineStr">
        <is>
          <t xml:space="preserve">2024-06</t>
        </is>
      </c>
      <c r="O457" s="0">
        <f>INDEX(Journaux!$E$5:$E$18,MATCH("2024|"&amp;A457,Journaux!$A$5:$A$18,0))</f>
      </c>
      <c r="P457" s="0">
        <f>INDEX(Comptes!$H$5:$H$42,MATCH(E457,Comptes!$A$5:$A$42,0))</f>
      </c>
      <c r="Q457" s="0" t="inlineStr">
        <is>
          <t xml:space="preserve">4</t>
        </is>
      </c>
    </row>
    <row r="458">
      <c r="A458" s="4" t="inlineStr">
        <is>
          <t xml:space="preserve">VT</t>
        </is>
      </c>
      <c r="B458" s="0" t="inlineStr">
        <is>
          <t xml:space="preserve">Journal des ventes</t>
        </is>
      </c>
      <c r="C458" s="0" t="inlineStr">
        <is>
          <t xml:space="preserve">VT00033</t>
        </is>
      </c>
      <c r="D458" s="10">
        <v>45469</v>
      </c>
      <c r="E458" s="4" t="inlineStr">
        <is>
          <t xml:space="preserve">411000</t>
        </is>
      </c>
      <c r="F458" s="0" t="inlineStr">
        <is>
          <t xml:space="preserve">Clients</t>
        </is>
      </c>
      <c r="G458" s="0" t="inlineStr">
        <is>
          <t xml:space="preserve">FA2024-0033</t>
        </is>
      </c>
      <c r="H458" s="0" t="inlineStr">
        <is>
          <t xml:space="preserve">Facture FA2024-0033 Coworking Atelier 9</t>
        </is>
      </c>
      <c r="I458" s="8">
        <v>56983.06</v>
      </c>
      <c r="J458" s="8">
        <v>0</v>
      </c>
      <c r="K458" s="0" t="inlineStr">
        <is>
          <t xml:space="preserve">AAL</t>
        </is>
      </c>
      <c r="L458" s="0" t="inlineStr">
        <is>
          <t xml:space="preserve">Coworking Atelier 9</t>
        </is>
      </c>
      <c r="M458" s="8">
        <f>I458-J458</f>
      </c>
      <c r="N458" s="0" t="inlineStr">
        <is>
          <t xml:space="preserve">2024-06</t>
        </is>
      </c>
      <c r="O458" s="0">
        <f>INDEX(Journaux!$E$5:$E$18,MATCH("2024|"&amp;A458,Journaux!$A$5:$A$18,0))</f>
      </c>
      <c r="P458" s="0">
        <f>INDEX(Comptes!$H$5:$H$42,MATCH(E458,Comptes!$A$5:$A$42,0))</f>
      </c>
      <c r="Q458" s="0" t="inlineStr">
        <is>
          <t xml:space="preserve">4</t>
        </is>
      </c>
      <c r="R458" s="7" t="inlineStr">
        <is>
          <t xml:space="preserve">411000|C008</t>
        </is>
      </c>
    </row>
    <row r="459">
      <c r="A459" s="4" t="inlineStr">
        <is>
          <t xml:space="preserve">VT</t>
        </is>
      </c>
      <c r="B459" s="0" t="inlineStr">
        <is>
          <t xml:space="preserve">Journal des ventes</t>
        </is>
      </c>
      <c r="C459" s="0" t="inlineStr">
        <is>
          <t xml:space="preserve">VT00033</t>
        </is>
      </c>
      <c r="D459" s="10">
        <v>45469</v>
      </c>
      <c r="E459" s="4" t="inlineStr">
        <is>
          <t xml:space="preserve">701000</t>
        </is>
      </c>
      <c r="F459" s="0" t="inlineStr">
        <is>
          <t xml:space="preserve">Ventes de produits finis</t>
        </is>
      </c>
      <c r="G459" s="0" t="inlineStr">
        <is>
          <t xml:space="preserve">FA2024-0033</t>
        </is>
      </c>
      <c r="H459" s="0" t="inlineStr">
        <is>
          <t xml:space="preserve">Facture FA2024-0033 Coworking Atelier 9</t>
        </is>
      </c>
      <c r="I459" s="8">
        <v>0</v>
      </c>
      <c r="J459" s="8">
        <v>47485.88</v>
      </c>
      <c r="K459" s="0"/>
      <c r="L459" s="0"/>
      <c r="M459" s="8">
        <f>I459-J459</f>
      </c>
      <c r="N459" s="0" t="inlineStr">
        <is>
          <t xml:space="preserve">2024-06</t>
        </is>
      </c>
      <c r="O459" s="0">
        <f>INDEX(Journaux!$E$5:$E$18,MATCH("2024|"&amp;A459,Journaux!$A$5:$A$18,0))</f>
      </c>
      <c r="P459" s="0">
        <f>INDEX(Comptes!$H$5:$H$42,MATCH(E459,Comptes!$A$5:$A$42,0))</f>
      </c>
      <c r="Q459" s="0" t="inlineStr">
        <is>
          <t xml:space="preserve">7</t>
        </is>
      </c>
    </row>
    <row r="460">
      <c r="A460" s="4" t="inlineStr">
        <is>
          <t xml:space="preserve">VT</t>
        </is>
      </c>
      <c r="B460" s="0" t="inlineStr">
        <is>
          <t xml:space="preserve">Journal des ventes</t>
        </is>
      </c>
      <c r="C460" s="0" t="inlineStr">
        <is>
          <t xml:space="preserve">VT00033</t>
        </is>
      </c>
      <c r="D460" s="10">
        <v>45469</v>
      </c>
      <c r="E460" s="4" t="inlineStr">
        <is>
          <t xml:space="preserve">445710</t>
        </is>
      </c>
      <c r="F460" s="0" t="inlineStr">
        <is>
          <t xml:space="preserve">TVA collectee</t>
        </is>
      </c>
      <c r="G460" s="0" t="inlineStr">
        <is>
          <t xml:space="preserve">FA2024-0033</t>
        </is>
      </c>
      <c r="H460" s="0" t="inlineStr">
        <is>
          <t xml:space="preserve">Facture FA2024-0033 Coworking Atelier 9</t>
        </is>
      </c>
      <c r="I460" s="8">
        <v>0</v>
      </c>
      <c r="J460" s="8">
        <v>9497.18</v>
      </c>
      <c r="K460" s="0"/>
      <c r="L460" s="0"/>
      <c r="M460" s="8">
        <f>I460-J460</f>
      </c>
      <c r="N460" s="0" t="inlineStr">
        <is>
          <t xml:space="preserve">2024-06</t>
        </is>
      </c>
      <c r="O460" s="0">
        <f>INDEX(Journaux!$E$5:$E$18,MATCH("2024|"&amp;A460,Journaux!$A$5:$A$18,0))</f>
      </c>
      <c r="P460" s="0">
        <f>INDEX(Comptes!$H$5:$H$42,MATCH(E460,Comptes!$A$5:$A$42,0))</f>
      </c>
      <c r="Q460" s="0" t="inlineStr">
        <is>
          <t xml:space="preserve">4</t>
        </is>
      </c>
    </row>
    <row r="461">
      <c r="A461" s="4" t="inlineStr">
        <is>
          <t xml:space="preserve">BQ</t>
        </is>
      </c>
      <c r="B461" s="0" t="inlineStr">
        <is>
          <t xml:space="preserve">Banque Fictive</t>
        </is>
      </c>
      <c r="C461" s="0" t="inlineStr">
        <is>
          <t xml:space="preserve">BQ00016</t>
        </is>
      </c>
      <c r="D461" s="10">
        <v>45473</v>
      </c>
      <c r="E461" s="4" t="inlineStr">
        <is>
          <t xml:space="preserve">421000</t>
        </is>
      </c>
      <c r="F461" s="0" t="inlineStr">
        <is>
          <t xml:space="preserve">Personnel remunerations dues</t>
        </is>
      </c>
      <c r="G461" s="0" t="inlineStr">
        <is>
          <t xml:space="preserve">VIRSAL202406</t>
        </is>
      </c>
      <c r="H461" s="0" t="inlineStr">
        <is>
          <t xml:space="preserve">Virement salaires 06/2024</t>
        </is>
      </c>
      <c r="I461" s="8">
        <v>39926.08</v>
      </c>
      <c r="J461" s="8">
        <v>0</v>
      </c>
      <c r="K461" s="0"/>
      <c r="L461" s="0"/>
      <c r="M461" s="8">
        <f>I461-J461</f>
      </c>
      <c r="N461" s="0" t="inlineStr">
        <is>
          <t xml:space="preserve">2024-06</t>
        </is>
      </c>
      <c r="O461" s="0">
        <f>INDEX(Journaux!$E$5:$E$18,MATCH("2024|"&amp;A461,Journaux!$A$5:$A$18,0))</f>
      </c>
      <c r="P461" s="0">
        <f>INDEX(Comptes!$H$5:$H$42,MATCH(E461,Comptes!$A$5:$A$42,0))</f>
      </c>
      <c r="Q461" s="0" t="inlineStr">
        <is>
          <t xml:space="preserve">4</t>
        </is>
      </c>
    </row>
    <row r="462">
      <c r="A462" s="4" t="inlineStr">
        <is>
          <t xml:space="preserve">BQ</t>
        </is>
      </c>
      <c r="B462" s="0" t="inlineStr">
        <is>
          <t xml:space="preserve">Banque Fictive</t>
        </is>
      </c>
      <c r="C462" s="0" t="inlineStr">
        <is>
          <t xml:space="preserve">BQ00016</t>
        </is>
      </c>
      <c r="D462" s="10">
        <v>45473</v>
      </c>
      <c r="E462" s="4" t="inlineStr">
        <is>
          <t xml:space="preserve">512000</t>
        </is>
      </c>
      <c r="F462" s="0" t="inlineStr">
        <is>
          <t xml:space="preserve">Banque Fictive</t>
        </is>
      </c>
      <c r="G462" s="0" t="inlineStr">
        <is>
          <t xml:space="preserve">VIRSAL202406</t>
        </is>
      </c>
      <c r="H462" s="0" t="inlineStr">
        <is>
          <t xml:space="preserve">Virement salaires 06/2024</t>
        </is>
      </c>
      <c r="I462" s="8">
        <v>0</v>
      </c>
      <c r="J462" s="8">
        <v>39926.08</v>
      </c>
      <c r="K462" s="0"/>
      <c r="L462" s="0"/>
      <c r="M462" s="8">
        <f>I462-J462</f>
      </c>
      <c r="N462" s="0" t="inlineStr">
        <is>
          <t xml:space="preserve">2024-06</t>
        </is>
      </c>
      <c r="O462" s="0">
        <f>INDEX(Journaux!$E$5:$E$18,MATCH("2024|"&amp;A462,Journaux!$A$5:$A$18,0))</f>
      </c>
      <c r="P462" s="0">
        <f>INDEX(Comptes!$H$5:$H$42,MATCH(E462,Comptes!$A$5:$A$42,0))</f>
      </c>
      <c r="Q462" s="0" t="inlineStr">
        <is>
          <t xml:space="preserve">5</t>
        </is>
      </c>
    </row>
    <row r="463">
      <c r="A463" s="4" t="inlineStr">
        <is>
          <t xml:space="preserve">BQ</t>
        </is>
      </c>
      <c r="B463" s="0" t="inlineStr">
        <is>
          <t xml:space="preserve">Banque Fictive</t>
        </is>
      </c>
      <c r="C463" s="0" t="inlineStr">
        <is>
          <t xml:space="preserve">BQ00018</t>
        </is>
      </c>
      <c r="D463" s="10">
        <v>45473</v>
      </c>
      <c r="E463" s="4" t="inlineStr">
        <is>
          <t xml:space="preserve">627000</t>
        </is>
      </c>
      <c r="F463" s="0" t="inlineStr">
        <is>
          <t xml:space="preserve">Services bancaires</t>
        </is>
      </c>
      <c r="G463" s="0" t="inlineStr">
        <is>
          <t xml:space="preserve">FRB202406</t>
        </is>
      </c>
      <c r="H463" s="0" t="inlineStr">
        <is>
          <t xml:space="preserve">Frais bancaires 06/2024</t>
        </is>
      </c>
      <c r="I463" s="8">
        <v>85</v>
      </c>
      <c r="J463" s="8">
        <v>0</v>
      </c>
      <c r="K463" s="0"/>
      <c r="L463" s="0"/>
      <c r="M463" s="8">
        <f>I463-J463</f>
      </c>
      <c r="N463" s="0" t="inlineStr">
        <is>
          <t xml:space="preserve">2024-06</t>
        </is>
      </c>
      <c r="O463" s="0">
        <f>INDEX(Journaux!$E$5:$E$18,MATCH("2024|"&amp;A463,Journaux!$A$5:$A$18,0))</f>
      </c>
      <c r="P463" s="0">
        <f>INDEX(Comptes!$H$5:$H$42,MATCH(E463,Comptes!$A$5:$A$42,0))</f>
      </c>
      <c r="Q463" s="0" t="inlineStr">
        <is>
          <t xml:space="preserve">6</t>
        </is>
      </c>
    </row>
    <row r="464">
      <c r="A464" s="4" t="inlineStr">
        <is>
          <t xml:space="preserve">BQ</t>
        </is>
      </c>
      <c r="B464" s="0" t="inlineStr">
        <is>
          <t xml:space="preserve">Banque Fictive</t>
        </is>
      </c>
      <c r="C464" s="0" t="inlineStr">
        <is>
          <t xml:space="preserve">BQ00018</t>
        </is>
      </c>
      <c r="D464" s="10">
        <v>45473</v>
      </c>
      <c r="E464" s="4" t="inlineStr">
        <is>
          <t xml:space="preserve">512000</t>
        </is>
      </c>
      <c r="F464" s="0" t="inlineStr">
        <is>
          <t xml:space="preserve">Banque Fictive</t>
        </is>
      </c>
      <c r="G464" s="0" t="inlineStr">
        <is>
          <t xml:space="preserve">FRB202406</t>
        </is>
      </c>
      <c r="H464" s="0" t="inlineStr">
        <is>
          <t xml:space="preserve">Frais bancaires 06/2024</t>
        </is>
      </c>
      <c r="I464" s="8">
        <v>0</v>
      </c>
      <c r="J464" s="8">
        <v>85</v>
      </c>
      <c r="K464" s="0"/>
      <c r="L464" s="0"/>
      <c r="M464" s="8">
        <f>I464-J464</f>
      </c>
      <c r="N464" s="0" t="inlineStr">
        <is>
          <t xml:space="preserve">2024-06</t>
        </is>
      </c>
      <c r="O464" s="0">
        <f>INDEX(Journaux!$E$5:$E$18,MATCH("2024|"&amp;A464,Journaux!$A$5:$A$18,0))</f>
      </c>
      <c r="P464" s="0">
        <f>INDEX(Comptes!$H$5:$H$42,MATCH(E464,Comptes!$A$5:$A$42,0))</f>
      </c>
      <c r="Q464" s="0" t="inlineStr">
        <is>
          <t xml:space="preserve">5</t>
        </is>
      </c>
    </row>
    <row r="465">
      <c r="A465" s="4" t="inlineStr">
        <is>
          <t xml:space="preserve">OD</t>
        </is>
      </c>
      <c r="B465" s="0" t="inlineStr">
        <is>
          <t xml:space="preserve">Operations diverses</t>
        </is>
      </c>
      <c r="C465" s="0" t="inlineStr">
        <is>
          <t xml:space="preserve">OD00006</t>
        </is>
      </c>
      <c r="D465" s="10">
        <v>45473</v>
      </c>
      <c r="E465" s="4" t="inlineStr">
        <is>
          <t xml:space="preserve">445710</t>
        </is>
      </c>
      <c r="F465" s="0" t="inlineStr">
        <is>
          <t xml:space="preserve">TVA collectee</t>
        </is>
      </c>
      <c r="G465" s="0" t="inlineStr">
        <is>
          <t xml:space="preserve">CA3-202406</t>
        </is>
      </c>
      <c r="H465" s="0" t="inlineStr">
        <is>
          <t xml:space="preserve">Declaration TVA 06/2024</t>
        </is>
      </c>
      <c r="I465" s="8">
        <v>36666.67</v>
      </c>
      <c r="J465" s="8">
        <v>0</v>
      </c>
      <c r="K465" s="0"/>
      <c r="L465" s="0"/>
      <c r="M465" s="8">
        <f>I465-J465</f>
      </c>
      <c r="N465" s="0" t="inlineStr">
        <is>
          <t xml:space="preserve">2024-06</t>
        </is>
      </c>
      <c r="O465" s="0">
        <f>INDEX(Journaux!$E$5:$E$18,MATCH("2024|"&amp;A465,Journaux!$A$5:$A$18,0))</f>
      </c>
      <c r="P465" s="0">
        <f>INDEX(Comptes!$H$5:$H$42,MATCH(E465,Comptes!$A$5:$A$42,0))</f>
      </c>
      <c r="Q465" s="0" t="inlineStr">
        <is>
          <t xml:space="preserve">4</t>
        </is>
      </c>
    </row>
    <row r="466">
      <c r="A466" s="4" t="inlineStr">
        <is>
          <t xml:space="preserve">OD</t>
        </is>
      </c>
      <c r="B466" s="0" t="inlineStr">
        <is>
          <t xml:space="preserve">Operations diverses</t>
        </is>
      </c>
      <c r="C466" s="0" t="inlineStr">
        <is>
          <t xml:space="preserve">OD00006</t>
        </is>
      </c>
      <c r="D466" s="10">
        <v>45473</v>
      </c>
      <c r="E466" s="4" t="inlineStr">
        <is>
          <t xml:space="preserve">445660</t>
        </is>
      </c>
      <c r="F466" s="0" t="inlineStr">
        <is>
          <t xml:space="preserve">TVA deductible sur ABS</t>
        </is>
      </c>
      <c r="G466" s="0" t="inlineStr">
        <is>
          <t xml:space="preserve">CA3-202406</t>
        </is>
      </c>
      <c r="H466" s="0" t="inlineStr">
        <is>
          <t xml:space="preserve">Declaration TVA 06/2024</t>
        </is>
      </c>
      <c r="I466" s="8">
        <v>0</v>
      </c>
      <c r="J466" s="8">
        <v>19092.16</v>
      </c>
      <c r="K466" s="0"/>
      <c r="L466" s="0"/>
      <c r="M466" s="8">
        <f>I466-J466</f>
      </c>
      <c r="N466" s="0" t="inlineStr">
        <is>
          <t xml:space="preserve">2024-06</t>
        </is>
      </c>
      <c r="O466" s="0">
        <f>INDEX(Journaux!$E$5:$E$18,MATCH("2024|"&amp;A466,Journaux!$A$5:$A$18,0))</f>
      </c>
      <c r="P466" s="0">
        <f>INDEX(Comptes!$H$5:$H$42,MATCH(E466,Comptes!$A$5:$A$42,0))</f>
      </c>
      <c r="Q466" s="0" t="inlineStr">
        <is>
          <t xml:space="preserve">4</t>
        </is>
      </c>
    </row>
    <row r="467">
      <c r="A467" s="4" t="inlineStr">
        <is>
          <t xml:space="preserve">OD</t>
        </is>
      </c>
      <c r="B467" s="0" t="inlineStr">
        <is>
          <t xml:space="preserve">Operations diverses</t>
        </is>
      </c>
      <c r="C467" s="0" t="inlineStr">
        <is>
          <t xml:space="preserve">OD00006</t>
        </is>
      </c>
      <c r="D467" s="10">
        <v>45473</v>
      </c>
      <c r="E467" s="4" t="inlineStr">
        <is>
          <t xml:space="preserve">445510</t>
        </is>
      </c>
      <c r="F467" s="0" t="inlineStr">
        <is>
          <t xml:space="preserve">TVA a decaisser</t>
        </is>
      </c>
      <c r="G467" s="0" t="inlineStr">
        <is>
          <t xml:space="preserve">CA3-202406</t>
        </is>
      </c>
      <c r="H467" s="0" t="inlineStr">
        <is>
          <t xml:space="preserve">Declaration TVA 06/2024</t>
        </is>
      </c>
      <c r="I467" s="8">
        <v>0</v>
      </c>
      <c r="J467" s="8">
        <v>17574.51</v>
      </c>
      <c r="K467" s="0"/>
      <c r="L467" s="0"/>
      <c r="M467" s="8">
        <f>I467-J467</f>
      </c>
      <c r="N467" s="0" t="inlineStr">
        <is>
          <t xml:space="preserve">2024-06</t>
        </is>
      </c>
      <c r="O467" s="0">
        <f>INDEX(Journaux!$E$5:$E$18,MATCH("2024|"&amp;A467,Journaux!$A$5:$A$18,0))</f>
      </c>
      <c r="P467" s="0">
        <f>INDEX(Comptes!$H$5:$H$42,MATCH(E467,Comptes!$A$5:$A$42,0))</f>
      </c>
      <c r="Q467" s="0" t="inlineStr">
        <is>
          <t xml:space="preserve">4</t>
        </is>
      </c>
    </row>
    <row r="468">
      <c r="A468" s="4" t="inlineStr">
        <is>
          <t xml:space="preserve">SA</t>
        </is>
      </c>
      <c r="B468" s="0" t="inlineStr">
        <is>
          <t xml:space="preserve">Salaires</t>
        </is>
      </c>
      <c r="C468" s="0" t="inlineStr">
        <is>
          <t xml:space="preserve">SA00006</t>
        </is>
      </c>
      <c r="D468" s="10">
        <v>45473</v>
      </c>
      <c r="E468" s="4" t="inlineStr">
        <is>
          <t xml:space="preserve">641000</t>
        </is>
      </c>
      <c r="F468" s="0" t="inlineStr">
        <is>
          <t xml:space="preserve">Remunerations du personnel</t>
        </is>
      </c>
      <c r="G468" s="0" t="inlineStr">
        <is>
          <t xml:space="preserve">PAIE202406</t>
        </is>
      </c>
      <c r="H468" s="0" t="inlineStr">
        <is>
          <t xml:space="preserve">Paie 06/2024</t>
        </is>
      </c>
      <c r="I468" s="8">
        <v>51187.28</v>
      </c>
      <c r="J468" s="8">
        <v>0</v>
      </c>
      <c r="K468" s="0"/>
      <c r="L468" s="0"/>
      <c r="M468" s="8">
        <f>I468-J468</f>
      </c>
      <c r="N468" s="0" t="inlineStr">
        <is>
          <t xml:space="preserve">2024-06</t>
        </is>
      </c>
      <c r="O468" s="0">
        <f>INDEX(Journaux!$E$5:$E$18,MATCH("2024|"&amp;A468,Journaux!$A$5:$A$18,0))</f>
      </c>
      <c r="P468" s="0">
        <f>INDEX(Comptes!$H$5:$H$42,MATCH(E468,Comptes!$A$5:$A$42,0))</f>
      </c>
      <c r="Q468" s="0" t="inlineStr">
        <is>
          <t xml:space="preserve">6</t>
        </is>
      </c>
    </row>
    <row r="469">
      <c r="A469" s="4" t="inlineStr">
        <is>
          <t xml:space="preserve">SA</t>
        </is>
      </c>
      <c r="B469" s="0" t="inlineStr">
        <is>
          <t xml:space="preserve">Salaires</t>
        </is>
      </c>
      <c r="C469" s="0" t="inlineStr">
        <is>
          <t xml:space="preserve">SA00006</t>
        </is>
      </c>
      <c r="D469" s="10">
        <v>45473</v>
      </c>
      <c r="E469" s="4" t="inlineStr">
        <is>
          <t xml:space="preserve">645100</t>
        </is>
      </c>
      <c r="F469" s="0" t="inlineStr">
        <is>
          <t xml:space="preserve">Cotisations URSSAF</t>
        </is>
      </c>
      <c r="G469" s="0" t="inlineStr">
        <is>
          <t xml:space="preserve">PAIE202406</t>
        </is>
      </c>
      <c r="H469" s="0" t="inlineStr">
        <is>
          <t xml:space="preserve">Paie 06/2024</t>
        </is>
      </c>
      <c r="I469" s="8">
        <v>21498.66</v>
      </c>
      <c r="J469" s="8">
        <v>0</v>
      </c>
      <c r="K469" s="0"/>
      <c r="L469" s="0"/>
      <c r="M469" s="8">
        <f>I469-J469</f>
      </c>
      <c r="N469" s="0" t="inlineStr">
        <is>
          <t xml:space="preserve">2024-06</t>
        </is>
      </c>
      <c r="O469" s="0">
        <f>INDEX(Journaux!$E$5:$E$18,MATCH("2024|"&amp;A469,Journaux!$A$5:$A$18,0))</f>
      </c>
      <c r="P469" s="0">
        <f>INDEX(Comptes!$H$5:$H$42,MATCH(E469,Comptes!$A$5:$A$42,0))</f>
      </c>
      <c r="Q469" s="0" t="inlineStr">
        <is>
          <t xml:space="preserve">6</t>
        </is>
      </c>
    </row>
    <row r="470">
      <c r="A470" s="4" t="inlineStr">
        <is>
          <t xml:space="preserve">SA</t>
        </is>
      </c>
      <c r="B470" s="0" t="inlineStr">
        <is>
          <t xml:space="preserve">Salaires</t>
        </is>
      </c>
      <c r="C470" s="0" t="inlineStr">
        <is>
          <t xml:space="preserve">SA00006</t>
        </is>
      </c>
      <c r="D470" s="10">
        <v>45473</v>
      </c>
      <c r="E470" s="4" t="inlineStr">
        <is>
          <t xml:space="preserve">421000</t>
        </is>
      </c>
      <c r="F470" s="0" t="inlineStr">
        <is>
          <t xml:space="preserve">Personnel remunerations dues</t>
        </is>
      </c>
      <c r="G470" s="0" t="inlineStr">
        <is>
          <t xml:space="preserve">PAIE202406</t>
        </is>
      </c>
      <c r="H470" s="0" t="inlineStr">
        <is>
          <t xml:space="preserve">Paie 06/2024</t>
        </is>
      </c>
      <c r="I470" s="8">
        <v>0</v>
      </c>
      <c r="J470" s="8">
        <v>39926.08</v>
      </c>
      <c r="K470" s="0"/>
      <c r="L470" s="0"/>
      <c r="M470" s="8">
        <f>I470-J470</f>
      </c>
      <c r="N470" s="0" t="inlineStr">
        <is>
          <t xml:space="preserve">2024-06</t>
        </is>
      </c>
      <c r="O470" s="0">
        <f>INDEX(Journaux!$E$5:$E$18,MATCH("2024|"&amp;A470,Journaux!$A$5:$A$18,0))</f>
      </c>
      <c r="P470" s="0">
        <f>INDEX(Comptes!$H$5:$H$42,MATCH(E470,Comptes!$A$5:$A$42,0))</f>
      </c>
      <c r="Q470" s="0" t="inlineStr">
        <is>
          <t xml:space="preserve">4</t>
        </is>
      </c>
    </row>
    <row r="471">
      <c r="A471" s="4" t="inlineStr">
        <is>
          <t xml:space="preserve">SA</t>
        </is>
      </c>
      <c r="B471" s="0" t="inlineStr">
        <is>
          <t xml:space="preserve">Salaires</t>
        </is>
      </c>
      <c r="C471" s="0" t="inlineStr">
        <is>
          <t xml:space="preserve">SA00006</t>
        </is>
      </c>
      <c r="D471" s="10">
        <v>45473</v>
      </c>
      <c r="E471" s="4" t="inlineStr">
        <is>
          <t xml:space="preserve">431000</t>
        </is>
      </c>
      <c r="F471" s="0" t="inlineStr">
        <is>
          <t xml:space="preserve">Securite sociale</t>
        </is>
      </c>
      <c r="G471" s="0" t="inlineStr">
        <is>
          <t xml:space="preserve">PAIE202406</t>
        </is>
      </c>
      <c r="H471" s="0" t="inlineStr">
        <is>
          <t xml:space="preserve">Paie 06/2024</t>
        </is>
      </c>
      <c r="I471" s="8">
        <v>0</v>
      </c>
      <c r="J471" s="8">
        <v>32759.86</v>
      </c>
      <c r="K471" s="0"/>
      <c r="L471" s="0"/>
      <c r="M471" s="8">
        <f>I471-J471</f>
      </c>
      <c r="N471" s="0" t="inlineStr">
        <is>
          <t xml:space="preserve">2024-06</t>
        </is>
      </c>
      <c r="O471" s="0">
        <f>INDEX(Journaux!$E$5:$E$18,MATCH("2024|"&amp;A471,Journaux!$A$5:$A$18,0))</f>
      </c>
      <c r="P471" s="0">
        <f>INDEX(Comptes!$H$5:$H$42,MATCH(E471,Comptes!$A$5:$A$42,0))</f>
      </c>
      <c r="Q471" s="0" t="inlineStr">
        <is>
          <t xml:space="preserve">4</t>
        </is>
      </c>
    </row>
    <row r="472">
      <c r="A472" s="4" t="inlineStr">
        <is>
          <t xml:space="preserve">AC</t>
        </is>
      </c>
      <c r="B472" s="0" t="inlineStr">
        <is>
          <t xml:space="preserve">Journal des achats</t>
        </is>
      </c>
      <c r="C472" s="0" t="inlineStr">
        <is>
          <t xml:space="preserve">AC00040</t>
        </is>
      </c>
      <c r="D472" s="10">
        <v>45474</v>
      </c>
      <c r="E472" s="4" t="inlineStr">
        <is>
          <t xml:space="preserve">601000</t>
        </is>
      </c>
      <c r="F472" s="0" t="inlineStr">
        <is>
          <t xml:space="preserve">Achats de matieres premieres</t>
        </is>
      </c>
      <c r="G472" s="0" t="inlineStr">
        <is>
          <t xml:space="preserve">F001-2024072</t>
        </is>
      </c>
      <c r="H472" s="0" t="inlineStr">
        <is>
          <t xml:space="preserve">Facture Scierie du Nord F001-2024072</t>
        </is>
      </c>
      <c r="I472" s="8">
        <v>36806.69</v>
      </c>
      <c r="J472" s="8">
        <v>0</v>
      </c>
      <c r="K472" s="0"/>
      <c r="L472" s="0"/>
      <c r="M472" s="8">
        <f>I472-J472</f>
      </c>
      <c r="N472" s="0" t="inlineStr">
        <is>
          <t xml:space="preserve">2024-07</t>
        </is>
      </c>
      <c r="O472" s="0">
        <f>INDEX(Journaux!$E$5:$E$18,MATCH("2024|"&amp;A472,Journaux!$A$5:$A$18,0))</f>
      </c>
      <c r="P472" s="0">
        <f>INDEX(Comptes!$H$5:$H$42,MATCH(E472,Comptes!$A$5:$A$42,0))</f>
      </c>
      <c r="Q472" s="0" t="inlineStr">
        <is>
          <t xml:space="preserve">6</t>
        </is>
      </c>
    </row>
    <row r="473">
      <c r="A473" s="4" t="inlineStr">
        <is>
          <t xml:space="preserve">AC</t>
        </is>
      </c>
      <c r="B473" s="0" t="inlineStr">
        <is>
          <t xml:space="preserve">Journal des achats</t>
        </is>
      </c>
      <c r="C473" s="0" t="inlineStr">
        <is>
          <t xml:space="preserve">AC00040</t>
        </is>
      </c>
      <c r="D473" s="10">
        <v>45474</v>
      </c>
      <c r="E473" s="4" t="inlineStr">
        <is>
          <t xml:space="preserve">445660</t>
        </is>
      </c>
      <c r="F473" s="0" t="inlineStr">
        <is>
          <t xml:space="preserve">TVA deductible sur ABS</t>
        </is>
      </c>
      <c r="G473" s="0" t="inlineStr">
        <is>
          <t xml:space="preserve">F001-2024072</t>
        </is>
      </c>
      <c r="H473" s="0" t="inlineStr">
        <is>
          <t xml:space="preserve">Facture Scierie du Nord F001-2024072</t>
        </is>
      </c>
      <c r="I473" s="8">
        <v>7361.34</v>
      </c>
      <c r="J473" s="8">
        <v>0</v>
      </c>
      <c r="K473" s="0"/>
      <c r="L473" s="0"/>
      <c r="M473" s="8">
        <f>I473-J473</f>
      </c>
      <c r="N473" s="0" t="inlineStr">
        <is>
          <t xml:space="preserve">2024-07</t>
        </is>
      </c>
      <c r="O473" s="0">
        <f>INDEX(Journaux!$E$5:$E$18,MATCH("2024|"&amp;A473,Journaux!$A$5:$A$18,0))</f>
      </c>
      <c r="P473" s="0">
        <f>INDEX(Comptes!$H$5:$H$42,MATCH(E473,Comptes!$A$5:$A$42,0))</f>
      </c>
      <c r="Q473" s="0" t="inlineStr">
        <is>
          <t xml:space="preserve">4</t>
        </is>
      </c>
    </row>
    <row r="474">
      <c r="A474" s="4" t="inlineStr">
        <is>
          <t xml:space="preserve">AC</t>
        </is>
      </c>
      <c r="B474" s="0" t="inlineStr">
        <is>
          <t xml:space="preserve">Journal des achats</t>
        </is>
      </c>
      <c r="C474" s="0" t="inlineStr">
        <is>
          <t xml:space="preserve">AC00040</t>
        </is>
      </c>
      <c r="D474" s="10">
        <v>45474</v>
      </c>
      <c r="E474" s="4" t="inlineStr">
        <is>
          <t xml:space="preserve">401000</t>
        </is>
      </c>
      <c r="F474" s="0" t="inlineStr">
        <is>
          <t xml:space="preserve">Fournisseurs</t>
        </is>
      </c>
      <c r="G474" s="0" t="inlineStr">
        <is>
          <t xml:space="preserve">F001-2024072</t>
        </is>
      </c>
      <c r="H474" s="0" t="inlineStr">
        <is>
          <t xml:space="preserve">Facture Scierie du Nord F001-2024072</t>
        </is>
      </c>
      <c r="I474" s="8">
        <v>0</v>
      </c>
      <c r="J474" s="8">
        <v>44168.03</v>
      </c>
      <c r="K474" s="0" t="inlineStr">
        <is>
          <t xml:space="preserve">ACZ</t>
        </is>
      </c>
      <c r="L474" s="0" t="inlineStr">
        <is>
          <t xml:space="preserve">Scierie du Nord</t>
        </is>
      </c>
      <c r="M474" s="8">
        <f>I474-J474</f>
      </c>
      <c r="N474" s="0" t="inlineStr">
        <is>
          <t xml:space="preserve">2024-07</t>
        </is>
      </c>
      <c r="O474" s="0">
        <f>INDEX(Journaux!$E$5:$E$18,MATCH("2024|"&amp;A474,Journaux!$A$5:$A$18,0))</f>
      </c>
      <c r="P474" s="0">
        <f>INDEX(Comptes!$H$5:$H$42,MATCH(E474,Comptes!$A$5:$A$42,0))</f>
      </c>
      <c r="Q474" s="0" t="inlineStr">
        <is>
          <t xml:space="preserve">4</t>
        </is>
      </c>
      <c r="R474" s="7" t="inlineStr">
        <is>
          <t xml:space="preserve">401000|F001</t>
        </is>
      </c>
    </row>
    <row r="475">
      <c r="A475" s="4" t="inlineStr">
        <is>
          <t xml:space="preserve">BQ</t>
        </is>
      </c>
      <c r="B475" s="0" t="inlineStr">
        <is>
          <t xml:space="preserve">Banque Fictive</t>
        </is>
      </c>
      <c r="C475" s="0" t="inlineStr">
        <is>
          <t xml:space="preserve">BQ00092</t>
        </is>
      </c>
      <c r="D475" s="10">
        <v>45474</v>
      </c>
      <c r="E475" s="4" t="inlineStr">
        <is>
          <t xml:space="preserve">512000</t>
        </is>
      </c>
      <c r="F475" s="0" t="inlineStr">
        <is>
          <t xml:space="preserve">Banque Fictive</t>
        </is>
      </c>
      <c r="G475" s="0" t="inlineStr">
        <is>
          <t xml:space="preserve">ENC-FA2024-0027</t>
        </is>
      </c>
      <c r="H475" s="0" t="inlineStr">
        <is>
          <t xml:space="preserve">Reglement client Residence Bel Air FA2024-0027</t>
        </is>
      </c>
      <c r="I475" s="8">
        <v>30736.78</v>
      </c>
      <c r="J475" s="8">
        <v>0</v>
      </c>
      <c r="K475" s="0"/>
      <c r="L475" s="0"/>
      <c r="M475" s="8">
        <f>I475-J475</f>
      </c>
      <c r="N475" s="0" t="inlineStr">
        <is>
          <t xml:space="preserve">2024-07</t>
        </is>
      </c>
      <c r="O475" s="0">
        <f>INDEX(Journaux!$E$5:$E$18,MATCH("2024|"&amp;A475,Journaux!$A$5:$A$18,0))</f>
      </c>
      <c r="P475" s="0">
        <f>INDEX(Comptes!$H$5:$H$42,MATCH(E475,Comptes!$A$5:$A$42,0))</f>
      </c>
      <c r="Q475" s="0" t="inlineStr">
        <is>
          <t xml:space="preserve">5</t>
        </is>
      </c>
    </row>
    <row r="476">
      <c r="A476" s="4" t="inlineStr">
        <is>
          <t xml:space="preserve">BQ</t>
        </is>
      </c>
      <c r="B476" s="0" t="inlineStr">
        <is>
          <t xml:space="preserve">Banque Fictive</t>
        </is>
      </c>
      <c r="C476" s="0" t="inlineStr">
        <is>
          <t xml:space="preserve">BQ00092</t>
        </is>
      </c>
      <c r="D476" s="10">
        <v>45474</v>
      </c>
      <c r="E476" s="4" t="inlineStr">
        <is>
          <t xml:space="preserve">411000</t>
        </is>
      </c>
      <c r="F476" s="0" t="inlineStr">
        <is>
          <t xml:space="preserve">Clients</t>
        </is>
      </c>
      <c r="G476" s="0" t="inlineStr">
        <is>
          <t xml:space="preserve">ENC-FA2024-0027</t>
        </is>
      </c>
      <c r="H476" s="0" t="inlineStr">
        <is>
          <t xml:space="preserve">Reglement client Residence Bel Air FA2024-0027</t>
        </is>
      </c>
      <c r="I476" s="8">
        <v>0</v>
      </c>
      <c r="J476" s="8">
        <v>30736.78</v>
      </c>
      <c r="K476" s="0" t="inlineStr">
        <is>
          <t xml:space="preserve">AAF</t>
        </is>
      </c>
      <c r="L476" s="0" t="inlineStr">
        <is>
          <t xml:space="preserve">Residence Bel Air</t>
        </is>
      </c>
      <c r="M476" s="8">
        <f>I476-J476</f>
      </c>
      <c r="N476" s="0" t="inlineStr">
        <is>
          <t xml:space="preserve">2024-07</t>
        </is>
      </c>
      <c r="O476" s="0">
        <f>INDEX(Journaux!$E$5:$E$18,MATCH("2024|"&amp;A476,Journaux!$A$5:$A$18,0))</f>
      </c>
      <c r="P476" s="0">
        <f>INDEX(Comptes!$H$5:$H$42,MATCH(E476,Comptes!$A$5:$A$42,0))</f>
      </c>
      <c r="Q476" s="0" t="inlineStr">
        <is>
          <t xml:space="preserve">4</t>
        </is>
      </c>
      <c r="R476" s="7" t="inlineStr">
        <is>
          <t xml:space="preserve">411000|C003</t>
        </is>
      </c>
    </row>
    <row r="477">
      <c r="A477" s="4" t="inlineStr">
        <is>
          <t xml:space="preserve">BQ</t>
        </is>
      </c>
      <c r="B477" s="0" t="inlineStr">
        <is>
          <t xml:space="preserve">Banque Fictive</t>
        </is>
      </c>
      <c r="C477" s="0" t="inlineStr">
        <is>
          <t xml:space="preserve">BQ00094</t>
        </is>
      </c>
      <c r="D477" s="10">
        <v>45474</v>
      </c>
      <c r="E477" s="4" t="inlineStr">
        <is>
          <t xml:space="preserve">512000</t>
        </is>
      </c>
      <c r="F477" s="0" t="inlineStr">
        <is>
          <t xml:space="preserve">Banque Fictive</t>
        </is>
      </c>
      <c r="G477" s="0" t="inlineStr">
        <is>
          <t xml:space="preserve">ENC-FA2024-0029</t>
        </is>
      </c>
      <c r="H477" s="0" t="inlineStr">
        <is>
          <t xml:space="preserve">Reglement client Hotel Les Tilleuls FA2024-0029</t>
        </is>
      </c>
      <c r="I477" s="8">
        <v>30137.64</v>
      </c>
      <c r="J477" s="8">
        <v>0</v>
      </c>
      <c r="K477" s="0"/>
      <c r="L477" s="0"/>
      <c r="M477" s="8">
        <f>I477-J477</f>
      </c>
      <c r="N477" s="0" t="inlineStr">
        <is>
          <t xml:space="preserve">2024-07</t>
        </is>
      </c>
      <c r="O477" s="0">
        <f>INDEX(Journaux!$E$5:$E$18,MATCH("2024|"&amp;A477,Journaux!$A$5:$A$18,0))</f>
      </c>
      <c r="P477" s="0">
        <f>INDEX(Comptes!$H$5:$H$42,MATCH(E477,Comptes!$A$5:$A$42,0))</f>
      </c>
      <c r="Q477" s="0" t="inlineStr">
        <is>
          <t xml:space="preserve">5</t>
        </is>
      </c>
    </row>
    <row r="478">
      <c r="A478" s="4" t="inlineStr">
        <is>
          <t xml:space="preserve">BQ</t>
        </is>
      </c>
      <c r="B478" s="0" t="inlineStr">
        <is>
          <t xml:space="preserve">Banque Fictive</t>
        </is>
      </c>
      <c r="C478" s="0" t="inlineStr">
        <is>
          <t xml:space="preserve">BQ00094</t>
        </is>
      </c>
      <c r="D478" s="10">
        <v>45474</v>
      </c>
      <c r="E478" s="4" t="inlineStr">
        <is>
          <t xml:space="preserve">411000</t>
        </is>
      </c>
      <c r="F478" s="0" t="inlineStr">
        <is>
          <t xml:space="preserve">Clients</t>
        </is>
      </c>
      <c r="G478" s="0" t="inlineStr">
        <is>
          <t xml:space="preserve">ENC-FA2024-0029</t>
        </is>
      </c>
      <c r="H478" s="0" t="inlineStr">
        <is>
          <t xml:space="preserve">Reglement client Hotel Les Tilleuls FA2024-0029</t>
        </is>
      </c>
      <c r="I478" s="8">
        <v>0</v>
      </c>
      <c r="J478" s="8">
        <v>30137.64</v>
      </c>
      <c r="K478" s="0" t="inlineStr">
        <is>
          <t xml:space="preserve">AAH</t>
        </is>
      </c>
      <c r="L478" s="0" t="inlineStr">
        <is>
          <t xml:space="preserve">Hotel Les Tilleuls</t>
        </is>
      </c>
      <c r="M478" s="8">
        <f>I478-J478</f>
      </c>
      <c r="N478" s="0" t="inlineStr">
        <is>
          <t xml:space="preserve">2024-07</t>
        </is>
      </c>
      <c r="O478" s="0">
        <f>INDEX(Journaux!$E$5:$E$18,MATCH("2024|"&amp;A478,Journaux!$A$5:$A$18,0))</f>
      </c>
      <c r="P478" s="0">
        <f>INDEX(Comptes!$H$5:$H$42,MATCH(E478,Comptes!$A$5:$A$42,0))</f>
      </c>
      <c r="Q478" s="0" t="inlineStr">
        <is>
          <t xml:space="preserve">4</t>
        </is>
      </c>
      <c r="R478" s="7" t="inlineStr">
        <is>
          <t xml:space="preserve">411000|C001</t>
        </is>
      </c>
    </row>
    <row r="479">
      <c r="A479" s="4" t="inlineStr">
        <is>
          <t xml:space="preserve">VT</t>
        </is>
      </c>
      <c r="B479" s="0" t="inlineStr">
        <is>
          <t xml:space="preserve">Journal des ventes</t>
        </is>
      </c>
      <c r="C479" s="0" t="inlineStr">
        <is>
          <t xml:space="preserve">VT00036</t>
        </is>
      </c>
      <c r="D479" s="10">
        <v>45475</v>
      </c>
      <c r="E479" s="4" t="inlineStr">
        <is>
          <t xml:space="preserve">411000</t>
        </is>
      </c>
      <c r="F479" s="0" t="inlineStr">
        <is>
          <t xml:space="preserve">Clients</t>
        </is>
      </c>
      <c r="G479" s="0" t="inlineStr">
        <is>
          <t xml:space="preserve">FA2024-0036</t>
        </is>
      </c>
      <c r="H479" s="0" t="inlineStr">
        <is>
          <t xml:space="preserve">Facture FA2024-0036 Agence Mobilis</t>
        </is>
      </c>
      <c r="I479" s="8">
        <v>51312.44</v>
      </c>
      <c r="J479" s="8">
        <v>0</v>
      </c>
      <c r="K479" s="0" t="inlineStr">
        <is>
          <t xml:space="preserve">AAO</t>
        </is>
      </c>
      <c r="L479" s="0" t="inlineStr">
        <is>
          <t xml:space="preserve">Agence Mobilis</t>
        </is>
      </c>
      <c r="M479" s="8">
        <f>I479-J479</f>
      </c>
      <c r="N479" s="0" t="inlineStr">
        <is>
          <t xml:space="preserve">2024-07</t>
        </is>
      </c>
      <c r="O479" s="0">
        <f>INDEX(Journaux!$E$5:$E$18,MATCH("2024|"&amp;A479,Journaux!$A$5:$A$18,0))</f>
      </c>
      <c r="P479" s="0">
        <f>INDEX(Comptes!$H$5:$H$42,MATCH(E479,Comptes!$A$5:$A$42,0))</f>
      </c>
      <c r="Q479" s="0" t="inlineStr">
        <is>
          <t xml:space="preserve">4</t>
        </is>
      </c>
      <c r="R479" s="7" t="inlineStr">
        <is>
          <t xml:space="preserve">411000|C002</t>
        </is>
      </c>
    </row>
    <row r="480">
      <c r="A480" s="4" t="inlineStr">
        <is>
          <t xml:space="preserve">VT</t>
        </is>
      </c>
      <c r="B480" s="0" t="inlineStr">
        <is>
          <t xml:space="preserve">Journal des ventes</t>
        </is>
      </c>
      <c r="C480" s="0" t="inlineStr">
        <is>
          <t xml:space="preserve">VT00036</t>
        </is>
      </c>
      <c r="D480" s="10">
        <v>45475</v>
      </c>
      <c r="E480" s="4" t="inlineStr">
        <is>
          <t xml:space="preserve">701000</t>
        </is>
      </c>
      <c r="F480" s="0" t="inlineStr">
        <is>
          <t xml:space="preserve">Ventes de produits finis</t>
        </is>
      </c>
      <c r="G480" s="0" t="inlineStr">
        <is>
          <t xml:space="preserve">FA2024-0036</t>
        </is>
      </c>
      <c r="H480" s="0" t="inlineStr">
        <is>
          <t xml:space="preserve">Facture FA2024-0036 Agence Mobilis</t>
        </is>
      </c>
      <c r="I480" s="8">
        <v>0</v>
      </c>
      <c r="J480" s="8">
        <v>42760.37</v>
      </c>
      <c r="K480" s="0"/>
      <c r="L480" s="0"/>
      <c r="M480" s="8">
        <f>I480-J480</f>
      </c>
      <c r="N480" s="0" t="inlineStr">
        <is>
          <t xml:space="preserve">2024-07</t>
        </is>
      </c>
      <c r="O480" s="0">
        <f>INDEX(Journaux!$E$5:$E$18,MATCH("2024|"&amp;A480,Journaux!$A$5:$A$18,0))</f>
      </c>
      <c r="P480" s="0">
        <f>INDEX(Comptes!$H$5:$H$42,MATCH(E480,Comptes!$A$5:$A$42,0))</f>
      </c>
      <c r="Q480" s="0" t="inlineStr">
        <is>
          <t xml:space="preserve">7</t>
        </is>
      </c>
    </row>
    <row r="481">
      <c r="A481" s="4" t="inlineStr">
        <is>
          <t xml:space="preserve">VT</t>
        </is>
      </c>
      <c r="B481" s="0" t="inlineStr">
        <is>
          <t xml:space="preserve">Journal des ventes</t>
        </is>
      </c>
      <c r="C481" s="0" t="inlineStr">
        <is>
          <t xml:space="preserve">VT00036</t>
        </is>
      </c>
      <c r="D481" s="10">
        <v>45475</v>
      </c>
      <c r="E481" s="4" t="inlineStr">
        <is>
          <t xml:space="preserve">445710</t>
        </is>
      </c>
      <c r="F481" s="0" t="inlineStr">
        <is>
          <t xml:space="preserve">TVA collectee</t>
        </is>
      </c>
      <c r="G481" s="0" t="inlineStr">
        <is>
          <t xml:space="preserve">FA2024-0036</t>
        </is>
      </c>
      <c r="H481" s="0" t="inlineStr">
        <is>
          <t xml:space="preserve">Facture FA2024-0036 Agence Mobilis</t>
        </is>
      </c>
      <c r="I481" s="8">
        <v>0</v>
      </c>
      <c r="J481" s="8">
        <v>8552.07</v>
      </c>
      <c r="K481" s="0"/>
      <c r="L481" s="0"/>
      <c r="M481" s="8">
        <f>I481-J481</f>
      </c>
      <c r="N481" s="0" t="inlineStr">
        <is>
          <t xml:space="preserve">2024-07</t>
        </is>
      </c>
      <c r="O481" s="0">
        <f>INDEX(Journaux!$E$5:$E$18,MATCH("2024|"&amp;A481,Journaux!$A$5:$A$18,0))</f>
      </c>
      <c r="P481" s="0">
        <f>INDEX(Comptes!$H$5:$H$42,MATCH(E481,Comptes!$A$5:$A$42,0))</f>
      </c>
      <c r="Q481" s="0" t="inlineStr">
        <is>
          <t xml:space="preserve">4</t>
        </is>
      </c>
    </row>
    <row r="482">
      <c r="A482" s="4" t="inlineStr">
        <is>
          <t xml:space="preserve">VT</t>
        </is>
      </c>
      <c r="B482" s="0" t="inlineStr">
        <is>
          <t xml:space="preserve">Journal des ventes</t>
        </is>
      </c>
      <c r="C482" s="0" t="inlineStr">
        <is>
          <t xml:space="preserve">VT00037</t>
        </is>
      </c>
      <c r="D482" s="10">
        <v>45476</v>
      </c>
      <c r="E482" s="4" t="inlineStr">
        <is>
          <t xml:space="preserve">411000</t>
        </is>
      </c>
      <c r="F482" s="0" t="inlineStr">
        <is>
          <t xml:space="preserve">Clients</t>
        </is>
      </c>
      <c r="G482" s="0" t="inlineStr">
        <is>
          <t xml:space="preserve">FA2024-0037</t>
        </is>
      </c>
      <c r="H482" s="0" t="inlineStr">
        <is>
          <t xml:space="preserve">Facture FA2024-0037 Hotel Les Tilleuls</t>
        </is>
      </c>
      <c r="I482" s="8">
        <v>45036.26</v>
      </c>
      <c r="J482" s="8">
        <v>0</v>
      </c>
      <c r="K482" s="0" t="inlineStr">
        <is>
          <t xml:space="preserve">AAP</t>
        </is>
      </c>
      <c r="L482" s="0" t="inlineStr">
        <is>
          <t xml:space="preserve">Hotel Les Tilleuls</t>
        </is>
      </c>
      <c r="M482" s="8">
        <f>I482-J482</f>
      </c>
      <c r="N482" s="0" t="inlineStr">
        <is>
          <t xml:space="preserve">2024-07</t>
        </is>
      </c>
      <c r="O482" s="0">
        <f>INDEX(Journaux!$E$5:$E$18,MATCH("2024|"&amp;A482,Journaux!$A$5:$A$18,0))</f>
      </c>
      <c r="P482" s="0">
        <f>INDEX(Comptes!$H$5:$H$42,MATCH(E482,Comptes!$A$5:$A$42,0))</f>
      </c>
      <c r="Q482" s="0" t="inlineStr">
        <is>
          <t xml:space="preserve">4</t>
        </is>
      </c>
      <c r="R482" s="7" t="inlineStr">
        <is>
          <t xml:space="preserve">411000|C001</t>
        </is>
      </c>
    </row>
    <row r="483">
      <c r="A483" s="4" t="inlineStr">
        <is>
          <t xml:space="preserve">VT</t>
        </is>
      </c>
      <c r="B483" s="0" t="inlineStr">
        <is>
          <t xml:space="preserve">Journal des ventes</t>
        </is>
      </c>
      <c r="C483" s="0" t="inlineStr">
        <is>
          <t xml:space="preserve">VT00037</t>
        </is>
      </c>
      <c r="D483" s="10">
        <v>45476</v>
      </c>
      <c r="E483" s="4" t="inlineStr">
        <is>
          <t xml:space="preserve">701000</t>
        </is>
      </c>
      <c r="F483" s="0" t="inlineStr">
        <is>
          <t xml:space="preserve">Ventes de produits finis</t>
        </is>
      </c>
      <c r="G483" s="0" t="inlineStr">
        <is>
          <t xml:space="preserve">FA2024-0037</t>
        </is>
      </c>
      <c r="H483" s="0" t="inlineStr">
        <is>
          <t xml:space="preserve">Facture FA2024-0037 Hotel Les Tilleuls</t>
        </is>
      </c>
      <c r="I483" s="8">
        <v>0</v>
      </c>
      <c r="J483" s="8">
        <v>37530.22</v>
      </c>
      <c r="K483" s="0"/>
      <c r="L483" s="0"/>
      <c r="M483" s="8">
        <f>I483-J483</f>
      </c>
      <c r="N483" s="0" t="inlineStr">
        <is>
          <t xml:space="preserve">2024-07</t>
        </is>
      </c>
      <c r="O483" s="0">
        <f>INDEX(Journaux!$E$5:$E$18,MATCH("2024|"&amp;A483,Journaux!$A$5:$A$18,0))</f>
      </c>
      <c r="P483" s="0">
        <f>INDEX(Comptes!$H$5:$H$42,MATCH(E483,Comptes!$A$5:$A$42,0))</f>
      </c>
      <c r="Q483" s="0" t="inlineStr">
        <is>
          <t xml:space="preserve">7</t>
        </is>
      </c>
    </row>
    <row r="484">
      <c r="A484" s="4" t="inlineStr">
        <is>
          <t xml:space="preserve">VT</t>
        </is>
      </c>
      <c r="B484" s="0" t="inlineStr">
        <is>
          <t xml:space="preserve">Journal des ventes</t>
        </is>
      </c>
      <c r="C484" s="0" t="inlineStr">
        <is>
          <t xml:space="preserve">VT00037</t>
        </is>
      </c>
      <c r="D484" s="10">
        <v>45476</v>
      </c>
      <c r="E484" s="4" t="inlineStr">
        <is>
          <t xml:space="preserve">445710</t>
        </is>
      </c>
      <c r="F484" s="0" t="inlineStr">
        <is>
          <t xml:space="preserve">TVA collectee</t>
        </is>
      </c>
      <c r="G484" s="0" t="inlineStr">
        <is>
          <t xml:space="preserve">FA2024-0037</t>
        </is>
      </c>
      <c r="H484" s="0" t="inlineStr">
        <is>
          <t xml:space="preserve">Facture FA2024-0037 Hotel Les Tilleuls</t>
        </is>
      </c>
      <c r="I484" s="8">
        <v>0</v>
      </c>
      <c r="J484" s="8">
        <v>7506.04</v>
      </c>
      <c r="K484" s="0"/>
      <c r="L484" s="0"/>
      <c r="M484" s="8">
        <f>I484-J484</f>
      </c>
      <c r="N484" s="0" t="inlineStr">
        <is>
          <t xml:space="preserve">2024-07</t>
        </is>
      </c>
      <c r="O484" s="0">
        <f>INDEX(Journaux!$E$5:$E$18,MATCH("2024|"&amp;A484,Journaux!$A$5:$A$18,0))</f>
      </c>
      <c r="P484" s="0">
        <f>INDEX(Comptes!$H$5:$H$42,MATCH(E484,Comptes!$A$5:$A$42,0))</f>
      </c>
      <c r="Q484" s="0" t="inlineStr">
        <is>
          <t xml:space="preserve">4</t>
        </is>
      </c>
    </row>
    <row r="485">
      <c r="A485" s="4" t="inlineStr">
        <is>
          <t xml:space="preserve">AC</t>
        </is>
      </c>
      <c r="B485" s="0" t="inlineStr">
        <is>
          <t xml:space="preserve">Journal des achats</t>
        </is>
      </c>
      <c r="C485" s="0" t="inlineStr">
        <is>
          <t xml:space="preserve">AC00041</t>
        </is>
      </c>
      <c r="D485" s="10">
        <v>45478</v>
      </c>
      <c r="E485" s="4" t="inlineStr">
        <is>
          <t xml:space="preserve">613200</t>
        </is>
      </c>
      <c r="F485" s="0" t="inlineStr">
        <is>
          <t xml:space="preserve">Locations immobilieres</t>
        </is>
      </c>
      <c r="G485" s="0" t="inlineStr">
        <is>
          <t xml:space="preserve">F004-202407</t>
        </is>
      </c>
      <c r="H485" s="0" t="inlineStr">
        <is>
          <t xml:space="preserve">Facture SCI Les Halles 2024-07</t>
        </is>
      </c>
      <c r="I485" s="8">
        <v>8500</v>
      </c>
      <c r="J485" s="8">
        <v>0</v>
      </c>
      <c r="K485" s="0"/>
      <c r="L485" s="0"/>
      <c r="M485" s="8">
        <f>I485-J485</f>
      </c>
      <c r="N485" s="0" t="inlineStr">
        <is>
          <t xml:space="preserve">2024-07</t>
        </is>
      </c>
      <c r="O485" s="0">
        <f>INDEX(Journaux!$E$5:$E$18,MATCH("2024|"&amp;A485,Journaux!$A$5:$A$18,0))</f>
      </c>
      <c r="P485" s="0">
        <f>INDEX(Comptes!$H$5:$H$42,MATCH(E485,Comptes!$A$5:$A$42,0))</f>
      </c>
      <c r="Q485" s="0" t="inlineStr">
        <is>
          <t xml:space="preserve">6</t>
        </is>
      </c>
    </row>
    <row r="486">
      <c r="A486" s="4" t="inlineStr">
        <is>
          <t xml:space="preserve">AC</t>
        </is>
      </c>
      <c r="B486" s="0" t="inlineStr">
        <is>
          <t xml:space="preserve">Journal des achats</t>
        </is>
      </c>
      <c r="C486" s="0" t="inlineStr">
        <is>
          <t xml:space="preserve">AC00041</t>
        </is>
      </c>
      <c r="D486" s="10">
        <v>45478</v>
      </c>
      <c r="E486" s="4" t="inlineStr">
        <is>
          <t xml:space="preserve">445660</t>
        </is>
      </c>
      <c r="F486" s="0" t="inlineStr">
        <is>
          <t xml:space="preserve">TVA deductible sur ABS</t>
        </is>
      </c>
      <c r="G486" s="0" t="inlineStr">
        <is>
          <t xml:space="preserve">F004-202407</t>
        </is>
      </c>
      <c r="H486" s="0" t="inlineStr">
        <is>
          <t xml:space="preserve">Facture SCI Les Halles 2024-07</t>
        </is>
      </c>
      <c r="I486" s="8">
        <v>1700</v>
      </c>
      <c r="J486" s="8">
        <v>0</v>
      </c>
      <c r="K486" s="0"/>
      <c r="L486" s="0"/>
      <c r="M486" s="8">
        <f>I486-J486</f>
      </c>
      <c r="N486" s="0" t="inlineStr">
        <is>
          <t xml:space="preserve">2024-07</t>
        </is>
      </c>
      <c r="O486" s="0">
        <f>INDEX(Journaux!$E$5:$E$18,MATCH("2024|"&amp;A486,Journaux!$A$5:$A$18,0))</f>
      </c>
      <c r="P486" s="0">
        <f>INDEX(Comptes!$H$5:$H$42,MATCH(E486,Comptes!$A$5:$A$42,0))</f>
      </c>
      <c r="Q486" s="0" t="inlineStr">
        <is>
          <t xml:space="preserve">4</t>
        </is>
      </c>
    </row>
    <row r="487">
      <c r="A487" s="4" t="inlineStr">
        <is>
          <t xml:space="preserve">AC</t>
        </is>
      </c>
      <c r="B487" s="0" t="inlineStr">
        <is>
          <t xml:space="preserve">Journal des achats</t>
        </is>
      </c>
      <c r="C487" s="0" t="inlineStr">
        <is>
          <t xml:space="preserve">AC00041</t>
        </is>
      </c>
      <c r="D487" s="10">
        <v>45478</v>
      </c>
      <c r="E487" s="4" t="inlineStr">
        <is>
          <t xml:space="preserve">401000</t>
        </is>
      </c>
      <c r="F487" s="0" t="inlineStr">
        <is>
          <t xml:space="preserve">Fournisseurs</t>
        </is>
      </c>
      <c r="G487" s="0" t="inlineStr">
        <is>
          <t xml:space="preserve">F004-202407</t>
        </is>
      </c>
      <c r="H487" s="0" t="inlineStr">
        <is>
          <t xml:space="preserve">Facture SCI Les Halles 2024-07</t>
        </is>
      </c>
      <c r="I487" s="8">
        <v>0</v>
      </c>
      <c r="J487" s="8">
        <v>10200</v>
      </c>
      <c r="K487" s="0" t="inlineStr">
        <is>
          <t xml:space="preserve">ADA</t>
        </is>
      </c>
      <c r="L487" s="0" t="inlineStr">
        <is>
          <t xml:space="preserve">SCI Les Halles</t>
        </is>
      </c>
      <c r="M487" s="8">
        <f>I487-J487</f>
      </c>
      <c r="N487" s="0" t="inlineStr">
        <is>
          <t xml:space="preserve">2024-07</t>
        </is>
      </c>
      <c r="O487" s="0">
        <f>INDEX(Journaux!$E$5:$E$18,MATCH("2024|"&amp;A487,Journaux!$A$5:$A$18,0))</f>
      </c>
      <c r="P487" s="0">
        <f>INDEX(Comptes!$H$5:$H$42,MATCH(E487,Comptes!$A$5:$A$42,0))</f>
      </c>
      <c r="Q487" s="0" t="inlineStr">
        <is>
          <t xml:space="preserve">4</t>
        </is>
      </c>
      <c r="R487" s="7" t="inlineStr">
        <is>
          <t xml:space="preserve">401000|F004</t>
        </is>
      </c>
    </row>
    <row r="488">
      <c r="A488" s="4" t="inlineStr">
        <is>
          <t xml:space="preserve">AC</t>
        </is>
      </c>
      <c r="B488" s="0" t="inlineStr">
        <is>
          <t xml:space="preserve">Journal des achats</t>
        </is>
      </c>
      <c r="C488" s="0" t="inlineStr">
        <is>
          <t xml:space="preserve">AC00042</t>
        </is>
      </c>
      <c r="D488" s="10">
        <v>45478</v>
      </c>
      <c r="E488" s="4" t="inlineStr">
        <is>
          <t xml:space="preserve">606100</t>
        </is>
      </c>
      <c r="F488" s="0" t="inlineStr">
        <is>
          <t xml:space="preserve">Fournitures non stockables energie</t>
        </is>
      </c>
      <c r="G488" s="0" t="inlineStr">
        <is>
          <t xml:space="preserve">F005-202407</t>
        </is>
      </c>
      <c r="H488" s="0" t="inlineStr">
        <is>
          <t xml:space="preserve">Facture Energie Plus 2024-07</t>
        </is>
      </c>
      <c r="I488" s="8">
        <v>2758.02</v>
      </c>
      <c r="J488" s="8">
        <v>0</v>
      </c>
      <c r="K488" s="0"/>
      <c r="L488" s="0"/>
      <c r="M488" s="8">
        <f>I488-J488</f>
      </c>
      <c r="N488" s="0" t="inlineStr">
        <is>
          <t xml:space="preserve">2024-07</t>
        </is>
      </c>
      <c r="O488" s="0">
        <f>INDEX(Journaux!$E$5:$E$18,MATCH("2024|"&amp;A488,Journaux!$A$5:$A$18,0))</f>
      </c>
      <c r="P488" s="0">
        <f>INDEX(Comptes!$H$5:$H$42,MATCH(E488,Comptes!$A$5:$A$42,0))</f>
      </c>
      <c r="Q488" s="0" t="inlineStr">
        <is>
          <t xml:space="preserve">6</t>
        </is>
      </c>
    </row>
    <row r="489">
      <c r="A489" s="4" t="inlineStr">
        <is>
          <t xml:space="preserve">AC</t>
        </is>
      </c>
      <c r="B489" s="0" t="inlineStr">
        <is>
          <t xml:space="preserve">Journal des achats</t>
        </is>
      </c>
      <c r="C489" s="0" t="inlineStr">
        <is>
          <t xml:space="preserve">AC00042</t>
        </is>
      </c>
      <c r="D489" s="10">
        <v>45478</v>
      </c>
      <c r="E489" s="4" t="inlineStr">
        <is>
          <t xml:space="preserve">445660</t>
        </is>
      </c>
      <c r="F489" s="0" t="inlineStr">
        <is>
          <t xml:space="preserve">TVA deductible sur ABS</t>
        </is>
      </c>
      <c r="G489" s="0" t="inlineStr">
        <is>
          <t xml:space="preserve">F005-202407</t>
        </is>
      </c>
      <c r="H489" s="0" t="inlineStr">
        <is>
          <t xml:space="preserve">Facture Energie Plus 2024-07</t>
        </is>
      </c>
      <c r="I489" s="8">
        <v>551.6</v>
      </c>
      <c r="J489" s="8">
        <v>0</v>
      </c>
      <c r="K489" s="0"/>
      <c r="L489" s="0"/>
      <c r="M489" s="8">
        <f>I489-J489</f>
      </c>
      <c r="N489" s="0" t="inlineStr">
        <is>
          <t xml:space="preserve">2024-07</t>
        </is>
      </c>
      <c r="O489" s="0">
        <f>INDEX(Journaux!$E$5:$E$18,MATCH("2024|"&amp;A489,Journaux!$A$5:$A$18,0))</f>
      </c>
      <c r="P489" s="0">
        <f>INDEX(Comptes!$H$5:$H$42,MATCH(E489,Comptes!$A$5:$A$42,0))</f>
      </c>
      <c r="Q489" s="0" t="inlineStr">
        <is>
          <t xml:space="preserve">4</t>
        </is>
      </c>
    </row>
    <row r="490">
      <c r="A490" s="4" t="inlineStr">
        <is>
          <t xml:space="preserve">AC</t>
        </is>
      </c>
      <c r="B490" s="0" t="inlineStr">
        <is>
          <t xml:space="preserve">Journal des achats</t>
        </is>
      </c>
      <c r="C490" s="0" t="inlineStr">
        <is>
          <t xml:space="preserve">AC00042</t>
        </is>
      </c>
      <c r="D490" s="10">
        <v>45478</v>
      </c>
      <c r="E490" s="4" t="inlineStr">
        <is>
          <t xml:space="preserve">401000</t>
        </is>
      </c>
      <c r="F490" s="0" t="inlineStr">
        <is>
          <t xml:space="preserve">Fournisseurs</t>
        </is>
      </c>
      <c r="G490" s="0" t="inlineStr">
        <is>
          <t xml:space="preserve">F005-202407</t>
        </is>
      </c>
      <c r="H490" s="0" t="inlineStr">
        <is>
          <t xml:space="preserve">Facture Energie Plus 2024-07</t>
        </is>
      </c>
      <c r="I490" s="8">
        <v>0</v>
      </c>
      <c r="J490" s="8">
        <v>3309.62</v>
      </c>
      <c r="K490" s="0" t="inlineStr">
        <is>
          <t xml:space="preserve">ADB</t>
        </is>
      </c>
      <c r="L490" s="0" t="inlineStr">
        <is>
          <t xml:space="preserve">Energie Plus</t>
        </is>
      </c>
      <c r="M490" s="8">
        <f>I490-J490</f>
      </c>
      <c r="N490" s="0" t="inlineStr">
        <is>
          <t xml:space="preserve">2024-07</t>
        </is>
      </c>
      <c r="O490" s="0">
        <f>INDEX(Journaux!$E$5:$E$18,MATCH("2024|"&amp;A490,Journaux!$A$5:$A$18,0))</f>
      </c>
      <c r="P490" s="0">
        <f>INDEX(Comptes!$H$5:$H$42,MATCH(E490,Comptes!$A$5:$A$42,0))</f>
      </c>
      <c r="Q490" s="0" t="inlineStr">
        <is>
          <t xml:space="preserve">4</t>
        </is>
      </c>
      <c r="R490" s="7" t="inlineStr">
        <is>
          <t xml:space="preserve">401000|F005</t>
        </is>
      </c>
    </row>
    <row r="491">
      <c r="A491" s="4" t="inlineStr">
        <is>
          <t xml:space="preserve">AC</t>
        </is>
      </c>
      <c r="B491" s="0" t="inlineStr">
        <is>
          <t xml:space="preserve">Journal des achats</t>
        </is>
      </c>
      <c r="C491" s="0" t="inlineStr">
        <is>
          <t xml:space="preserve">AC00043</t>
        </is>
      </c>
      <c r="D491" s="10">
        <v>45478</v>
      </c>
      <c r="E491" s="4" t="inlineStr">
        <is>
          <t xml:space="preserve">626000</t>
        </is>
      </c>
      <c r="F491" s="0" t="inlineStr">
        <is>
          <t xml:space="preserve">Frais postaux et telecommunications</t>
        </is>
      </c>
      <c r="G491" s="0" t="inlineStr">
        <is>
          <t xml:space="preserve">F008-202407</t>
        </is>
      </c>
      <c r="H491" s="0" t="inlineStr">
        <is>
          <t xml:space="preserve">Facture Telecom Pro 2024-07</t>
        </is>
      </c>
      <c r="I491" s="8">
        <v>480</v>
      </c>
      <c r="J491" s="8">
        <v>0</v>
      </c>
      <c r="K491" s="0"/>
      <c r="L491" s="0"/>
      <c r="M491" s="8">
        <f>I491-J491</f>
      </c>
      <c r="N491" s="0" t="inlineStr">
        <is>
          <t xml:space="preserve">2024-07</t>
        </is>
      </c>
      <c r="O491" s="0">
        <f>INDEX(Journaux!$E$5:$E$18,MATCH("2024|"&amp;A491,Journaux!$A$5:$A$18,0))</f>
      </c>
      <c r="P491" s="0">
        <f>INDEX(Comptes!$H$5:$H$42,MATCH(E491,Comptes!$A$5:$A$42,0))</f>
      </c>
      <c r="Q491" s="0" t="inlineStr">
        <is>
          <t xml:space="preserve">6</t>
        </is>
      </c>
    </row>
    <row r="492">
      <c r="A492" s="4" t="inlineStr">
        <is>
          <t xml:space="preserve">AC</t>
        </is>
      </c>
      <c r="B492" s="0" t="inlineStr">
        <is>
          <t xml:space="preserve">Journal des achats</t>
        </is>
      </c>
      <c r="C492" s="0" t="inlineStr">
        <is>
          <t xml:space="preserve">AC00043</t>
        </is>
      </c>
      <c r="D492" s="10">
        <v>45478</v>
      </c>
      <c r="E492" s="4" t="inlineStr">
        <is>
          <t xml:space="preserve">445660</t>
        </is>
      </c>
      <c r="F492" s="0" t="inlineStr">
        <is>
          <t xml:space="preserve">TVA deductible sur ABS</t>
        </is>
      </c>
      <c r="G492" s="0" t="inlineStr">
        <is>
          <t xml:space="preserve">F008-202407</t>
        </is>
      </c>
      <c r="H492" s="0" t="inlineStr">
        <is>
          <t xml:space="preserve">Facture Telecom Pro 2024-07</t>
        </is>
      </c>
      <c r="I492" s="8">
        <v>96</v>
      </c>
      <c r="J492" s="8">
        <v>0</v>
      </c>
      <c r="K492" s="0"/>
      <c r="L492" s="0"/>
      <c r="M492" s="8">
        <f>I492-J492</f>
      </c>
      <c r="N492" s="0" t="inlineStr">
        <is>
          <t xml:space="preserve">2024-07</t>
        </is>
      </c>
      <c r="O492" s="0">
        <f>INDEX(Journaux!$E$5:$E$18,MATCH("2024|"&amp;A492,Journaux!$A$5:$A$18,0))</f>
      </c>
      <c r="P492" s="0">
        <f>INDEX(Comptes!$H$5:$H$42,MATCH(E492,Comptes!$A$5:$A$42,0))</f>
      </c>
      <c r="Q492" s="0" t="inlineStr">
        <is>
          <t xml:space="preserve">4</t>
        </is>
      </c>
    </row>
    <row r="493">
      <c r="A493" s="4" t="inlineStr">
        <is>
          <t xml:space="preserve">AC</t>
        </is>
      </c>
      <c r="B493" s="0" t="inlineStr">
        <is>
          <t xml:space="preserve">Journal des achats</t>
        </is>
      </c>
      <c r="C493" s="0" t="inlineStr">
        <is>
          <t xml:space="preserve">AC00043</t>
        </is>
      </c>
      <c r="D493" s="10">
        <v>45478</v>
      </c>
      <c r="E493" s="4" t="inlineStr">
        <is>
          <t xml:space="preserve">401000</t>
        </is>
      </c>
      <c r="F493" s="0" t="inlineStr">
        <is>
          <t xml:space="preserve">Fournisseurs</t>
        </is>
      </c>
      <c r="G493" s="0" t="inlineStr">
        <is>
          <t xml:space="preserve">F008-202407</t>
        </is>
      </c>
      <c r="H493" s="0" t="inlineStr">
        <is>
          <t xml:space="preserve">Facture Telecom Pro 2024-07</t>
        </is>
      </c>
      <c r="I493" s="8">
        <v>0</v>
      </c>
      <c r="J493" s="8">
        <v>576</v>
      </c>
      <c r="K493" s="0" t="inlineStr">
        <is>
          <t xml:space="preserve">ADC</t>
        </is>
      </c>
      <c r="L493" s="0" t="inlineStr">
        <is>
          <t xml:space="preserve">Telecom Pro</t>
        </is>
      </c>
      <c r="M493" s="8">
        <f>I493-J493</f>
      </c>
      <c r="N493" s="0" t="inlineStr">
        <is>
          <t xml:space="preserve">2024-07</t>
        </is>
      </c>
      <c r="O493" s="0">
        <f>INDEX(Journaux!$E$5:$E$18,MATCH("2024|"&amp;A493,Journaux!$A$5:$A$18,0))</f>
      </c>
      <c r="P493" s="0">
        <f>INDEX(Comptes!$H$5:$H$42,MATCH(E493,Comptes!$A$5:$A$42,0))</f>
      </c>
      <c r="Q493" s="0" t="inlineStr">
        <is>
          <t xml:space="preserve">4</t>
        </is>
      </c>
      <c r="R493" s="7" t="inlineStr">
        <is>
          <t xml:space="preserve">401000|F008</t>
        </is>
      </c>
    </row>
    <row r="494">
      <c r="A494" s="4" t="inlineStr">
        <is>
          <t xml:space="preserve">AC</t>
        </is>
      </c>
      <c r="B494" s="0" t="inlineStr">
        <is>
          <t xml:space="preserve">Journal des achats</t>
        </is>
      </c>
      <c r="C494" s="0" t="inlineStr">
        <is>
          <t xml:space="preserve">AC00044</t>
        </is>
      </c>
      <c r="D494" s="10">
        <v>45478</v>
      </c>
      <c r="E494" s="4" t="inlineStr">
        <is>
          <t xml:space="preserve">616000</t>
        </is>
      </c>
      <c r="F494" s="0" t="inlineStr">
        <is>
          <t xml:space="preserve">Primes d'assurance</t>
        </is>
      </c>
      <c r="G494" s="0" t="inlineStr">
        <is>
          <t xml:space="preserve">F006-202407</t>
        </is>
      </c>
      <c r="H494" s="0" t="inlineStr">
        <is>
          <t xml:space="preserve">Facture Assurances Mutuelles Exemple 2024-07</t>
        </is>
      </c>
      <c r="I494" s="8">
        <v>3000</v>
      </c>
      <c r="J494" s="8">
        <v>0</v>
      </c>
      <c r="K494" s="0"/>
      <c r="L494" s="0"/>
      <c r="M494" s="8">
        <f>I494-J494</f>
      </c>
      <c r="N494" s="0" t="inlineStr">
        <is>
          <t xml:space="preserve">2024-07</t>
        </is>
      </c>
      <c r="O494" s="0">
        <f>INDEX(Journaux!$E$5:$E$18,MATCH("2024|"&amp;A494,Journaux!$A$5:$A$18,0))</f>
      </c>
      <c r="P494" s="0">
        <f>INDEX(Comptes!$H$5:$H$42,MATCH(E494,Comptes!$A$5:$A$42,0))</f>
      </c>
      <c r="Q494" s="0" t="inlineStr">
        <is>
          <t xml:space="preserve">6</t>
        </is>
      </c>
    </row>
    <row r="495">
      <c r="A495" s="4" t="inlineStr">
        <is>
          <t xml:space="preserve">AC</t>
        </is>
      </c>
      <c r="B495" s="0" t="inlineStr">
        <is>
          <t xml:space="preserve">Journal des achats</t>
        </is>
      </c>
      <c r="C495" s="0" t="inlineStr">
        <is>
          <t xml:space="preserve">AC00044</t>
        </is>
      </c>
      <c r="D495" s="10">
        <v>45478</v>
      </c>
      <c r="E495" s="4" t="inlineStr">
        <is>
          <t xml:space="preserve">401000</t>
        </is>
      </c>
      <c r="F495" s="0" t="inlineStr">
        <is>
          <t xml:space="preserve">Fournisseurs</t>
        </is>
      </c>
      <c r="G495" s="0" t="inlineStr">
        <is>
          <t xml:space="preserve">F006-202407</t>
        </is>
      </c>
      <c r="H495" s="0" t="inlineStr">
        <is>
          <t xml:space="preserve">Facture Assurances Mutuelles Exemple 2024-07</t>
        </is>
      </c>
      <c r="I495" s="8">
        <v>0</v>
      </c>
      <c r="J495" s="8">
        <v>3000</v>
      </c>
      <c r="K495" s="0" t="inlineStr">
        <is>
          <t xml:space="preserve">ADD</t>
        </is>
      </c>
      <c r="L495" s="0" t="inlineStr">
        <is>
          <t xml:space="preserve">Assurances Mutuelles Exemple</t>
        </is>
      </c>
      <c r="M495" s="8">
        <f>I495-J495</f>
      </c>
      <c r="N495" s="0" t="inlineStr">
        <is>
          <t xml:space="preserve">2024-07</t>
        </is>
      </c>
      <c r="O495" s="0">
        <f>INDEX(Journaux!$E$5:$E$18,MATCH("2024|"&amp;A495,Journaux!$A$5:$A$18,0))</f>
      </c>
      <c r="P495" s="0">
        <f>INDEX(Comptes!$H$5:$H$42,MATCH(E495,Comptes!$A$5:$A$42,0))</f>
      </c>
      <c r="Q495" s="0" t="inlineStr">
        <is>
          <t xml:space="preserve">4</t>
        </is>
      </c>
      <c r="R495" s="7" t="inlineStr">
        <is>
          <t xml:space="preserve">401000|F006</t>
        </is>
      </c>
    </row>
    <row r="496">
      <c r="A496" s="4" t="inlineStr">
        <is>
          <t xml:space="preserve">BQ</t>
        </is>
      </c>
      <c r="B496" s="0" t="inlineStr">
        <is>
          <t xml:space="preserve">Banque Fictive</t>
        </is>
      </c>
      <c r="C496" s="0" t="inlineStr">
        <is>
          <t xml:space="preserve">BQ00159</t>
        </is>
      </c>
      <c r="D496" s="10">
        <v>45478</v>
      </c>
      <c r="E496" s="4" t="inlineStr">
        <is>
          <t xml:space="preserve">401000</t>
        </is>
      </c>
      <c r="F496" s="0" t="inlineStr">
        <is>
          <t xml:space="preserve">Fournisseurs</t>
        </is>
      </c>
      <c r="G496" s="0" t="inlineStr">
        <is>
          <t xml:space="preserve">DEC-F004-202406</t>
        </is>
      </c>
      <c r="H496" s="0" t="inlineStr">
        <is>
          <t xml:space="preserve">Reglement fournisseur SCI Les Halles F004-202406</t>
        </is>
      </c>
      <c r="I496" s="8">
        <v>10200</v>
      </c>
      <c r="J496" s="8">
        <v>0</v>
      </c>
      <c r="K496" s="0" t="inlineStr">
        <is>
          <t xml:space="preserve">ACU</t>
        </is>
      </c>
      <c r="L496" s="0" t="inlineStr">
        <is>
          <t xml:space="preserve">SCI Les Halles</t>
        </is>
      </c>
      <c r="M496" s="8">
        <f>I496-J496</f>
      </c>
      <c r="N496" s="0" t="inlineStr">
        <is>
          <t xml:space="preserve">2024-07</t>
        </is>
      </c>
      <c r="O496" s="0">
        <f>INDEX(Journaux!$E$5:$E$18,MATCH("2024|"&amp;A496,Journaux!$A$5:$A$18,0))</f>
      </c>
      <c r="P496" s="0">
        <f>INDEX(Comptes!$H$5:$H$42,MATCH(E496,Comptes!$A$5:$A$42,0))</f>
      </c>
      <c r="Q496" s="0" t="inlineStr">
        <is>
          <t xml:space="preserve">4</t>
        </is>
      </c>
      <c r="R496" s="7" t="inlineStr">
        <is>
          <t xml:space="preserve">401000|F004</t>
        </is>
      </c>
    </row>
    <row r="497">
      <c r="A497" s="4" t="inlineStr">
        <is>
          <t xml:space="preserve">BQ</t>
        </is>
      </c>
      <c r="B497" s="0" t="inlineStr">
        <is>
          <t xml:space="preserve">Banque Fictive</t>
        </is>
      </c>
      <c r="C497" s="0" t="inlineStr">
        <is>
          <t xml:space="preserve">BQ00159</t>
        </is>
      </c>
      <c r="D497" s="10">
        <v>45478</v>
      </c>
      <c r="E497" s="4" t="inlineStr">
        <is>
          <t xml:space="preserve">512000</t>
        </is>
      </c>
      <c r="F497" s="0" t="inlineStr">
        <is>
          <t xml:space="preserve">Banque Fictive</t>
        </is>
      </c>
      <c r="G497" s="0" t="inlineStr">
        <is>
          <t xml:space="preserve">DEC-F004-202406</t>
        </is>
      </c>
      <c r="H497" s="0" t="inlineStr">
        <is>
          <t xml:space="preserve">Reglement fournisseur SCI Les Halles F004-202406</t>
        </is>
      </c>
      <c r="I497" s="8">
        <v>0</v>
      </c>
      <c r="J497" s="8">
        <v>10200</v>
      </c>
      <c r="K497" s="0"/>
      <c r="L497" s="0"/>
      <c r="M497" s="8">
        <f>I497-J497</f>
      </c>
      <c r="N497" s="0" t="inlineStr">
        <is>
          <t xml:space="preserve">2024-07</t>
        </is>
      </c>
      <c r="O497" s="0">
        <f>INDEX(Journaux!$E$5:$E$18,MATCH("2024|"&amp;A497,Journaux!$A$5:$A$18,0))</f>
      </c>
      <c r="P497" s="0">
        <f>INDEX(Comptes!$H$5:$H$42,MATCH(E497,Comptes!$A$5:$A$42,0))</f>
      </c>
      <c r="Q497" s="0" t="inlineStr">
        <is>
          <t xml:space="preserve">5</t>
        </is>
      </c>
    </row>
    <row r="498">
      <c r="A498" s="4" t="inlineStr">
        <is>
          <t xml:space="preserve">BQ</t>
        </is>
      </c>
      <c r="B498" s="0" t="inlineStr">
        <is>
          <t xml:space="preserve">Banque Fictive</t>
        </is>
      </c>
      <c r="C498" s="0" t="inlineStr">
        <is>
          <t xml:space="preserve">BQ00160</t>
        </is>
      </c>
      <c r="D498" s="10">
        <v>45478</v>
      </c>
      <c r="E498" s="4" t="inlineStr">
        <is>
          <t xml:space="preserve">401000</t>
        </is>
      </c>
      <c r="F498" s="0" t="inlineStr">
        <is>
          <t xml:space="preserve">Fournisseurs</t>
        </is>
      </c>
      <c r="G498" s="0" t="inlineStr">
        <is>
          <t xml:space="preserve">DEC-F005-202406</t>
        </is>
      </c>
      <c r="H498" s="0" t="inlineStr">
        <is>
          <t xml:space="preserve">Reglement fournisseur Energie Plus F005-202406</t>
        </is>
      </c>
      <c r="I498" s="8">
        <v>4176.96</v>
      </c>
      <c r="J498" s="8">
        <v>0</v>
      </c>
      <c r="K498" s="0" t="inlineStr">
        <is>
          <t xml:space="preserve">ACV</t>
        </is>
      </c>
      <c r="L498" s="0" t="inlineStr">
        <is>
          <t xml:space="preserve">Energie Plus</t>
        </is>
      </c>
      <c r="M498" s="8">
        <f>I498-J498</f>
      </c>
      <c r="N498" s="0" t="inlineStr">
        <is>
          <t xml:space="preserve">2024-07</t>
        </is>
      </c>
      <c r="O498" s="0">
        <f>INDEX(Journaux!$E$5:$E$18,MATCH("2024|"&amp;A498,Journaux!$A$5:$A$18,0))</f>
      </c>
      <c r="P498" s="0">
        <f>INDEX(Comptes!$H$5:$H$42,MATCH(E498,Comptes!$A$5:$A$42,0))</f>
      </c>
      <c r="Q498" s="0" t="inlineStr">
        <is>
          <t xml:space="preserve">4</t>
        </is>
      </c>
      <c r="R498" s="7" t="inlineStr">
        <is>
          <t xml:space="preserve">401000|F005</t>
        </is>
      </c>
    </row>
    <row r="499">
      <c r="A499" s="4" t="inlineStr">
        <is>
          <t xml:space="preserve">BQ</t>
        </is>
      </c>
      <c r="B499" s="0" t="inlineStr">
        <is>
          <t xml:space="preserve">Banque Fictive</t>
        </is>
      </c>
      <c r="C499" s="0" t="inlineStr">
        <is>
          <t xml:space="preserve">BQ00160</t>
        </is>
      </c>
      <c r="D499" s="10">
        <v>45478</v>
      </c>
      <c r="E499" s="4" t="inlineStr">
        <is>
          <t xml:space="preserve">512000</t>
        </is>
      </c>
      <c r="F499" s="0" t="inlineStr">
        <is>
          <t xml:space="preserve">Banque Fictive</t>
        </is>
      </c>
      <c r="G499" s="0" t="inlineStr">
        <is>
          <t xml:space="preserve">DEC-F005-202406</t>
        </is>
      </c>
      <c r="H499" s="0" t="inlineStr">
        <is>
          <t xml:space="preserve">Reglement fournisseur Energie Plus F005-202406</t>
        </is>
      </c>
      <c r="I499" s="8">
        <v>0</v>
      </c>
      <c r="J499" s="8">
        <v>4176.96</v>
      </c>
      <c r="K499" s="0"/>
      <c r="L499" s="0"/>
      <c r="M499" s="8">
        <f>I499-J499</f>
      </c>
      <c r="N499" s="0" t="inlineStr">
        <is>
          <t xml:space="preserve">2024-07</t>
        </is>
      </c>
      <c r="O499" s="0">
        <f>INDEX(Journaux!$E$5:$E$18,MATCH("2024|"&amp;A499,Journaux!$A$5:$A$18,0))</f>
      </c>
      <c r="P499" s="0">
        <f>INDEX(Comptes!$H$5:$H$42,MATCH(E499,Comptes!$A$5:$A$42,0))</f>
      </c>
      <c r="Q499" s="0" t="inlineStr">
        <is>
          <t xml:space="preserve">5</t>
        </is>
      </c>
    </row>
    <row r="500">
      <c r="A500" s="4" t="inlineStr">
        <is>
          <t xml:space="preserve">BQ</t>
        </is>
      </c>
      <c r="B500" s="0" t="inlineStr">
        <is>
          <t xml:space="preserve">Banque Fictive</t>
        </is>
      </c>
      <c r="C500" s="0" t="inlineStr">
        <is>
          <t xml:space="preserve">BQ00161</t>
        </is>
      </c>
      <c r="D500" s="10">
        <v>45478</v>
      </c>
      <c r="E500" s="4" t="inlineStr">
        <is>
          <t xml:space="preserve">401000</t>
        </is>
      </c>
      <c r="F500" s="0" t="inlineStr">
        <is>
          <t xml:space="preserve">Fournisseurs</t>
        </is>
      </c>
      <c r="G500" s="0" t="inlineStr">
        <is>
          <t xml:space="preserve">DEC-F008-202406</t>
        </is>
      </c>
      <c r="H500" s="0" t="inlineStr">
        <is>
          <t xml:space="preserve">Reglement fournisseur Telecom Pro F008-202406</t>
        </is>
      </c>
      <c r="I500" s="8">
        <v>576</v>
      </c>
      <c r="J500" s="8">
        <v>0</v>
      </c>
      <c r="K500" s="0" t="inlineStr">
        <is>
          <t xml:space="preserve">ACW</t>
        </is>
      </c>
      <c r="L500" s="0" t="inlineStr">
        <is>
          <t xml:space="preserve">Telecom Pro</t>
        </is>
      </c>
      <c r="M500" s="8">
        <f>I500-J500</f>
      </c>
      <c r="N500" s="0" t="inlineStr">
        <is>
          <t xml:space="preserve">2024-07</t>
        </is>
      </c>
      <c r="O500" s="0">
        <f>INDEX(Journaux!$E$5:$E$18,MATCH("2024|"&amp;A500,Journaux!$A$5:$A$18,0))</f>
      </c>
      <c r="P500" s="0">
        <f>INDEX(Comptes!$H$5:$H$42,MATCH(E500,Comptes!$A$5:$A$42,0))</f>
      </c>
      <c r="Q500" s="0" t="inlineStr">
        <is>
          <t xml:space="preserve">4</t>
        </is>
      </c>
      <c r="R500" s="7" t="inlineStr">
        <is>
          <t xml:space="preserve">401000|F008</t>
        </is>
      </c>
    </row>
    <row r="501">
      <c r="A501" s="4" t="inlineStr">
        <is>
          <t xml:space="preserve">BQ</t>
        </is>
      </c>
      <c r="B501" s="0" t="inlineStr">
        <is>
          <t xml:space="preserve">Banque Fictive</t>
        </is>
      </c>
      <c r="C501" s="0" t="inlineStr">
        <is>
          <t xml:space="preserve">BQ00161</t>
        </is>
      </c>
      <c r="D501" s="10">
        <v>45478</v>
      </c>
      <c r="E501" s="4" t="inlineStr">
        <is>
          <t xml:space="preserve">512000</t>
        </is>
      </c>
      <c r="F501" s="0" t="inlineStr">
        <is>
          <t xml:space="preserve">Banque Fictive</t>
        </is>
      </c>
      <c r="G501" s="0" t="inlineStr">
        <is>
          <t xml:space="preserve">DEC-F008-202406</t>
        </is>
      </c>
      <c r="H501" s="0" t="inlineStr">
        <is>
          <t xml:space="preserve">Reglement fournisseur Telecom Pro F008-202406</t>
        </is>
      </c>
      <c r="I501" s="8">
        <v>0</v>
      </c>
      <c r="J501" s="8">
        <v>576</v>
      </c>
      <c r="K501" s="0"/>
      <c r="L501" s="0"/>
      <c r="M501" s="8">
        <f>I501-J501</f>
      </c>
      <c r="N501" s="0" t="inlineStr">
        <is>
          <t xml:space="preserve">2024-07</t>
        </is>
      </c>
      <c r="O501" s="0">
        <f>INDEX(Journaux!$E$5:$E$18,MATCH("2024|"&amp;A501,Journaux!$A$5:$A$18,0))</f>
      </c>
      <c r="P501" s="0">
        <f>INDEX(Comptes!$H$5:$H$42,MATCH(E501,Comptes!$A$5:$A$42,0))</f>
      </c>
      <c r="Q501" s="0" t="inlineStr">
        <is>
          <t xml:space="preserve">5</t>
        </is>
      </c>
    </row>
    <row r="502">
      <c r="A502" s="4" t="inlineStr">
        <is>
          <t xml:space="preserve">BQ</t>
        </is>
      </c>
      <c r="B502" s="0" t="inlineStr">
        <is>
          <t xml:space="preserve">Banque Fictive</t>
        </is>
      </c>
      <c r="C502" s="0" t="inlineStr">
        <is>
          <t xml:space="preserve">BQ00162</t>
        </is>
      </c>
      <c r="D502" s="10">
        <v>45478</v>
      </c>
      <c r="E502" s="4" t="inlineStr">
        <is>
          <t xml:space="preserve">401000</t>
        </is>
      </c>
      <c r="F502" s="0" t="inlineStr">
        <is>
          <t xml:space="preserve">Fournisseurs</t>
        </is>
      </c>
      <c r="G502" s="0" t="inlineStr">
        <is>
          <t xml:space="preserve">DEC-F007-202406</t>
        </is>
      </c>
      <c r="H502" s="0" t="inlineStr">
        <is>
          <t xml:space="preserve">Reglement fournisseur Cabinet Comptable Exemple F007-202406</t>
        </is>
      </c>
      <c r="I502" s="8">
        <v>7200</v>
      </c>
      <c r="J502" s="8">
        <v>0</v>
      </c>
      <c r="K502" s="0" t="inlineStr">
        <is>
          <t xml:space="preserve">ACX</t>
        </is>
      </c>
      <c r="L502" s="0" t="inlineStr">
        <is>
          <t xml:space="preserve">Cabinet Comptable Exemple</t>
        </is>
      </c>
      <c r="M502" s="8">
        <f>I502-J502</f>
      </c>
      <c r="N502" s="0" t="inlineStr">
        <is>
          <t xml:space="preserve">2024-07</t>
        </is>
      </c>
      <c r="O502" s="0">
        <f>INDEX(Journaux!$E$5:$E$18,MATCH("2024|"&amp;A502,Journaux!$A$5:$A$18,0))</f>
      </c>
      <c r="P502" s="0">
        <f>INDEX(Comptes!$H$5:$H$42,MATCH(E502,Comptes!$A$5:$A$42,0))</f>
      </c>
      <c r="Q502" s="0" t="inlineStr">
        <is>
          <t xml:space="preserve">4</t>
        </is>
      </c>
      <c r="R502" s="7" t="inlineStr">
        <is>
          <t xml:space="preserve">401000|F007</t>
        </is>
      </c>
    </row>
    <row r="503">
      <c r="A503" s="4" t="inlineStr">
        <is>
          <t xml:space="preserve">BQ</t>
        </is>
      </c>
      <c r="B503" s="0" t="inlineStr">
        <is>
          <t xml:space="preserve">Banque Fictive</t>
        </is>
      </c>
      <c r="C503" s="0" t="inlineStr">
        <is>
          <t xml:space="preserve">BQ00162</t>
        </is>
      </c>
      <c r="D503" s="10">
        <v>45478</v>
      </c>
      <c r="E503" s="4" t="inlineStr">
        <is>
          <t xml:space="preserve">512000</t>
        </is>
      </c>
      <c r="F503" s="0" t="inlineStr">
        <is>
          <t xml:space="preserve">Banque Fictive</t>
        </is>
      </c>
      <c r="G503" s="0" t="inlineStr">
        <is>
          <t xml:space="preserve">DEC-F007-202406</t>
        </is>
      </c>
      <c r="H503" s="0" t="inlineStr">
        <is>
          <t xml:space="preserve">Reglement fournisseur Cabinet Comptable Exemple F007-202406</t>
        </is>
      </c>
      <c r="I503" s="8">
        <v>0</v>
      </c>
      <c r="J503" s="8">
        <v>7200</v>
      </c>
      <c r="K503" s="0"/>
      <c r="L503" s="0"/>
      <c r="M503" s="8">
        <f>I503-J503</f>
      </c>
      <c r="N503" s="0" t="inlineStr">
        <is>
          <t xml:space="preserve">2024-07</t>
        </is>
      </c>
      <c r="O503" s="0">
        <f>INDEX(Journaux!$E$5:$E$18,MATCH("2024|"&amp;A503,Journaux!$A$5:$A$18,0))</f>
      </c>
      <c r="P503" s="0">
        <f>INDEX(Comptes!$H$5:$H$42,MATCH(E503,Comptes!$A$5:$A$42,0))</f>
      </c>
      <c r="Q503" s="0" t="inlineStr">
        <is>
          <t xml:space="preserve">5</t>
        </is>
      </c>
    </row>
    <row r="504">
      <c r="A504" s="4" t="inlineStr">
        <is>
          <t xml:space="preserve">BQ</t>
        </is>
      </c>
      <c r="B504" s="0" t="inlineStr">
        <is>
          <t xml:space="preserve">Banque Fictive</t>
        </is>
      </c>
      <c r="C504" s="0" t="inlineStr">
        <is>
          <t xml:space="preserve">BQ00020</t>
        </is>
      </c>
      <c r="D504" s="10">
        <v>45483</v>
      </c>
      <c r="E504" s="4" t="inlineStr">
        <is>
          <t xml:space="preserve">164000</t>
        </is>
      </c>
      <c r="F504" s="0" t="inlineStr">
        <is>
          <t xml:space="preserve">Emprunts aupres des etablissements de credit</t>
        </is>
      </c>
      <c r="G504" s="0" t="inlineStr">
        <is>
          <t xml:space="preserve">ECH202407</t>
        </is>
      </c>
      <c r="H504" s="0" t="inlineStr">
        <is>
          <t xml:space="preserve">Echeance emprunt 07/2024</t>
        </is>
      </c>
      <c r="I504" s="8">
        <v>2000</v>
      </c>
      <c r="J504" s="8">
        <v>0</v>
      </c>
      <c r="K504" s="0"/>
      <c r="L504" s="0"/>
      <c r="M504" s="8">
        <f>I504-J504</f>
      </c>
      <c r="N504" s="0" t="inlineStr">
        <is>
          <t xml:space="preserve">2024-07</t>
        </is>
      </c>
      <c r="O504" s="0">
        <f>INDEX(Journaux!$E$5:$E$18,MATCH("2024|"&amp;A504,Journaux!$A$5:$A$18,0))</f>
      </c>
      <c r="P504" s="0">
        <f>INDEX(Comptes!$H$5:$H$42,MATCH(E504,Comptes!$A$5:$A$42,0))</f>
      </c>
      <c r="Q504" s="0" t="inlineStr">
        <is>
          <t xml:space="preserve">1</t>
        </is>
      </c>
    </row>
    <row r="505">
      <c r="A505" s="4" t="inlineStr">
        <is>
          <t xml:space="preserve">BQ</t>
        </is>
      </c>
      <c r="B505" s="0" t="inlineStr">
        <is>
          <t xml:space="preserve">Banque Fictive</t>
        </is>
      </c>
      <c r="C505" s="0" t="inlineStr">
        <is>
          <t xml:space="preserve">BQ00020</t>
        </is>
      </c>
      <c r="D505" s="10">
        <v>45483</v>
      </c>
      <c r="E505" s="4" t="inlineStr">
        <is>
          <t xml:space="preserve">661100</t>
        </is>
      </c>
      <c r="F505" s="0" t="inlineStr">
        <is>
          <t xml:space="preserve">Interets des emprunts</t>
        </is>
      </c>
      <c r="G505" s="0" t="inlineStr">
        <is>
          <t xml:space="preserve">ECH202407</t>
        </is>
      </c>
      <c r="H505" s="0" t="inlineStr">
        <is>
          <t xml:space="preserve">Echeance emprunt 07/2024</t>
        </is>
      </c>
      <c r="I505" s="8">
        <v>260</v>
      </c>
      <c r="J505" s="8">
        <v>0</v>
      </c>
      <c r="K505" s="0"/>
      <c r="L505" s="0"/>
      <c r="M505" s="8">
        <f>I505-J505</f>
      </c>
      <c r="N505" s="0" t="inlineStr">
        <is>
          <t xml:space="preserve">2024-07</t>
        </is>
      </c>
      <c r="O505" s="0">
        <f>INDEX(Journaux!$E$5:$E$18,MATCH("2024|"&amp;A505,Journaux!$A$5:$A$18,0))</f>
      </c>
      <c r="P505" s="0">
        <f>INDEX(Comptes!$H$5:$H$42,MATCH(E505,Comptes!$A$5:$A$42,0))</f>
      </c>
      <c r="Q505" s="0" t="inlineStr">
        <is>
          <t xml:space="preserve">6</t>
        </is>
      </c>
    </row>
    <row r="506">
      <c r="A506" s="4" t="inlineStr">
        <is>
          <t xml:space="preserve">BQ</t>
        </is>
      </c>
      <c r="B506" s="0" t="inlineStr">
        <is>
          <t xml:space="preserve">Banque Fictive</t>
        </is>
      </c>
      <c r="C506" s="0" t="inlineStr">
        <is>
          <t xml:space="preserve">BQ00020</t>
        </is>
      </c>
      <c r="D506" s="10">
        <v>45483</v>
      </c>
      <c r="E506" s="4" t="inlineStr">
        <is>
          <t xml:space="preserve">512000</t>
        </is>
      </c>
      <c r="F506" s="0" t="inlineStr">
        <is>
          <t xml:space="preserve">Banque Fictive</t>
        </is>
      </c>
      <c r="G506" s="0" t="inlineStr">
        <is>
          <t xml:space="preserve">ECH202407</t>
        </is>
      </c>
      <c r="H506" s="0" t="inlineStr">
        <is>
          <t xml:space="preserve">Echeance emprunt 07/2024</t>
        </is>
      </c>
      <c r="I506" s="8">
        <v>0</v>
      </c>
      <c r="J506" s="8">
        <v>2260</v>
      </c>
      <c r="K506" s="0"/>
      <c r="L506" s="0"/>
      <c r="M506" s="8">
        <f>I506-J506</f>
      </c>
      <c r="N506" s="0" t="inlineStr">
        <is>
          <t xml:space="preserve">2024-07</t>
        </is>
      </c>
      <c r="O506" s="0">
        <f>INDEX(Journaux!$E$5:$E$18,MATCH("2024|"&amp;A506,Journaux!$A$5:$A$18,0))</f>
      </c>
      <c r="P506" s="0">
        <f>INDEX(Comptes!$H$5:$H$42,MATCH(E506,Comptes!$A$5:$A$42,0))</f>
      </c>
      <c r="Q506" s="0" t="inlineStr">
        <is>
          <t xml:space="preserve">5</t>
        </is>
      </c>
    </row>
    <row r="507">
      <c r="A507" s="4" t="inlineStr">
        <is>
          <t xml:space="preserve">BQ</t>
        </is>
      </c>
      <c r="B507" s="0" t="inlineStr">
        <is>
          <t xml:space="preserve">Banque Fictive</t>
        </is>
      </c>
      <c r="C507" s="0" t="inlineStr">
        <is>
          <t xml:space="preserve">BQ00089</t>
        </is>
      </c>
      <c r="D507" s="10">
        <v>45484</v>
      </c>
      <c r="E507" s="4" t="inlineStr">
        <is>
          <t xml:space="preserve">512000</t>
        </is>
      </c>
      <c r="F507" s="0" t="inlineStr">
        <is>
          <t xml:space="preserve">Banque Fictive</t>
        </is>
      </c>
      <c r="G507" s="0" t="inlineStr">
        <is>
          <t xml:space="preserve">ENC-FA2024-0024</t>
        </is>
      </c>
      <c r="H507" s="0" t="inlineStr">
        <is>
          <t xml:space="preserve">Reglement client Cabinet Varenne Associes FA2024-0024</t>
        </is>
      </c>
      <c r="I507" s="8">
        <v>37253.3</v>
      </c>
      <c r="J507" s="8">
        <v>0</v>
      </c>
      <c r="K507" s="0"/>
      <c r="L507" s="0"/>
      <c r="M507" s="8">
        <f>I507-J507</f>
      </c>
      <c r="N507" s="0" t="inlineStr">
        <is>
          <t xml:space="preserve">2024-07</t>
        </is>
      </c>
      <c r="O507" s="0">
        <f>INDEX(Journaux!$E$5:$E$18,MATCH("2024|"&amp;A507,Journaux!$A$5:$A$18,0))</f>
      </c>
      <c r="P507" s="0">
        <f>INDEX(Comptes!$H$5:$H$42,MATCH(E507,Comptes!$A$5:$A$42,0))</f>
      </c>
      <c r="Q507" s="0" t="inlineStr">
        <is>
          <t xml:space="preserve">5</t>
        </is>
      </c>
    </row>
    <row r="508">
      <c r="A508" s="4" t="inlineStr">
        <is>
          <t xml:space="preserve">BQ</t>
        </is>
      </c>
      <c r="B508" s="0" t="inlineStr">
        <is>
          <t xml:space="preserve">Banque Fictive</t>
        </is>
      </c>
      <c r="C508" s="0" t="inlineStr">
        <is>
          <t xml:space="preserve">BQ00089</t>
        </is>
      </c>
      <c r="D508" s="10">
        <v>45484</v>
      </c>
      <c r="E508" s="4" t="inlineStr">
        <is>
          <t xml:space="preserve">411000</t>
        </is>
      </c>
      <c r="F508" s="0" t="inlineStr">
        <is>
          <t xml:space="preserve">Clients</t>
        </is>
      </c>
      <c r="G508" s="0" t="inlineStr">
        <is>
          <t xml:space="preserve">ENC-FA2024-0024</t>
        </is>
      </c>
      <c r="H508" s="0" t="inlineStr">
        <is>
          <t xml:space="preserve">Reglement client Cabinet Varenne Associes FA2024-0024</t>
        </is>
      </c>
      <c r="I508" s="8">
        <v>0</v>
      </c>
      <c r="J508" s="8">
        <v>37253.3</v>
      </c>
      <c r="K508" s="0" t="inlineStr">
        <is>
          <t xml:space="preserve">AAC</t>
        </is>
      </c>
      <c r="L508" s="0" t="inlineStr">
        <is>
          <t xml:space="preserve">Cabinet Varenne Associes</t>
        </is>
      </c>
      <c r="M508" s="8">
        <f>I508-J508</f>
      </c>
      <c r="N508" s="0" t="inlineStr">
        <is>
          <t xml:space="preserve">2024-07</t>
        </is>
      </c>
      <c r="O508" s="0">
        <f>INDEX(Journaux!$E$5:$E$18,MATCH("2024|"&amp;A508,Journaux!$A$5:$A$18,0))</f>
      </c>
      <c r="P508" s="0">
        <f>INDEX(Comptes!$H$5:$H$42,MATCH(E508,Comptes!$A$5:$A$42,0))</f>
      </c>
      <c r="Q508" s="0" t="inlineStr">
        <is>
          <t xml:space="preserve">4</t>
        </is>
      </c>
      <c r="R508" s="7" t="inlineStr">
        <is>
          <t xml:space="preserve">411000|C004</t>
        </is>
      </c>
    </row>
    <row r="509">
      <c r="A509" s="4" t="inlineStr">
        <is>
          <t xml:space="preserve">BQ</t>
        </is>
      </c>
      <c r="B509" s="0" t="inlineStr">
        <is>
          <t xml:space="preserve">Banque Fictive</t>
        </is>
      </c>
      <c r="C509" s="0" t="inlineStr">
        <is>
          <t xml:space="preserve">BQ00049</t>
        </is>
      </c>
      <c r="D509" s="10">
        <v>45488</v>
      </c>
      <c r="E509" s="4" t="inlineStr">
        <is>
          <t xml:space="preserve">431000</t>
        </is>
      </c>
      <c r="F509" s="0" t="inlineStr">
        <is>
          <t xml:space="preserve">Securite sociale</t>
        </is>
      </c>
      <c r="G509" s="0" t="inlineStr">
        <is>
          <t xml:space="preserve">URSSAF202406</t>
        </is>
      </c>
      <c r="H509" s="0" t="inlineStr">
        <is>
          <t xml:space="preserve">Reglement URSSAF 06/2024</t>
        </is>
      </c>
      <c r="I509" s="8">
        <v>32759.86</v>
      </c>
      <c r="J509" s="8">
        <v>0</v>
      </c>
      <c r="K509" s="0"/>
      <c r="L509" s="0"/>
      <c r="M509" s="8">
        <f>I509-J509</f>
      </c>
      <c r="N509" s="0" t="inlineStr">
        <is>
          <t xml:space="preserve">2024-07</t>
        </is>
      </c>
      <c r="O509" s="0">
        <f>INDEX(Journaux!$E$5:$E$18,MATCH("2024|"&amp;A509,Journaux!$A$5:$A$18,0))</f>
      </c>
      <c r="P509" s="0">
        <f>INDEX(Comptes!$H$5:$H$42,MATCH(E509,Comptes!$A$5:$A$42,0))</f>
      </c>
      <c r="Q509" s="0" t="inlineStr">
        <is>
          <t xml:space="preserve">4</t>
        </is>
      </c>
    </row>
    <row r="510">
      <c r="A510" s="4" t="inlineStr">
        <is>
          <t xml:space="preserve">BQ</t>
        </is>
      </c>
      <c r="B510" s="0" t="inlineStr">
        <is>
          <t xml:space="preserve">Banque Fictive</t>
        </is>
      </c>
      <c r="C510" s="0" t="inlineStr">
        <is>
          <t xml:space="preserve">BQ00049</t>
        </is>
      </c>
      <c r="D510" s="10">
        <v>45488</v>
      </c>
      <c r="E510" s="4" t="inlineStr">
        <is>
          <t xml:space="preserve">512000</t>
        </is>
      </c>
      <c r="F510" s="0" t="inlineStr">
        <is>
          <t xml:space="preserve">Banque Fictive</t>
        </is>
      </c>
      <c r="G510" s="0" t="inlineStr">
        <is>
          <t xml:space="preserve">URSSAF202406</t>
        </is>
      </c>
      <c r="H510" s="0" t="inlineStr">
        <is>
          <t xml:space="preserve">Reglement URSSAF 06/2024</t>
        </is>
      </c>
      <c r="I510" s="8">
        <v>0</v>
      </c>
      <c r="J510" s="8">
        <v>32759.86</v>
      </c>
      <c r="K510" s="0"/>
      <c r="L510" s="0"/>
      <c r="M510" s="8">
        <f>I510-J510</f>
      </c>
      <c r="N510" s="0" t="inlineStr">
        <is>
          <t xml:space="preserve">2024-07</t>
        </is>
      </c>
      <c r="O510" s="0">
        <f>INDEX(Journaux!$E$5:$E$18,MATCH("2024|"&amp;A510,Journaux!$A$5:$A$18,0))</f>
      </c>
      <c r="P510" s="0">
        <f>INDEX(Comptes!$H$5:$H$42,MATCH(E510,Comptes!$A$5:$A$42,0))</f>
      </c>
      <c r="Q510" s="0" t="inlineStr">
        <is>
          <t xml:space="preserve">5</t>
        </is>
      </c>
    </row>
    <row r="511">
      <c r="A511" s="4" t="inlineStr">
        <is>
          <t xml:space="preserve">BQ</t>
        </is>
      </c>
      <c r="B511" s="0" t="inlineStr">
        <is>
          <t xml:space="preserve">Banque Fictive</t>
        </is>
      </c>
      <c r="C511" s="0" t="inlineStr">
        <is>
          <t xml:space="preserve">BQ00095</t>
        </is>
      </c>
      <c r="D511" s="10">
        <v>45488</v>
      </c>
      <c r="E511" s="4" t="inlineStr">
        <is>
          <t xml:space="preserve">512000</t>
        </is>
      </c>
      <c r="F511" s="0" t="inlineStr">
        <is>
          <t xml:space="preserve">Banque Fictive</t>
        </is>
      </c>
      <c r="G511" s="0" t="inlineStr">
        <is>
          <t xml:space="preserve">ENC-FA2024-0030</t>
        </is>
      </c>
      <c r="H511" s="0" t="inlineStr">
        <is>
          <t xml:space="preserve">Reglement client Clinique du Parc FA2024-0030</t>
        </is>
      </c>
      <c r="I511" s="8">
        <v>50966.76</v>
      </c>
      <c r="J511" s="8">
        <v>0</v>
      </c>
      <c r="K511" s="0"/>
      <c r="L511" s="0"/>
      <c r="M511" s="8">
        <f>I511-J511</f>
      </c>
      <c r="N511" s="0" t="inlineStr">
        <is>
          <t xml:space="preserve">2024-07</t>
        </is>
      </c>
      <c r="O511" s="0">
        <f>INDEX(Journaux!$E$5:$E$18,MATCH("2024|"&amp;A511,Journaux!$A$5:$A$18,0))</f>
      </c>
      <c r="P511" s="0">
        <f>INDEX(Comptes!$H$5:$H$42,MATCH(E511,Comptes!$A$5:$A$42,0))</f>
      </c>
      <c r="Q511" s="0" t="inlineStr">
        <is>
          <t xml:space="preserve">5</t>
        </is>
      </c>
    </row>
    <row r="512">
      <c r="A512" s="4" t="inlineStr">
        <is>
          <t xml:space="preserve">BQ</t>
        </is>
      </c>
      <c r="B512" s="0" t="inlineStr">
        <is>
          <t xml:space="preserve">Banque Fictive</t>
        </is>
      </c>
      <c r="C512" s="0" t="inlineStr">
        <is>
          <t xml:space="preserve">BQ00095</t>
        </is>
      </c>
      <c r="D512" s="10">
        <v>45488</v>
      </c>
      <c r="E512" s="4" t="inlineStr">
        <is>
          <t xml:space="preserve">411000</t>
        </is>
      </c>
      <c r="F512" s="0" t="inlineStr">
        <is>
          <t xml:space="preserve">Clients</t>
        </is>
      </c>
      <c r="G512" s="0" t="inlineStr">
        <is>
          <t xml:space="preserve">ENC-FA2024-0030</t>
        </is>
      </c>
      <c r="H512" s="0" t="inlineStr">
        <is>
          <t xml:space="preserve">Reglement client Clinique du Parc FA2024-0030</t>
        </is>
      </c>
      <c r="I512" s="8">
        <v>0</v>
      </c>
      <c r="J512" s="8">
        <v>50966.76</v>
      </c>
      <c r="K512" s="0" t="inlineStr">
        <is>
          <t xml:space="preserve">AAI</t>
        </is>
      </c>
      <c r="L512" s="0" t="inlineStr">
        <is>
          <t xml:space="preserve">Clinique du Parc</t>
        </is>
      </c>
      <c r="M512" s="8">
        <f>I512-J512</f>
      </c>
      <c r="N512" s="0" t="inlineStr">
        <is>
          <t xml:space="preserve">2024-07</t>
        </is>
      </c>
      <c r="O512" s="0">
        <f>INDEX(Journaux!$E$5:$E$18,MATCH("2024|"&amp;A512,Journaux!$A$5:$A$18,0))</f>
      </c>
      <c r="P512" s="0">
        <f>INDEX(Comptes!$H$5:$H$42,MATCH(E512,Comptes!$A$5:$A$42,0))</f>
      </c>
      <c r="Q512" s="0" t="inlineStr">
        <is>
          <t xml:space="preserve">4</t>
        </is>
      </c>
      <c r="R512" s="7" t="inlineStr">
        <is>
          <t xml:space="preserve">411000|C006</t>
        </is>
      </c>
    </row>
    <row r="513">
      <c r="A513" s="4" t="inlineStr">
        <is>
          <t xml:space="preserve">BQ</t>
        </is>
      </c>
      <c r="B513" s="0" t="inlineStr">
        <is>
          <t xml:space="preserve">Banque Fictive</t>
        </is>
      </c>
      <c r="C513" s="0" t="inlineStr">
        <is>
          <t xml:space="preserve">BQ00150</t>
        </is>
      </c>
      <c r="D513" s="10">
        <v>45489</v>
      </c>
      <c r="E513" s="4" t="inlineStr">
        <is>
          <t xml:space="preserve">401000</t>
        </is>
      </c>
      <c r="F513" s="0" t="inlineStr">
        <is>
          <t xml:space="preserve">Fournisseurs</t>
        </is>
      </c>
      <c r="G513" s="0" t="inlineStr">
        <is>
          <t xml:space="preserve">DEC-F001-2024051</t>
        </is>
      </c>
      <c r="H513" s="0" t="inlineStr">
        <is>
          <t xml:space="preserve">Reglement fournisseur Scierie du Nord F001-2024051</t>
        </is>
      </c>
      <c r="I513" s="8">
        <v>32025.01</v>
      </c>
      <c r="J513" s="8">
        <v>0</v>
      </c>
      <c r="K513" s="0" t="inlineStr">
        <is>
          <t xml:space="preserve">ACL</t>
        </is>
      </c>
      <c r="L513" s="0" t="inlineStr">
        <is>
          <t xml:space="preserve">Scierie du Nord</t>
        </is>
      </c>
      <c r="M513" s="8">
        <f>I513-J513</f>
      </c>
      <c r="N513" s="0" t="inlineStr">
        <is>
          <t xml:space="preserve">2024-07</t>
        </is>
      </c>
      <c r="O513" s="0">
        <f>INDEX(Journaux!$E$5:$E$18,MATCH("2024|"&amp;A513,Journaux!$A$5:$A$18,0))</f>
      </c>
      <c r="P513" s="0">
        <f>INDEX(Comptes!$H$5:$H$42,MATCH(E513,Comptes!$A$5:$A$42,0))</f>
      </c>
      <c r="Q513" s="0" t="inlineStr">
        <is>
          <t xml:space="preserve">4</t>
        </is>
      </c>
      <c r="R513" s="7" t="inlineStr">
        <is>
          <t xml:space="preserve">401000|F001</t>
        </is>
      </c>
    </row>
    <row r="514">
      <c r="A514" s="4" t="inlineStr">
        <is>
          <t xml:space="preserve">BQ</t>
        </is>
      </c>
      <c r="B514" s="0" t="inlineStr">
        <is>
          <t xml:space="preserve">Banque Fictive</t>
        </is>
      </c>
      <c r="C514" s="0" t="inlineStr">
        <is>
          <t xml:space="preserve">BQ00150</t>
        </is>
      </c>
      <c r="D514" s="10">
        <v>45489</v>
      </c>
      <c r="E514" s="4" t="inlineStr">
        <is>
          <t xml:space="preserve">512000</t>
        </is>
      </c>
      <c r="F514" s="0" t="inlineStr">
        <is>
          <t xml:space="preserve">Banque Fictive</t>
        </is>
      </c>
      <c r="G514" s="0" t="inlineStr">
        <is>
          <t xml:space="preserve">DEC-F001-2024051</t>
        </is>
      </c>
      <c r="H514" s="0" t="inlineStr">
        <is>
          <t xml:space="preserve">Reglement fournisseur Scierie du Nord F001-2024051</t>
        </is>
      </c>
      <c r="I514" s="8">
        <v>0</v>
      </c>
      <c r="J514" s="8">
        <v>32025.01</v>
      </c>
      <c r="K514" s="0"/>
      <c r="L514" s="0"/>
      <c r="M514" s="8">
        <f>I514-J514</f>
      </c>
      <c r="N514" s="0" t="inlineStr">
        <is>
          <t xml:space="preserve">2024-07</t>
        </is>
      </c>
      <c r="O514" s="0">
        <f>INDEX(Journaux!$E$5:$E$18,MATCH("2024|"&amp;A514,Journaux!$A$5:$A$18,0))</f>
      </c>
      <c r="P514" s="0">
        <f>INDEX(Comptes!$H$5:$H$42,MATCH(E514,Comptes!$A$5:$A$42,0))</f>
      </c>
      <c r="Q514" s="0" t="inlineStr">
        <is>
          <t xml:space="preserve">5</t>
        </is>
      </c>
    </row>
    <row r="515">
      <c r="A515" s="4" t="inlineStr">
        <is>
          <t xml:space="preserve">BQ</t>
        </is>
      </c>
      <c r="B515" s="0" t="inlineStr">
        <is>
          <t xml:space="preserve">Banque Fictive</t>
        </is>
      </c>
      <c r="C515" s="0" t="inlineStr">
        <is>
          <t xml:space="preserve">BQ00151</t>
        </is>
      </c>
      <c r="D515" s="10">
        <v>45490</v>
      </c>
      <c r="E515" s="4" t="inlineStr">
        <is>
          <t xml:space="preserve">401000</t>
        </is>
      </c>
      <c r="F515" s="0" t="inlineStr">
        <is>
          <t xml:space="preserve">Fournisseurs</t>
        </is>
      </c>
      <c r="G515" s="0" t="inlineStr">
        <is>
          <t xml:space="preserve">DEC-F003-2024052</t>
        </is>
      </c>
      <c r="H515" s="0" t="inlineStr">
        <is>
          <t xml:space="preserve">Reglement fournisseur Vernis et Finitions F003-2024052</t>
        </is>
      </c>
      <c r="I515" s="8">
        <v>31492.28</v>
      </c>
      <c r="J515" s="8">
        <v>0</v>
      </c>
      <c r="K515" s="0" t="inlineStr">
        <is>
          <t xml:space="preserve">ACM</t>
        </is>
      </c>
      <c r="L515" s="0" t="inlineStr">
        <is>
          <t xml:space="preserve">Vernis et Finitions</t>
        </is>
      </c>
      <c r="M515" s="8">
        <f>I515-J515</f>
      </c>
      <c r="N515" s="0" t="inlineStr">
        <is>
          <t xml:space="preserve">2024-07</t>
        </is>
      </c>
      <c r="O515" s="0">
        <f>INDEX(Journaux!$E$5:$E$18,MATCH("2024|"&amp;A515,Journaux!$A$5:$A$18,0))</f>
      </c>
      <c r="P515" s="0">
        <f>INDEX(Comptes!$H$5:$H$42,MATCH(E515,Comptes!$A$5:$A$42,0))</f>
      </c>
      <c r="Q515" s="0" t="inlineStr">
        <is>
          <t xml:space="preserve">4</t>
        </is>
      </c>
      <c r="R515" s="7" t="inlineStr">
        <is>
          <t xml:space="preserve">401000|F003</t>
        </is>
      </c>
    </row>
    <row r="516">
      <c r="A516" s="4" t="inlineStr">
        <is>
          <t xml:space="preserve">BQ</t>
        </is>
      </c>
      <c r="B516" s="0" t="inlineStr">
        <is>
          <t xml:space="preserve">Banque Fictive</t>
        </is>
      </c>
      <c r="C516" s="0" t="inlineStr">
        <is>
          <t xml:space="preserve">BQ00151</t>
        </is>
      </c>
      <c r="D516" s="10">
        <v>45490</v>
      </c>
      <c r="E516" s="4" t="inlineStr">
        <is>
          <t xml:space="preserve">512000</t>
        </is>
      </c>
      <c r="F516" s="0" t="inlineStr">
        <is>
          <t xml:space="preserve">Banque Fictive</t>
        </is>
      </c>
      <c r="G516" s="0" t="inlineStr">
        <is>
          <t xml:space="preserve">DEC-F003-2024052</t>
        </is>
      </c>
      <c r="H516" s="0" t="inlineStr">
        <is>
          <t xml:space="preserve">Reglement fournisseur Vernis et Finitions F003-2024052</t>
        </is>
      </c>
      <c r="I516" s="8">
        <v>0</v>
      </c>
      <c r="J516" s="8">
        <v>31492.28</v>
      </c>
      <c r="K516" s="0"/>
      <c r="L516" s="0"/>
      <c r="M516" s="8">
        <f>I516-J516</f>
      </c>
      <c r="N516" s="0" t="inlineStr">
        <is>
          <t xml:space="preserve">2024-07</t>
        </is>
      </c>
      <c r="O516" s="0">
        <f>INDEX(Journaux!$E$5:$E$18,MATCH("2024|"&amp;A516,Journaux!$A$5:$A$18,0))</f>
      </c>
      <c r="P516" s="0">
        <f>INDEX(Comptes!$H$5:$H$42,MATCH(E516,Comptes!$A$5:$A$42,0))</f>
      </c>
      <c r="Q516" s="0" t="inlineStr">
        <is>
          <t xml:space="preserve">5</t>
        </is>
      </c>
    </row>
    <row r="517">
      <c r="A517" s="4" t="inlineStr">
        <is>
          <t xml:space="preserve">BQ</t>
        </is>
      </c>
      <c r="B517" s="0" t="inlineStr">
        <is>
          <t xml:space="preserve">Banque Fictive</t>
        </is>
      </c>
      <c r="C517" s="0" t="inlineStr">
        <is>
          <t xml:space="preserve">BQ00096</t>
        </is>
      </c>
      <c r="D517" s="10">
        <v>45492</v>
      </c>
      <c r="E517" s="4" t="inlineStr">
        <is>
          <t xml:space="preserve">512000</t>
        </is>
      </c>
      <c r="F517" s="0" t="inlineStr">
        <is>
          <t xml:space="preserve">Banque Fictive</t>
        </is>
      </c>
      <c r="G517" s="0" t="inlineStr">
        <is>
          <t xml:space="preserve">ENC-FA2024-0031</t>
        </is>
      </c>
      <c r="H517" s="0" t="inlineStr">
        <is>
          <t xml:space="preserve">Reglement client Cabinet Varenne Associes FA2024-0031</t>
        </is>
      </c>
      <c r="I517" s="8">
        <v>52316</v>
      </c>
      <c r="J517" s="8">
        <v>0</v>
      </c>
      <c r="K517" s="0"/>
      <c r="L517" s="0"/>
      <c r="M517" s="8">
        <f>I517-J517</f>
      </c>
      <c r="N517" s="0" t="inlineStr">
        <is>
          <t xml:space="preserve">2024-07</t>
        </is>
      </c>
      <c r="O517" s="0">
        <f>INDEX(Journaux!$E$5:$E$18,MATCH("2024|"&amp;A517,Journaux!$A$5:$A$18,0))</f>
      </c>
      <c r="P517" s="0">
        <f>INDEX(Comptes!$H$5:$H$42,MATCH(E517,Comptes!$A$5:$A$42,0))</f>
      </c>
      <c r="Q517" s="0" t="inlineStr">
        <is>
          <t xml:space="preserve">5</t>
        </is>
      </c>
    </row>
    <row r="518">
      <c r="A518" s="4" t="inlineStr">
        <is>
          <t xml:space="preserve">BQ</t>
        </is>
      </c>
      <c r="B518" s="0" t="inlineStr">
        <is>
          <t xml:space="preserve">Banque Fictive</t>
        </is>
      </c>
      <c r="C518" s="0" t="inlineStr">
        <is>
          <t xml:space="preserve">BQ00096</t>
        </is>
      </c>
      <c r="D518" s="10">
        <v>45492</v>
      </c>
      <c r="E518" s="4" t="inlineStr">
        <is>
          <t xml:space="preserve">411000</t>
        </is>
      </c>
      <c r="F518" s="0" t="inlineStr">
        <is>
          <t xml:space="preserve">Clients</t>
        </is>
      </c>
      <c r="G518" s="0" t="inlineStr">
        <is>
          <t xml:space="preserve">ENC-FA2024-0031</t>
        </is>
      </c>
      <c r="H518" s="0" t="inlineStr">
        <is>
          <t xml:space="preserve">Reglement client Cabinet Varenne Associes FA2024-0031</t>
        </is>
      </c>
      <c r="I518" s="8">
        <v>0</v>
      </c>
      <c r="J518" s="8">
        <v>52316</v>
      </c>
      <c r="K518" s="0" t="inlineStr">
        <is>
          <t xml:space="preserve">AAJ</t>
        </is>
      </c>
      <c r="L518" s="0" t="inlineStr">
        <is>
          <t xml:space="preserve">Cabinet Varenne Associes</t>
        </is>
      </c>
      <c r="M518" s="8">
        <f>I518-J518</f>
      </c>
      <c r="N518" s="0" t="inlineStr">
        <is>
          <t xml:space="preserve">2024-07</t>
        </is>
      </c>
      <c r="O518" s="0">
        <f>INDEX(Journaux!$E$5:$E$18,MATCH("2024|"&amp;A518,Journaux!$A$5:$A$18,0))</f>
      </c>
      <c r="P518" s="0">
        <f>INDEX(Comptes!$H$5:$H$42,MATCH(E518,Comptes!$A$5:$A$42,0))</f>
      </c>
      <c r="Q518" s="0" t="inlineStr">
        <is>
          <t xml:space="preserve">4</t>
        </is>
      </c>
      <c r="R518" s="7" t="inlineStr">
        <is>
          <t xml:space="preserve">411000|C004</t>
        </is>
      </c>
    </row>
    <row r="519">
      <c r="A519" s="4" t="inlineStr">
        <is>
          <t xml:space="preserve">BQ</t>
        </is>
      </c>
      <c r="B519" s="0" t="inlineStr">
        <is>
          <t xml:space="preserve">Banque Fictive</t>
        </is>
      </c>
      <c r="C519" s="0" t="inlineStr">
        <is>
          <t xml:space="preserve">BQ00050</t>
        </is>
      </c>
      <c r="D519" s="10">
        <v>45493</v>
      </c>
      <c r="E519" s="4" t="inlineStr">
        <is>
          <t xml:space="preserve">445510</t>
        </is>
      </c>
      <c r="F519" s="0" t="inlineStr">
        <is>
          <t xml:space="preserve">TVA a decaisser</t>
        </is>
      </c>
      <c r="G519" s="0" t="inlineStr">
        <is>
          <t xml:space="preserve">TVA202406</t>
        </is>
      </c>
      <c r="H519" s="0" t="inlineStr">
        <is>
          <t xml:space="preserve">Reglement TVA 06/2024</t>
        </is>
      </c>
      <c r="I519" s="8">
        <v>17574.51</v>
      </c>
      <c r="J519" s="8">
        <v>0</v>
      </c>
      <c r="K519" s="0"/>
      <c r="L519" s="0"/>
      <c r="M519" s="8">
        <f>I519-J519</f>
      </c>
      <c r="N519" s="0" t="inlineStr">
        <is>
          <t xml:space="preserve">2024-07</t>
        </is>
      </c>
      <c r="O519" s="0">
        <f>INDEX(Journaux!$E$5:$E$18,MATCH("2024|"&amp;A519,Journaux!$A$5:$A$18,0))</f>
      </c>
      <c r="P519" s="0">
        <f>INDEX(Comptes!$H$5:$H$42,MATCH(E519,Comptes!$A$5:$A$42,0))</f>
      </c>
      <c r="Q519" s="0" t="inlineStr">
        <is>
          <t xml:space="preserve">4</t>
        </is>
      </c>
    </row>
    <row r="520">
      <c r="A520" s="4" t="inlineStr">
        <is>
          <t xml:space="preserve">BQ</t>
        </is>
      </c>
      <c r="B520" s="0" t="inlineStr">
        <is>
          <t xml:space="preserve">Banque Fictive</t>
        </is>
      </c>
      <c r="C520" s="0" t="inlineStr">
        <is>
          <t xml:space="preserve">BQ00050</t>
        </is>
      </c>
      <c r="D520" s="10">
        <v>45493</v>
      </c>
      <c r="E520" s="4" t="inlineStr">
        <is>
          <t xml:space="preserve">512000</t>
        </is>
      </c>
      <c r="F520" s="0" t="inlineStr">
        <is>
          <t xml:space="preserve">Banque Fictive</t>
        </is>
      </c>
      <c r="G520" s="0" t="inlineStr">
        <is>
          <t xml:space="preserve">TVA202406</t>
        </is>
      </c>
      <c r="H520" s="0" t="inlineStr">
        <is>
          <t xml:space="preserve">Reglement TVA 06/2024</t>
        </is>
      </c>
      <c r="I520" s="8">
        <v>0</v>
      </c>
      <c r="J520" s="8">
        <v>17574.51</v>
      </c>
      <c r="K520" s="0"/>
      <c r="L520" s="0"/>
      <c r="M520" s="8">
        <f>I520-J520</f>
      </c>
      <c r="N520" s="0" t="inlineStr">
        <is>
          <t xml:space="preserve">2024-07</t>
        </is>
      </c>
      <c r="O520" s="0">
        <f>INDEX(Journaux!$E$5:$E$18,MATCH("2024|"&amp;A520,Journaux!$A$5:$A$18,0))</f>
      </c>
      <c r="P520" s="0">
        <f>INDEX(Comptes!$H$5:$H$42,MATCH(E520,Comptes!$A$5:$A$42,0))</f>
      </c>
      <c r="Q520" s="0" t="inlineStr">
        <is>
          <t xml:space="preserve">5</t>
        </is>
      </c>
    </row>
    <row r="521">
      <c r="A521" s="4" t="inlineStr">
        <is>
          <t xml:space="preserve">VT</t>
        </is>
      </c>
      <c r="B521" s="0" t="inlineStr">
        <is>
          <t xml:space="preserve">Journal des ventes</t>
        </is>
      </c>
      <c r="C521" s="0" t="inlineStr">
        <is>
          <t xml:space="preserve">VT00035</t>
        </is>
      </c>
      <c r="D521" s="10">
        <v>45499</v>
      </c>
      <c r="E521" s="4" t="inlineStr">
        <is>
          <t xml:space="preserve">411000</t>
        </is>
      </c>
      <c r="F521" s="0" t="inlineStr">
        <is>
          <t xml:space="preserve">Clients</t>
        </is>
      </c>
      <c r="G521" s="0" t="inlineStr">
        <is>
          <t xml:space="preserve">FA2024-0035</t>
        </is>
      </c>
      <c r="H521" s="0" t="inlineStr">
        <is>
          <t xml:space="preserve">Facture FA2024-0035 Coworking Atelier 9</t>
        </is>
      </c>
      <c r="I521" s="8">
        <v>52482.95</v>
      </c>
      <c r="J521" s="8">
        <v>0</v>
      </c>
      <c r="K521" s="0" t="inlineStr">
        <is>
          <t xml:space="preserve">AAN</t>
        </is>
      </c>
      <c r="L521" s="0" t="inlineStr">
        <is>
          <t xml:space="preserve">Coworking Atelier 9</t>
        </is>
      </c>
      <c r="M521" s="8">
        <f>I521-J521</f>
      </c>
      <c r="N521" s="0" t="inlineStr">
        <is>
          <t xml:space="preserve">2024-07</t>
        </is>
      </c>
      <c r="O521" s="0">
        <f>INDEX(Journaux!$E$5:$E$18,MATCH("2024|"&amp;A521,Journaux!$A$5:$A$18,0))</f>
      </c>
      <c r="P521" s="0">
        <f>INDEX(Comptes!$H$5:$H$42,MATCH(E521,Comptes!$A$5:$A$42,0))</f>
      </c>
      <c r="Q521" s="0" t="inlineStr">
        <is>
          <t xml:space="preserve">4</t>
        </is>
      </c>
      <c r="R521" s="7" t="inlineStr">
        <is>
          <t xml:space="preserve">411000|C008</t>
        </is>
      </c>
    </row>
    <row r="522">
      <c r="A522" s="4" t="inlineStr">
        <is>
          <t xml:space="preserve">VT</t>
        </is>
      </c>
      <c r="B522" s="0" t="inlineStr">
        <is>
          <t xml:space="preserve">Journal des ventes</t>
        </is>
      </c>
      <c r="C522" s="0" t="inlineStr">
        <is>
          <t xml:space="preserve">VT00035</t>
        </is>
      </c>
      <c r="D522" s="10">
        <v>45499</v>
      </c>
      <c r="E522" s="4" t="inlineStr">
        <is>
          <t xml:space="preserve">701000</t>
        </is>
      </c>
      <c r="F522" s="0" t="inlineStr">
        <is>
          <t xml:space="preserve">Ventes de produits finis</t>
        </is>
      </c>
      <c r="G522" s="0" t="inlineStr">
        <is>
          <t xml:space="preserve">FA2024-0035</t>
        </is>
      </c>
      <c r="H522" s="0" t="inlineStr">
        <is>
          <t xml:space="preserve">Facture FA2024-0035 Coworking Atelier 9</t>
        </is>
      </c>
      <c r="I522" s="8">
        <v>0</v>
      </c>
      <c r="J522" s="8">
        <v>43735.79</v>
      </c>
      <c r="K522" s="0"/>
      <c r="L522" s="0"/>
      <c r="M522" s="8">
        <f>I522-J522</f>
      </c>
      <c r="N522" s="0" t="inlineStr">
        <is>
          <t xml:space="preserve">2024-07</t>
        </is>
      </c>
      <c r="O522" s="0">
        <f>INDEX(Journaux!$E$5:$E$18,MATCH("2024|"&amp;A522,Journaux!$A$5:$A$18,0))</f>
      </c>
      <c r="P522" s="0">
        <f>INDEX(Comptes!$H$5:$H$42,MATCH(E522,Comptes!$A$5:$A$42,0))</f>
      </c>
      <c r="Q522" s="0" t="inlineStr">
        <is>
          <t xml:space="preserve">7</t>
        </is>
      </c>
    </row>
    <row r="523">
      <c r="A523" s="4" t="inlineStr">
        <is>
          <t xml:space="preserve">VT</t>
        </is>
      </c>
      <c r="B523" s="0" t="inlineStr">
        <is>
          <t xml:space="preserve">Journal des ventes</t>
        </is>
      </c>
      <c r="C523" s="0" t="inlineStr">
        <is>
          <t xml:space="preserve">VT00035</t>
        </is>
      </c>
      <c r="D523" s="10">
        <v>45499</v>
      </c>
      <c r="E523" s="4" t="inlineStr">
        <is>
          <t xml:space="preserve">445710</t>
        </is>
      </c>
      <c r="F523" s="0" t="inlineStr">
        <is>
          <t xml:space="preserve">TVA collectee</t>
        </is>
      </c>
      <c r="G523" s="0" t="inlineStr">
        <is>
          <t xml:space="preserve">FA2024-0035</t>
        </is>
      </c>
      <c r="H523" s="0" t="inlineStr">
        <is>
          <t xml:space="preserve">Facture FA2024-0035 Coworking Atelier 9</t>
        </is>
      </c>
      <c r="I523" s="8">
        <v>0</v>
      </c>
      <c r="J523" s="8">
        <v>8747.16</v>
      </c>
      <c r="K523" s="0"/>
      <c r="L523" s="0"/>
      <c r="M523" s="8">
        <f>I523-J523</f>
      </c>
      <c r="N523" s="0" t="inlineStr">
        <is>
          <t xml:space="preserve">2024-07</t>
        </is>
      </c>
      <c r="O523" s="0">
        <f>INDEX(Journaux!$E$5:$E$18,MATCH("2024|"&amp;A523,Journaux!$A$5:$A$18,0))</f>
      </c>
      <c r="P523" s="0">
        <f>INDEX(Comptes!$H$5:$H$42,MATCH(E523,Comptes!$A$5:$A$42,0))</f>
      </c>
      <c r="Q523" s="0" t="inlineStr">
        <is>
          <t xml:space="preserve">4</t>
        </is>
      </c>
    </row>
    <row r="524">
      <c r="A524" s="4" t="inlineStr">
        <is>
          <t xml:space="preserve">AC</t>
        </is>
      </c>
      <c r="B524" s="0" t="inlineStr">
        <is>
          <t xml:space="preserve">Journal des achats</t>
        </is>
      </c>
      <c r="C524" s="0" t="inlineStr">
        <is>
          <t xml:space="preserve">AC00039</t>
        </is>
      </c>
      <c r="D524" s="10">
        <v>45502</v>
      </c>
      <c r="E524" s="4" t="inlineStr">
        <is>
          <t xml:space="preserve">601000</t>
        </is>
      </c>
      <c r="F524" s="0" t="inlineStr">
        <is>
          <t xml:space="preserve">Achats de matieres premieres</t>
        </is>
      </c>
      <c r="G524" s="0" t="inlineStr">
        <is>
          <t xml:space="preserve">F001-2024071</t>
        </is>
      </c>
      <c r="H524" s="0" t="inlineStr">
        <is>
          <t xml:space="preserve">Facture Scierie du Nord F001-2024071</t>
        </is>
      </c>
      <c r="I524" s="8">
        <v>29693.31</v>
      </c>
      <c r="J524" s="8">
        <v>0</v>
      </c>
      <c r="K524" s="0"/>
      <c r="L524" s="0"/>
      <c r="M524" s="8">
        <f>I524-J524</f>
      </c>
      <c r="N524" s="0" t="inlineStr">
        <is>
          <t xml:space="preserve">2024-07</t>
        </is>
      </c>
      <c r="O524" s="0">
        <f>INDEX(Journaux!$E$5:$E$18,MATCH("2024|"&amp;A524,Journaux!$A$5:$A$18,0))</f>
      </c>
      <c r="P524" s="0">
        <f>INDEX(Comptes!$H$5:$H$42,MATCH(E524,Comptes!$A$5:$A$42,0))</f>
      </c>
      <c r="Q524" s="0" t="inlineStr">
        <is>
          <t xml:space="preserve">6</t>
        </is>
      </c>
    </row>
    <row r="525">
      <c r="A525" s="4" t="inlineStr">
        <is>
          <t xml:space="preserve">AC</t>
        </is>
      </c>
      <c r="B525" s="0" t="inlineStr">
        <is>
          <t xml:space="preserve">Journal des achats</t>
        </is>
      </c>
      <c r="C525" s="0" t="inlineStr">
        <is>
          <t xml:space="preserve">AC00039</t>
        </is>
      </c>
      <c r="D525" s="10">
        <v>45502</v>
      </c>
      <c r="E525" s="4" t="inlineStr">
        <is>
          <t xml:space="preserve">445660</t>
        </is>
      </c>
      <c r="F525" s="0" t="inlineStr">
        <is>
          <t xml:space="preserve">TVA deductible sur ABS</t>
        </is>
      </c>
      <c r="G525" s="0" t="inlineStr">
        <is>
          <t xml:space="preserve">F001-2024071</t>
        </is>
      </c>
      <c r="H525" s="0" t="inlineStr">
        <is>
          <t xml:space="preserve">Facture Scierie du Nord F001-2024071</t>
        </is>
      </c>
      <c r="I525" s="8">
        <v>5938.66</v>
      </c>
      <c r="J525" s="8">
        <v>0</v>
      </c>
      <c r="K525" s="0"/>
      <c r="L525" s="0"/>
      <c r="M525" s="8">
        <f>I525-J525</f>
      </c>
      <c r="N525" s="0" t="inlineStr">
        <is>
          <t xml:space="preserve">2024-07</t>
        </is>
      </c>
      <c r="O525" s="0">
        <f>INDEX(Journaux!$E$5:$E$18,MATCH("2024|"&amp;A525,Journaux!$A$5:$A$18,0))</f>
      </c>
      <c r="P525" s="0">
        <f>INDEX(Comptes!$H$5:$H$42,MATCH(E525,Comptes!$A$5:$A$42,0))</f>
      </c>
      <c r="Q525" s="0" t="inlineStr">
        <is>
          <t xml:space="preserve">4</t>
        </is>
      </c>
    </row>
    <row r="526">
      <c r="A526" s="4" t="inlineStr">
        <is>
          <t xml:space="preserve">AC</t>
        </is>
      </c>
      <c r="B526" s="0" t="inlineStr">
        <is>
          <t xml:space="preserve">Journal des achats</t>
        </is>
      </c>
      <c r="C526" s="0" t="inlineStr">
        <is>
          <t xml:space="preserve">AC00039</t>
        </is>
      </c>
      <c r="D526" s="10">
        <v>45502</v>
      </c>
      <c r="E526" s="4" t="inlineStr">
        <is>
          <t xml:space="preserve">401000</t>
        </is>
      </c>
      <c r="F526" s="0" t="inlineStr">
        <is>
          <t xml:space="preserve">Fournisseurs</t>
        </is>
      </c>
      <c r="G526" s="0" t="inlineStr">
        <is>
          <t xml:space="preserve">F001-2024071</t>
        </is>
      </c>
      <c r="H526" s="0" t="inlineStr">
        <is>
          <t xml:space="preserve">Facture Scierie du Nord F001-2024071</t>
        </is>
      </c>
      <c r="I526" s="8">
        <v>0</v>
      </c>
      <c r="J526" s="8">
        <v>35631.97</v>
      </c>
      <c r="K526" s="0" t="inlineStr">
        <is>
          <t xml:space="preserve">ACY</t>
        </is>
      </c>
      <c r="L526" s="0" t="inlineStr">
        <is>
          <t xml:space="preserve">Scierie du Nord</t>
        </is>
      </c>
      <c r="M526" s="8">
        <f>I526-J526</f>
      </c>
      <c r="N526" s="0" t="inlineStr">
        <is>
          <t xml:space="preserve">2024-07</t>
        </is>
      </c>
      <c r="O526" s="0">
        <f>INDEX(Journaux!$E$5:$E$18,MATCH("2024|"&amp;A526,Journaux!$A$5:$A$18,0))</f>
      </c>
      <c r="P526" s="0">
        <f>INDEX(Comptes!$H$5:$H$42,MATCH(E526,Comptes!$A$5:$A$42,0))</f>
      </c>
      <c r="Q526" s="0" t="inlineStr">
        <is>
          <t xml:space="preserve">4</t>
        </is>
      </c>
      <c r="R526" s="7" t="inlineStr">
        <is>
          <t xml:space="preserve">401000|F001</t>
        </is>
      </c>
    </row>
    <row r="527">
      <c r="A527" s="4" t="inlineStr">
        <is>
          <t xml:space="preserve">BQ</t>
        </is>
      </c>
      <c r="B527" s="0" t="inlineStr">
        <is>
          <t xml:space="preserve">Banque Fictive</t>
        </is>
      </c>
      <c r="C527" s="0" t="inlineStr">
        <is>
          <t xml:space="preserve">BQ00152</t>
        </is>
      </c>
      <c r="D527" s="10">
        <v>45502</v>
      </c>
      <c r="E527" s="4" t="inlineStr">
        <is>
          <t xml:space="preserve">401000</t>
        </is>
      </c>
      <c r="F527" s="0" t="inlineStr">
        <is>
          <t xml:space="preserve">Fournisseurs</t>
        </is>
      </c>
      <c r="G527" s="0" t="inlineStr">
        <is>
          <t xml:space="preserve">DEC-F003-2024053</t>
        </is>
      </c>
      <c r="H527" s="0" t="inlineStr">
        <is>
          <t xml:space="preserve">Reglement fournisseur Vernis et Finitions F003-2024053</t>
        </is>
      </c>
      <c r="I527" s="8">
        <v>28882.7</v>
      </c>
      <c r="J527" s="8">
        <v>0</v>
      </c>
      <c r="K527" s="0" t="inlineStr">
        <is>
          <t xml:space="preserve">ACN</t>
        </is>
      </c>
      <c r="L527" s="0" t="inlineStr">
        <is>
          <t xml:space="preserve">Vernis et Finitions</t>
        </is>
      </c>
      <c r="M527" s="8">
        <f>I527-J527</f>
      </c>
      <c r="N527" s="0" t="inlineStr">
        <is>
          <t xml:space="preserve">2024-07</t>
        </is>
      </c>
      <c r="O527" s="0">
        <f>INDEX(Journaux!$E$5:$E$18,MATCH("2024|"&amp;A527,Journaux!$A$5:$A$18,0))</f>
      </c>
      <c r="P527" s="0">
        <f>INDEX(Comptes!$H$5:$H$42,MATCH(E527,Comptes!$A$5:$A$42,0))</f>
      </c>
      <c r="Q527" s="0" t="inlineStr">
        <is>
          <t xml:space="preserve">4</t>
        </is>
      </c>
      <c r="R527" s="7" t="inlineStr">
        <is>
          <t xml:space="preserve">401000|F003</t>
        </is>
      </c>
    </row>
    <row r="528">
      <c r="A528" s="4" t="inlineStr">
        <is>
          <t xml:space="preserve">BQ</t>
        </is>
      </c>
      <c r="B528" s="0" t="inlineStr">
        <is>
          <t xml:space="preserve">Banque Fictive</t>
        </is>
      </c>
      <c r="C528" s="0" t="inlineStr">
        <is>
          <t xml:space="preserve">BQ00152</t>
        </is>
      </c>
      <c r="D528" s="10">
        <v>45502</v>
      </c>
      <c r="E528" s="4" t="inlineStr">
        <is>
          <t xml:space="preserve">512000</t>
        </is>
      </c>
      <c r="F528" s="0" t="inlineStr">
        <is>
          <t xml:space="preserve">Banque Fictive</t>
        </is>
      </c>
      <c r="G528" s="0" t="inlineStr">
        <is>
          <t xml:space="preserve">DEC-F003-2024053</t>
        </is>
      </c>
      <c r="H528" s="0" t="inlineStr">
        <is>
          <t xml:space="preserve">Reglement fournisseur Vernis et Finitions F003-2024053</t>
        </is>
      </c>
      <c r="I528" s="8">
        <v>0</v>
      </c>
      <c r="J528" s="8">
        <v>28882.7</v>
      </c>
      <c r="K528" s="0"/>
      <c r="L528" s="0"/>
      <c r="M528" s="8">
        <f>I528-J528</f>
      </c>
      <c r="N528" s="0" t="inlineStr">
        <is>
          <t xml:space="preserve">2024-07</t>
        </is>
      </c>
      <c r="O528" s="0">
        <f>INDEX(Journaux!$E$5:$E$18,MATCH("2024|"&amp;A528,Journaux!$A$5:$A$18,0))</f>
      </c>
      <c r="P528" s="0">
        <f>INDEX(Comptes!$H$5:$H$42,MATCH(E528,Comptes!$A$5:$A$42,0))</f>
      </c>
      <c r="Q528" s="0" t="inlineStr">
        <is>
          <t xml:space="preserve">5</t>
        </is>
      </c>
    </row>
    <row r="529">
      <c r="A529" s="4" t="inlineStr">
        <is>
          <t xml:space="preserve">VT</t>
        </is>
      </c>
      <c r="B529" s="0" t="inlineStr">
        <is>
          <t xml:space="preserve">Journal des ventes</t>
        </is>
      </c>
      <c r="C529" s="0" t="inlineStr">
        <is>
          <t xml:space="preserve">VT00034</t>
        </is>
      </c>
      <c r="D529" s="10">
        <v>45503</v>
      </c>
      <c r="E529" s="4" t="inlineStr">
        <is>
          <t xml:space="preserve">411000</t>
        </is>
      </c>
      <c r="F529" s="0" t="inlineStr">
        <is>
          <t xml:space="preserve">Clients</t>
        </is>
      </c>
      <c r="G529" s="0" t="inlineStr">
        <is>
          <t xml:space="preserve">FA2024-0034</t>
        </is>
      </c>
      <c r="H529" s="0" t="inlineStr">
        <is>
          <t xml:space="preserve">Facture FA2024-0034 Cabinet Varenne Associes</t>
        </is>
      </c>
      <c r="I529" s="8">
        <v>41168.34</v>
      </c>
      <c r="J529" s="8">
        <v>0</v>
      </c>
      <c r="K529" s="0" t="inlineStr">
        <is>
          <t xml:space="preserve">AAM</t>
        </is>
      </c>
      <c r="L529" s="0" t="inlineStr">
        <is>
          <t xml:space="preserve">Cabinet Varenne Associes</t>
        </is>
      </c>
      <c r="M529" s="8">
        <f>I529-J529</f>
      </c>
      <c r="N529" s="0" t="inlineStr">
        <is>
          <t xml:space="preserve">2024-07</t>
        </is>
      </c>
      <c r="O529" s="0">
        <f>INDEX(Journaux!$E$5:$E$18,MATCH("2024|"&amp;A529,Journaux!$A$5:$A$18,0))</f>
      </c>
      <c r="P529" s="0">
        <f>INDEX(Comptes!$H$5:$H$42,MATCH(E529,Comptes!$A$5:$A$42,0))</f>
      </c>
      <c r="Q529" s="0" t="inlineStr">
        <is>
          <t xml:space="preserve">4</t>
        </is>
      </c>
      <c r="R529" s="7" t="inlineStr">
        <is>
          <t xml:space="preserve">411000|C004</t>
        </is>
      </c>
    </row>
    <row r="530">
      <c r="A530" s="4" t="inlineStr">
        <is>
          <t xml:space="preserve">VT</t>
        </is>
      </c>
      <c r="B530" s="0" t="inlineStr">
        <is>
          <t xml:space="preserve">Journal des ventes</t>
        </is>
      </c>
      <c r="C530" s="0" t="inlineStr">
        <is>
          <t xml:space="preserve">VT00034</t>
        </is>
      </c>
      <c r="D530" s="10">
        <v>45503</v>
      </c>
      <c r="E530" s="4" t="inlineStr">
        <is>
          <t xml:space="preserve">701000</t>
        </is>
      </c>
      <c r="F530" s="0" t="inlineStr">
        <is>
          <t xml:space="preserve">Ventes de produits finis</t>
        </is>
      </c>
      <c r="G530" s="0" t="inlineStr">
        <is>
          <t xml:space="preserve">FA2024-0034</t>
        </is>
      </c>
      <c r="H530" s="0" t="inlineStr">
        <is>
          <t xml:space="preserve">Facture FA2024-0034 Cabinet Varenne Associes</t>
        </is>
      </c>
      <c r="I530" s="8">
        <v>0</v>
      </c>
      <c r="J530" s="8">
        <v>34306.95</v>
      </c>
      <c r="K530" s="0"/>
      <c r="L530" s="0"/>
      <c r="M530" s="8">
        <f>I530-J530</f>
      </c>
      <c r="N530" s="0" t="inlineStr">
        <is>
          <t xml:space="preserve">2024-07</t>
        </is>
      </c>
      <c r="O530" s="0">
        <f>INDEX(Journaux!$E$5:$E$18,MATCH("2024|"&amp;A530,Journaux!$A$5:$A$18,0))</f>
      </c>
      <c r="P530" s="0">
        <f>INDEX(Comptes!$H$5:$H$42,MATCH(E530,Comptes!$A$5:$A$42,0))</f>
      </c>
      <c r="Q530" s="0" t="inlineStr">
        <is>
          <t xml:space="preserve">7</t>
        </is>
      </c>
    </row>
    <row r="531">
      <c r="A531" s="4" t="inlineStr">
        <is>
          <t xml:space="preserve">VT</t>
        </is>
      </c>
      <c r="B531" s="0" t="inlineStr">
        <is>
          <t xml:space="preserve">Journal des ventes</t>
        </is>
      </c>
      <c r="C531" s="0" t="inlineStr">
        <is>
          <t xml:space="preserve">VT00034</t>
        </is>
      </c>
      <c r="D531" s="10">
        <v>45503</v>
      </c>
      <c r="E531" s="4" t="inlineStr">
        <is>
          <t xml:space="preserve">445710</t>
        </is>
      </c>
      <c r="F531" s="0" t="inlineStr">
        <is>
          <t xml:space="preserve">TVA collectee</t>
        </is>
      </c>
      <c r="G531" s="0" t="inlineStr">
        <is>
          <t xml:space="preserve">FA2024-0034</t>
        </is>
      </c>
      <c r="H531" s="0" t="inlineStr">
        <is>
          <t xml:space="preserve">Facture FA2024-0034 Cabinet Varenne Associes</t>
        </is>
      </c>
      <c r="I531" s="8">
        <v>0</v>
      </c>
      <c r="J531" s="8">
        <v>6861.39</v>
      </c>
      <c r="K531" s="0"/>
      <c r="L531" s="0"/>
      <c r="M531" s="8">
        <f>I531-J531</f>
      </c>
      <c r="N531" s="0" t="inlineStr">
        <is>
          <t xml:space="preserve">2024-07</t>
        </is>
      </c>
      <c r="O531" s="0">
        <f>INDEX(Journaux!$E$5:$E$18,MATCH("2024|"&amp;A531,Journaux!$A$5:$A$18,0))</f>
      </c>
      <c r="P531" s="0">
        <f>INDEX(Comptes!$H$5:$H$42,MATCH(E531,Comptes!$A$5:$A$42,0))</f>
      </c>
      <c r="Q531" s="0" t="inlineStr">
        <is>
          <t xml:space="preserve">4</t>
        </is>
      </c>
    </row>
    <row r="532">
      <c r="A532" s="4" t="inlineStr">
        <is>
          <t xml:space="preserve">BQ</t>
        </is>
      </c>
      <c r="B532" s="0" t="inlineStr">
        <is>
          <t xml:space="preserve">Banque Fictive</t>
        </is>
      </c>
      <c r="C532" s="0" t="inlineStr">
        <is>
          <t xml:space="preserve">BQ00019</t>
        </is>
      </c>
      <c r="D532" s="10">
        <v>45504</v>
      </c>
      <c r="E532" s="4" t="inlineStr">
        <is>
          <t xml:space="preserve">421000</t>
        </is>
      </c>
      <c r="F532" s="0" t="inlineStr">
        <is>
          <t xml:space="preserve">Personnel remunerations dues</t>
        </is>
      </c>
      <c r="G532" s="0" t="inlineStr">
        <is>
          <t xml:space="preserve">VIRSAL202407</t>
        </is>
      </c>
      <c r="H532" s="0" t="inlineStr">
        <is>
          <t xml:space="preserve">Virement salaires 07/2024</t>
        </is>
      </c>
      <c r="I532" s="8">
        <v>41020.88</v>
      </c>
      <c r="J532" s="8">
        <v>0</v>
      </c>
      <c r="K532" s="0"/>
      <c r="L532" s="0"/>
      <c r="M532" s="8">
        <f>I532-J532</f>
      </c>
      <c r="N532" s="0" t="inlineStr">
        <is>
          <t xml:space="preserve">2024-07</t>
        </is>
      </c>
      <c r="O532" s="0">
        <f>INDEX(Journaux!$E$5:$E$18,MATCH("2024|"&amp;A532,Journaux!$A$5:$A$18,0))</f>
      </c>
      <c r="P532" s="0">
        <f>INDEX(Comptes!$H$5:$H$42,MATCH(E532,Comptes!$A$5:$A$42,0))</f>
      </c>
      <c r="Q532" s="0" t="inlineStr">
        <is>
          <t xml:space="preserve">4</t>
        </is>
      </c>
    </row>
    <row r="533">
      <c r="A533" s="4" t="inlineStr">
        <is>
          <t xml:space="preserve">BQ</t>
        </is>
      </c>
      <c r="B533" s="0" t="inlineStr">
        <is>
          <t xml:space="preserve">Banque Fictive</t>
        </is>
      </c>
      <c r="C533" s="0" t="inlineStr">
        <is>
          <t xml:space="preserve">BQ00019</t>
        </is>
      </c>
      <c r="D533" s="10">
        <v>45504</v>
      </c>
      <c r="E533" s="4" t="inlineStr">
        <is>
          <t xml:space="preserve">512000</t>
        </is>
      </c>
      <c r="F533" s="0" t="inlineStr">
        <is>
          <t xml:space="preserve">Banque Fictive</t>
        </is>
      </c>
      <c r="G533" s="0" t="inlineStr">
        <is>
          <t xml:space="preserve">VIRSAL202407</t>
        </is>
      </c>
      <c r="H533" s="0" t="inlineStr">
        <is>
          <t xml:space="preserve">Virement salaires 07/2024</t>
        </is>
      </c>
      <c r="I533" s="8">
        <v>0</v>
      </c>
      <c r="J533" s="8">
        <v>41020.88</v>
      </c>
      <c r="K533" s="0"/>
      <c r="L533" s="0"/>
      <c r="M533" s="8">
        <f>I533-J533</f>
      </c>
      <c r="N533" s="0" t="inlineStr">
        <is>
          <t xml:space="preserve">2024-07</t>
        </is>
      </c>
      <c r="O533" s="0">
        <f>INDEX(Journaux!$E$5:$E$18,MATCH("2024|"&amp;A533,Journaux!$A$5:$A$18,0))</f>
      </c>
      <c r="P533" s="0">
        <f>INDEX(Comptes!$H$5:$H$42,MATCH(E533,Comptes!$A$5:$A$42,0))</f>
      </c>
      <c r="Q533" s="0" t="inlineStr">
        <is>
          <t xml:space="preserve">5</t>
        </is>
      </c>
    </row>
    <row r="534">
      <c r="A534" s="4" t="inlineStr">
        <is>
          <t xml:space="preserve">BQ</t>
        </is>
      </c>
      <c r="B534" s="0" t="inlineStr">
        <is>
          <t xml:space="preserve">Banque Fictive</t>
        </is>
      </c>
      <c r="C534" s="0" t="inlineStr">
        <is>
          <t xml:space="preserve">BQ00021</t>
        </is>
      </c>
      <c r="D534" s="10">
        <v>45504</v>
      </c>
      <c r="E534" s="4" t="inlineStr">
        <is>
          <t xml:space="preserve">627000</t>
        </is>
      </c>
      <c r="F534" s="0" t="inlineStr">
        <is>
          <t xml:space="preserve">Services bancaires</t>
        </is>
      </c>
      <c r="G534" s="0" t="inlineStr">
        <is>
          <t xml:space="preserve">FRB202407</t>
        </is>
      </c>
      <c r="H534" s="0" t="inlineStr">
        <is>
          <t xml:space="preserve">Frais bancaires 07/2024</t>
        </is>
      </c>
      <c r="I534" s="8">
        <v>85</v>
      </c>
      <c r="J534" s="8">
        <v>0</v>
      </c>
      <c r="K534" s="0"/>
      <c r="L534" s="0"/>
      <c r="M534" s="8">
        <f>I534-J534</f>
      </c>
      <c r="N534" s="0" t="inlineStr">
        <is>
          <t xml:space="preserve">2024-07</t>
        </is>
      </c>
      <c r="O534" s="0">
        <f>INDEX(Journaux!$E$5:$E$18,MATCH("2024|"&amp;A534,Journaux!$A$5:$A$18,0))</f>
      </c>
      <c r="P534" s="0">
        <f>INDEX(Comptes!$H$5:$H$42,MATCH(E534,Comptes!$A$5:$A$42,0))</f>
      </c>
      <c r="Q534" s="0" t="inlineStr">
        <is>
          <t xml:space="preserve">6</t>
        </is>
      </c>
    </row>
    <row r="535">
      <c r="A535" s="4" t="inlineStr">
        <is>
          <t xml:space="preserve">BQ</t>
        </is>
      </c>
      <c r="B535" s="0" t="inlineStr">
        <is>
          <t xml:space="preserve">Banque Fictive</t>
        </is>
      </c>
      <c r="C535" s="0" t="inlineStr">
        <is>
          <t xml:space="preserve">BQ00021</t>
        </is>
      </c>
      <c r="D535" s="10">
        <v>45504</v>
      </c>
      <c r="E535" s="4" t="inlineStr">
        <is>
          <t xml:space="preserve">512000</t>
        </is>
      </c>
      <c r="F535" s="0" t="inlineStr">
        <is>
          <t xml:space="preserve">Banque Fictive</t>
        </is>
      </c>
      <c r="G535" s="0" t="inlineStr">
        <is>
          <t xml:space="preserve">FRB202407</t>
        </is>
      </c>
      <c r="H535" s="0" t="inlineStr">
        <is>
          <t xml:space="preserve">Frais bancaires 07/2024</t>
        </is>
      </c>
      <c r="I535" s="8">
        <v>0</v>
      </c>
      <c r="J535" s="8">
        <v>85</v>
      </c>
      <c r="K535" s="0"/>
      <c r="L535" s="0"/>
      <c r="M535" s="8">
        <f>I535-J535</f>
      </c>
      <c r="N535" s="0" t="inlineStr">
        <is>
          <t xml:space="preserve">2024-07</t>
        </is>
      </c>
      <c r="O535" s="0">
        <f>INDEX(Journaux!$E$5:$E$18,MATCH("2024|"&amp;A535,Journaux!$A$5:$A$18,0))</f>
      </c>
      <c r="P535" s="0">
        <f>INDEX(Comptes!$H$5:$H$42,MATCH(E535,Comptes!$A$5:$A$42,0))</f>
      </c>
      <c r="Q535" s="0" t="inlineStr">
        <is>
          <t xml:space="preserve">5</t>
        </is>
      </c>
    </row>
    <row r="536">
      <c r="A536" s="4" t="inlineStr">
        <is>
          <t xml:space="preserve">OD</t>
        </is>
      </c>
      <c r="B536" s="0" t="inlineStr">
        <is>
          <t xml:space="preserve">Operations diverses</t>
        </is>
      </c>
      <c r="C536" s="0" t="inlineStr">
        <is>
          <t xml:space="preserve">OD00007</t>
        </is>
      </c>
      <c r="D536" s="10">
        <v>45504</v>
      </c>
      <c r="E536" s="4" t="inlineStr">
        <is>
          <t xml:space="preserve">445710</t>
        </is>
      </c>
      <c r="F536" s="0" t="inlineStr">
        <is>
          <t xml:space="preserve">TVA collectee</t>
        </is>
      </c>
      <c r="G536" s="0" t="inlineStr">
        <is>
          <t xml:space="preserve">CA3-202407</t>
        </is>
      </c>
      <c r="H536" s="0" t="inlineStr">
        <is>
          <t xml:space="preserve">Declaration TVA 07/2024</t>
        </is>
      </c>
      <c r="I536" s="8">
        <v>31666.66</v>
      </c>
      <c r="J536" s="8">
        <v>0</v>
      </c>
      <c r="K536" s="0"/>
      <c r="L536" s="0"/>
      <c r="M536" s="8">
        <f>I536-J536</f>
      </c>
      <c r="N536" s="0" t="inlineStr">
        <is>
          <t xml:space="preserve">2024-07</t>
        </is>
      </c>
      <c r="O536" s="0">
        <f>INDEX(Journaux!$E$5:$E$18,MATCH("2024|"&amp;A536,Journaux!$A$5:$A$18,0))</f>
      </c>
      <c r="P536" s="0">
        <f>INDEX(Comptes!$H$5:$H$42,MATCH(E536,Comptes!$A$5:$A$42,0))</f>
      </c>
      <c r="Q536" s="0" t="inlineStr">
        <is>
          <t xml:space="preserve">4</t>
        </is>
      </c>
    </row>
    <row r="537">
      <c r="A537" s="4" t="inlineStr">
        <is>
          <t xml:space="preserve">OD</t>
        </is>
      </c>
      <c r="B537" s="0" t="inlineStr">
        <is>
          <t xml:space="preserve">Operations diverses</t>
        </is>
      </c>
      <c r="C537" s="0" t="inlineStr">
        <is>
          <t xml:space="preserve">OD00007</t>
        </is>
      </c>
      <c r="D537" s="10">
        <v>45504</v>
      </c>
      <c r="E537" s="4" t="inlineStr">
        <is>
          <t xml:space="preserve">445660</t>
        </is>
      </c>
      <c r="F537" s="0" t="inlineStr">
        <is>
          <t xml:space="preserve">TVA deductible sur ABS</t>
        </is>
      </c>
      <c r="G537" s="0" t="inlineStr">
        <is>
          <t xml:space="preserve">CA3-202407</t>
        </is>
      </c>
      <c r="H537" s="0" t="inlineStr">
        <is>
          <t xml:space="preserve">Declaration TVA 07/2024</t>
        </is>
      </c>
      <c r="I537" s="8">
        <v>0</v>
      </c>
      <c r="J537" s="8">
        <v>15647.6</v>
      </c>
      <c r="K537" s="0"/>
      <c r="L537" s="0"/>
      <c r="M537" s="8">
        <f>I537-J537</f>
      </c>
      <c r="N537" s="0" t="inlineStr">
        <is>
          <t xml:space="preserve">2024-07</t>
        </is>
      </c>
      <c r="O537" s="0">
        <f>INDEX(Journaux!$E$5:$E$18,MATCH("2024|"&amp;A537,Journaux!$A$5:$A$18,0))</f>
      </c>
      <c r="P537" s="0">
        <f>INDEX(Comptes!$H$5:$H$42,MATCH(E537,Comptes!$A$5:$A$42,0))</f>
      </c>
      <c r="Q537" s="0" t="inlineStr">
        <is>
          <t xml:space="preserve">4</t>
        </is>
      </c>
    </row>
    <row r="538">
      <c r="A538" s="4" t="inlineStr">
        <is>
          <t xml:space="preserve">OD</t>
        </is>
      </c>
      <c r="B538" s="0" t="inlineStr">
        <is>
          <t xml:space="preserve">Operations diverses</t>
        </is>
      </c>
      <c r="C538" s="0" t="inlineStr">
        <is>
          <t xml:space="preserve">OD00007</t>
        </is>
      </c>
      <c r="D538" s="10">
        <v>45504</v>
      </c>
      <c r="E538" s="4" t="inlineStr">
        <is>
          <t xml:space="preserve">445510</t>
        </is>
      </c>
      <c r="F538" s="0" t="inlineStr">
        <is>
          <t xml:space="preserve">TVA a decaisser</t>
        </is>
      </c>
      <c r="G538" s="0" t="inlineStr">
        <is>
          <t xml:space="preserve">CA3-202407</t>
        </is>
      </c>
      <c r="H538" s="0" t="inlineStr">
        <is>
          <t xml:space="preserve">Declaration TVA 07/2024</t>
        </is>
      </c>
      <c r="I538" s="8">
        <v>0</v>
      </c>
      <c r="J538" s="8">
        <v>16019.06</v>
      </c>
      <c r="K538" s="0"/>
      <c r="L538" s="0"/>
      <c r="M538" s="8">
        <f>I538-J538</f>
      </c>
      <c r="N538" s="0" t="inlineStr">
        <is>
          <t xml:space="preserve">2024-07</t>
        </is>
      </c>
      <c r="O538" s="0">
        <f>INDEX(Journaux!$E$5:$E$18,MATCH("2024|"&amp;A538,Journaux!$A$5:$A$18,0))</f>
      </c>
      <c r="P538" s="0">
        <f>INDEX(Comptes!$H$5:$H$42,MATCH(E538,Comptes!$A$5:$A$42,0))</f>
      </c>
      <c r="Q538" s="0" t="inlineStr">
        <is>
          <t xml:space="preserve">4</t>
        </is>
      </c>
    </row>
    <row r="539">
      <c r="A539" s="4" t="inlineStr">
        <is>
          <t xml:space="preserve">SA</t>
        </is>
      </c>
      <c r="B539" s="0" t="inlineStr">
        <is>
          <t xml:space="preserve">Salaires</t>
        </is>
      </c>
      <c r="C539" s="0" t="inlineStr">
        <is>
          <t xml:space="preserve">SA00007</t>
        </is>
      </c>
      <c r="D539" s="10">
        <v>45504</v>
      </c>
      <c r="E539" s="4" t="inlineStr">
        <is>
          <t xml:space="preserve">641000</t>
        </is>
      </c>
      <c r="F539" s="0" t="inlineStr">
        <is>
          <t xml:space="preserve">Remunerations du personnel</t>
        </is>
      </c>
      <c r="G539" s="0" t="inlineStr">
        <is>
          <t xml:space="preserve">PAIE202407</t>
        </is>
      </c>
      <c r="H539" s="0" t="inlineStr">
        <is>
          <t xml:space="preserve">Paie 07/2024</t>
        </is>
      </c>
      <c r="I539" s="8">
        <v>52590.87</v>
      </c>
      <c r="J539" s="8">
        <v>0</v>
      </c>
      <c r="K539" s="0"/>
      <c r="L539" s="0"/>
      <c r="M539" s="8">
        <f>I539-J539</f>
      </c>
      <c r="N539" s="0" t="inlineStr">
        <is>
          <t xml:space="preserve">2024-07</t>
        </is>
      </c>
      <c r="O539" s="0">
        <f>INDEX(Journaux!$E$5:$E$18,MATCH("2024|"&amp;A539,Journaux!$A$5:$A$18,0))</f>
      </c>
      <c r="P539" s="0">
        <f>INDEX(Comptes!$H$5:$H$42,MATCH(E539,Comptes!$A$5:$A$42,0))</f>
      </c>
      <c r="Q539" s="0" t="inlineStr">
        <is>
          <t xml:space="preserve">6</t>
        </is>
      </c>
    </row>
    <row r="540">
      <c r="A540" s="4" t="inlineStr">
        <is>
          <t xml:space="preserve">SA</t>
        </is>
      </c>
      <c r="B540" s="0" t="inlineStr">
        <is>
          <t xml:space="preserve">Salaires</t>
        </is>
      </c>
      <c r="C540" s="0" t="inlineStr">
        <is>
          <t xml:space="preserve">SA00007</t>
        </is>
      </c>
      <c r="D540" s="10">
        <v>45504</v>
      </c>
      <c r="E540" s="4" t="inlineStr">
        <is>
          <t xml:space="preserve">645100</t>
        </is>
      </c>
      <c r="F540" s="0" t="inlineStr">
        <is>
          <t xml:space="preserve">Cotisations URSSAF</t>
        </is>
      </c>
      <c r="G540" s="0" t="inlineStr">
        <is>
          <t xml:space="preserve">PAIE202407</t>
        </is>
      </c>
      <c r="H540" s="0" t="inlineStr">
        <is>
          <t xml:space="preserve">Paie 07/2024</t>
        </is>
      </c>
      <c r="I540" s="8">
        <v>22088.17</v>
      </c>
      <c r="J540" s="8">
        <v>0</v>
      </c>
      <c r="K540" s="0"/>
      <c r="L540" s="0"/>
      <c r="M540" s="8">
        <f>I540-J540</f>
      </c>
      <c r="N540" s="0" t="inlineStr">
        <is>
          <t xml:space="preserve">2024-07</t>
        </is>
      </c>
      <c r="O540" s="0">
        <f>INDEX(Journaux!$E$5:$E$18,MATCH("2024|"&amp;A540,Journaux!$A$5:$A$18,0))</f>
      </c>
      <c r="P540" s="0">
        <f>INDEX(Comptes!$H$5:$H$42,MATCH(E540,Comptes!$A$5:$A$42,0))</f>
      </c>
      <c r="Q540" s="0" t="inlineStr">
        <is>
          <t xml:space="preserve">6</t>
        </is>
      </c>
    </row>
    <row r="541">
      <c r="A541" s="4" t="inlineStr">
        <is>
          <t xml:space="preserve">SA</t>
        </is>
      </c>
      <c r="B541" s="0" t="inlineStr">
        <is>
          <t xml:space="preserve">Salaires</t>
        </is>
      </c>
      <c r="C541" s="0" t="inlineStr">
        <is>
          <t xml:space="preserve">SA00007</t>
        </is>
      </c>
      <c r="D541" s="10">
        <v>45504</v>
      </c>
      <c r="E541" s="4" t="inlineStr">
        <is>
          <t xml:space="preserve">421000</t>
        </is>
      </c>
      <c r="F541" s="0" t="inlineStr">
        <is>
          <t xml:space="preserve">Personnel remunerations dues</t>
        </is>
      </c>
      <c r="G541" s="0" t="inlineStr">
        <is>
          <t xml:space="preserve">PAIE202407</t>
        </is>
      </c>
      <c r="H541" s="0" t="inlineStr">
        <is>
          <t xml:space="preserve">Paie 07/2024</t>
        </is>
      </c>
      <c r="I541" s="8">
        <v>0</v>
      </c>
      <c r="J541" s="8">
        <v>41020.88</v>
      </c>
      <c r="K541" s="0"/>
      <c r="L541" s="0"/>
      <c r="M541" s="8">
        <f>I541-J541</f>
      </c>
      <c r="N541" s="0" t="inlineStr">
        <is>
          <t xml:space="preserve">2024-07</t>
        </is>
      </c>
      <c r="O541" s="0">
        <f>INDEX(Journaux!$E$5:$E$18,MATCH("2024|"&amp;A541,Journaux!$A$5:$A$18,0))</f>
      </c>
      <c r="P541" s="0">
        <f>INDEX(Comptes!$H$5:$H$42,MATCH(E541,Comptes!$A$5:$A$42,0))</f>
      </c>
      <c r="Q541" s="0" t="inlineStr">
        <is>
          <t xml:space="preserve">4</t>
        </is>
      </c>
    </row>
    <row r="542">
      <c r="A542" s="4" t="inlineStr">
        <is>
          <t xml:space="preserve">SA</t>
        </is>
      </c>
      <c r="B542" s="0" t="inlineStr">
        <is>
          <t xml:space="preserve">Salaires</t>
        </is>
      </c>
      <c r="C542" s="0" t="inlineStr">
        <is>
          <t xml:space="preserve">SA00007</t>
        </is>
      </c>
      <c r="D542" s="10">
        <v>45504</v>
      </c>
      <c r="E542" s="4" t="inlineStr">
        <is>
          <t xml:space="preserve">431000</t>
        </is>
      </c>
      <c r="F542" s="0" t="inlineStr">
        <is>
          <t xml:space="preserve">Securite sociale</t>
        </is>
      </c>
      <c r="G542" s="0" t="inlineStr">
        <is>
          <t xml:space="preserve">PAIE202407</t>
        </is>
      </c>
      <c r="H542" s="0" t="inlineStr">
        <is>
          <t xml:space="preserve">Paie 07/2024</t>
        </is>
      </c>
      <c r="I542" s="8">
        <v>0</v>
      </c>
      <c r="J542" s="8">
        <v>33658.16</v>
      </c>
      <c r="K542" s="0"/>
      <c r="L542" s="0"/>
      <c r="M542" s="8">
        <f>I542-J542</f>
      </c>
      <c r="N542" s="0" t="inlineStr">
        <is>
          <t xml:space="preserve">2024-07</t>
        </is>
      </c>
      <c r="O542" s="0">
        <f>INDEX(Journaux!$E$5:$E$18,MATCH("2024|"&amp;A542,Journaux!$A$5:$A$18,0))</f>
      </c>
      <c r="P542" s="0">
        <f>INDEX(Comptes!$H$5:$H$42,MATCH(E542,Comptes!$A$5:$A$42,0))</f>
      </c>
      <c r="Q542" s="0" t="inlineStr">
        <is>
          <t xml:space="preserve">4</t>
        </is>
      </c>
    </row>
    <row r="543">
      <c r="A543" s="4" t="inlineStr">
        <is>
          <t xml:space="preserve">VT</t>
        </is>
      </c>
      <c r="B543" s="0" t="inlineStr">
        <is>
          <t xml:space="preserve">Journal des ventes</t>
        </is>
      </c>
      <c r="C543" s="0" t="inlineStr">
        <is>
          <t xml:space="preserve">VT00040</t>
        </is>
      </c>
      <c r="D543" s="10">
        <v>45506</v>
      </c>
      <c r="E543" s="4" t="inlineStr">
        <is>
          <t xml:space="preserve">411000</t>
        </is>
      </c>
      <c r="F543" s="0" t="inlineStr">
        <is>
          <t xml:space="preserve">Clients</t>
        </is>
      </c>
      <c r="G543" s="0" t="inlineStr">
        <is>
          <t xml:space="preserve">FA2024-0040</t>
        </is>
      </c>
      <c r="H543" s="0" t="inlineStr">
        <is>
          <t xml:space="preserve">Facture FA2024-0040 Hotel Les Tilleuls</t>
        </is>
      </c>
      <c r="I543" s="8">
        <v>30006.28</v>
      </c>
      <c r="J543" s="8">
        <v>0</v>
      </c>
      <c r="K543" s="0" t="inlineStr">
        <is>
          <t xml:space="preserve">AAS</t>
        </is>
      </c>
      <c r="L543" s="0" t="inlineStr">
        <is>
          <t xml:space="preserve">Hotel Les Tilleuls</t>
        </is>
      </c>
      <c r="M543" s="8">
        <f>I543-J543</f>
      </c>
      <c r="N543" s="0" t="inlineStr">
        <is>
          <t xml:space="preserve">2024-08</t>
        </is>
      </c>
      <c r="O543" s="0">
        <f>INDEX(Journaux!$E$5:$E$18,MATCH("2024|"&amp;A543,Journaux!$A$5:$A$18,0))</f>
      </c>
      <c r="P543" s="0">
        <f>INDEX(Comptes!$H$5:$H$42,MATCH(E543,Comptes!$A$5:$A$42,0))</f>
      </c>
      <c r="Q543" s="0" t="inlineStr">
        <is>
          <t xml:space="preserve">4</t>
        </is>
      </c>
      <c r="R543" s="7" t="inlineStr">
        <is>
          <t xml:space="preserve">411000|C001</t>
        </is>
      </c>
    </row>
    <row r="544">
      <c r="A544" s="4" t="inlineStr">
        <is>
          <t xml:space="preserve">VT</t>
        </is>
      </c>
      <c r="B544" s="0" t="inlineStr">
        <is>
          <t xml:space="preserve">Journal des ventes</t>
        </is>
      </c>
      <c r="C544" s="0" t="inlineStr">
        <is>
          <t xml:space="preserve">VT00040</t>
        </is>
      </c>
      <c r="D544" s="10">
        <v>45506</v>
      </c>
      <c r="E544" s="4" t="inlineStr">
        <is>
          <t xml:space="preserve">701000</t>
        </is>
      </c>
      <c r="F544" s="0" t="inlineStr">
        <is>
          <t xml:space="preserve">Ventes de produits finis</t>
        </is>
      </c>
      <c r="G544" s="0" t="inlineStr">
        <is>
          <t xml:space="preserve">FA2024-0040</t>
        </is>
      </c>
      <c r="H544" s="0" t="inlineStr">
        <is>
          <t xml:space="preserve">Facture FA2024-0040 Hotel Les Tilleuls</t>
        </is>
      </c>
      <c r="I544" s="8">
        <v>0</v>
      </c>
      <c r="J544" s="8">
        <v>25005.23</v>
      </c>
      <c r="K544" s="0"/>
      <c r="L544" s="0"/>
      <c r="M544" s="8">
        <f>I544-J544</f>
      </c>
      <c r="N544" s="0" t="inlineStr">
        <is>
          <t xml:space="preserve">2024-08</t>
        </is>
      </c>
      <c r="O544" s="0">
        <f>INDEX(Journaux!$E$5:$E$18,MATCH("2024|"&amp;A544,Journaux!$A$5:$A$18,0))</f>
      </c>
      <c r="P544" s="0">
        <f>INDEX(Comptes!$H$5:$H$42,MATCH(E544,Comptes!$A$5:$A$42,0))</f>
      </c>
      <c r="Q544" s="0" t="inlineStr">
        <is>
          <t xml:space="preserve">7</t>
        </is>
      </c>
    </row>
    <row r="545">
      <c r="A545" s="4" t="inlineStr">
        <is>
          <t xml:space="preserve">VT</t>
        </is>
      </c>
      <c r="B545" s="0" t="inlineStr">
        <is>
          <t xml:space="preserve">Journal des ventes</t>
        </is>
      </c>
      <c r="C545" s="0" t="inlineStr">
        <is>
          <t xml:space="preserve">VT00040</t>
        </is>
      </c>
      <c r="D545" s="10">
        <v>45506</v>
      </c>
      <c r="E545" s="4" t="inlineStr">
        <is>
          <t xml:space="preserve">445710</t>
        </is>
      </c>
      <c r="F545" s="0" t="inlineStr">
        <is>
          <t xml:space="preserve">TVA collectee</t>
        </is>
      </c>
      <c r="G545" s="0" t="inlineStr">
        <is>
          <t xml:space="preserve">FA2024-0040</t>
        </is>
      </c>
      <c r="H545" s="0" t="inlineStr">
        <is>
          <t xml:space="preserve">Facture FA2024-0040 Hotel Les Tilleuls</t>
        </is>
      </c>
      <c r="I545" s="8">
        <v>0</v>
      </c>
      <c r="J545" s="8">
        <v>5001.05</v>
      </c>
      <c r="K545" s="0"/>
      <c r="L545" s="0"/>
      <c r="M545" s="8">
        <f>I545-J545</f>
      </c>
      <c r="N545" s="0" t="inlineStr">
        <is>
          <t xml:space="preserve">2024-08</t>
        </is>
      </c>
      <c r="O545" s="0">
        <f>INDEX(Journaux!$E$5:$E$18,MATCH("2024|"&amp;A545,Journaux!$A$5:$A$18,0))</f>
      </c>
      <c r="P545" s="0">
        <f>INDEX(Comptes!$H$5:$H$42,MATCH(E545,Comptes!$A$5:$A$42,0))</f>
      </c>
      <c r="Q545" s="0" t="inlineStr">
        <is>
          <t xml:space="preserve">4</t>
        </is>
      </c>
    </row>
    <row r="546">
      <c r="A546" s="4" t="inlineStr">
        <is>
          <t xml:space="preserve">VT</t>
        </is>
      </c>
      <c r="B546" s="0" t="inlineStr">
        <is>
          <t xml:space="preserve">Journal des ventes</t>
        </is>
      </c>
      <c r="C546" s="0" t="inlineStr">
        <is>
          <t xml:space="preserve">VT00042</t>
        </is>
      </c>
      <c r="D546" s="10">
        <v>45506</v>
      </c>
      <c r="E546" s="4" t="inlineStr">
        <is>
          <t xml:space="preserve">411000</t>
        </is>
      </c>
      <c r="F546" s="0" t="inlineStr">
        <is>
          <t xml:space="preserve">Clients</t>
        </is>
      </c>
      <c r="G546" s="0" t="inlineStr">
        <is>
          <t xml:space="preserve">FA2024-0042</t>
        </is>
      </c>
      <c r="H546" s="0" t="inlineStr">
        <is>
          <t xml:space="preserve">Facture FA2024-0042 Residence Bel Air</t>
        </is>
      </c>
      <c r="I546" s="8">
        <v>28615.24</v>
      </c>
      <c r="J546" s="8">
        <v>0</v>
      </c>
      <c r="K546" s="0" t="inlineStr">
        <is>
          <t xml:space="preserve">AAU</t>
        </is>
      </c>
      <c r="L546" s="0" t="inlineStr">
        <is>
          <t xml:space="preserve">Residence Bel Air</t>
        </is>
      </c>
      <c r="M546" s="8">
        <f>I546-J546</f>
      </c>
      <c r="N546" s="0" t="inlineStr">
        <is>
          <t xml:space="preserve">2024-08</t>
        </is>
      </c>
      <c r="O546" s="0">
        <f>INDEX(Journaux!$E$5:$E$18,MATCH("2024|"&amp;A546,Journaux!$A$5:$A$18,0))</f>
      </c>
      <c r="P546" s="0">
        <f>INDEX(Comptes!$H$5:$H$42,MATCH(E546,Comptes!$A$5:$A$42,0))</f>
      </c>
      <c r="Q546" s="0" t="inlineStr">
        <is>
          <t xml:space="preserve">4</t>
        </is>
      </c>
      <c r="R546" s="7" t="inlineStr">
        <is>
          <t xml:space="preserve">411000|C003</t>
        </is>
      </c>
    </row>
    <row r="547">
      <c r="A547" s="4" t="inlineStr">
        <is>
          <t xml:space="preserve">VT</t>
        </is>
      </c>
      <c r="B547" s="0" t="inlineStr">
        <is>
          <t xml:space="preserve">Journal des ventes</t>
        </is>
      </c>
      <c r="C547" s="0" t="inlineStr">
        <is>
          <t xml:space="preserve">VT00042</t>
        </is>
      </c>
      <c r="D547" s="10">
        <v>45506</v>
      </c>
      <c r="E547" s="4" t="inlineStr">
        <is>
          <t xml:space="preserve">701000</t>
        </is>
      </c>
      <c r="F547" s="0" t="inlineStr">
        <is>
          <t xml:space="preserve">Ventes de produits finis</t>
        </is>
      </c>
      <c r="G547" s="0" t="inlineStr">
        <is>
          <t xml:space="preserve">FA2024-0042</t>
        </is>
      </c>
      <c r="H547" s="0" t="inlineStr">
        <is>
          <t xml:space="preserve">Facture FA2024-0042 Residence Bel Air</t>
        </is>
      </c>
      <c r="I547" s="8">
        <v>0</v>
      </c>
      <c r="J547" s="8">
        <v>23846.03</v>
      </c>
      <c r="K547" s="0"/>
      <c r="L547" s="0"/>
      <c r="M547" s="8">
        <f>I547-J547</f>
      </c>
      <c r="N547" s="0" t="inlineStr">
        <is>
          <t xml:space="preserve">2024-08</t>
        </is>
      </c>
      <c r="O547" s="0">
        <f>INDEX(Journaux!$E$5:$E$18,MATCH("2024|"&amp;A547,Journaux!$A$5:$A$18,0))</f>
      </c>
      <c r="P547" s="0">
        <f>INDEX(Comptes!$H$5:$H$42,MATCH(E547,Comptes!$A$5:$A$42,0))</f>
      </c>
      <c r="Q547" s="0" t="inlineStr">
        <is>
          <t xml:space="preserve">7</t>
        </is>
      </c>
    </row>
    <row r="548">
      <c r="A548" s="4" t="inlineStr">
        <is>
          <t xml:space="preserve">VT</t>
        </is>
      </c>
      <c r="B548" s="0" t="inlineStr">
        <is>
          <t xml:space="preserve">Journal des ventes</t>
        </is>
      </c>
      <c r="C548" s="0" t="inlineStr">
        <is>
          <t xml:space="preserve">VT00042</t>
        </is>
      </c>
      <c r="D548" s="10">
        <v>45506</v>
      </c>
      <c r="E548" s="4" t="inlineStr">
        <is>
          <t xml:space="preserve">445710</t>
        </is>
      </c>
      <c r="F548" s="0" t="inlineStr">
        <is>
          <t xml:space="preserve">TVA collectee</t>
        </is>
      </c>
      <c r="G548" s="0" t="inlineStr">
        <is>
          <t xml:space="preserve">FA2024-0042</t>
        </is>
      </c>
      <c r="H548" s="0" t="inlineStr">
        <is>
          <t xml:space="preserve">Facture FA2024-0042 Residence Bel Air</t>
        </is>
      </c>
      <c r="I548" s="8">
        <v>0</v>
      </c>
      <c r="J548" s="8">
        <v>4769.21</v>
      </c>
      <c r="K548" s="0"/>
      <c r="L548" s="0"/>
      <c r="M548" s="8">
        <f>I548-J548</f>
      </c>
      <c r="N548" s="0" t="inlineStr">
        <is>
          <t xml:space="preserve">2024-08</t>
        </is>
      </c>
      <c r="O548" s="0">
        <f>INDEX(Journaux!$E$5:$E$18,MATCH("2024|"&amp;A548,Journaux!$A$5:$A$18,0))</f>
      </c>
      <c r="P548" s="0">
        <f>INDEX(Comptes!$H$5:$H$42,MATCH(E548,Comptes!$A$5:$A$42,0))</f>
      </c>
      <c r="Q548" s="0" t="inlineStr">
        <is>
          <t xml:space="preserve">4</t>
        </is>
      </c>
    </row>
    <row r="549">
      <c r="A549" s="4" t="inlineStr">
        <is>
          <t xml:space="preserve">AC</t>
        </is>
      </c>
      <c r="B549" s="0" t="inlineStr">
        <is>
          <t xml:space="preserve">Journal des achats</t>
        </is>
      </c>
      <c r="C549" s="0" t="inlineStr">
        <is>
          <t xml:space="preserve">AC00047</t>
        </is>
      </c>
      <c r="D549" s="10">
        <v>45509</v>
      </c>
      <c r="E549" s="4" t="inlineStr">
        <is>
          <t xml:space="preserve">613200</t>
        </is>
      </c>
      <c r="F549" s="0" t="inlineStr">
        <is>
          <t xml:space="preserve">Locations immobilieres</t>
        </is>
      </c>
      <c r="G549" s="0" t="inlineStr">
        <is>
          <t xml:space="preserve">F004-202408</t>
        </is>
      </c>
      <c r="H549" s="0" t="inlineStr">
        <is>
          <t xml:space="preserve">Facture SCI Les Halles 2024-08</t>
        </is>
      </c>
      <c r="I549" s="8">
        <v>8500</v>
      </c>
      <c r="J549" s="8">
        <v>0</v>
      </c>
      <c r="K549" s="0"/>
      <c r="L549" s="0"/>
      <c r="M549" s="8">
        <f>I549-J549</f>
      </c>
      <c r="N549" s="0" t="inlineStr">
        <is>
          <t xml:space="preserve">2024-08</t>
        </is>
      </c>
      <c r="O549" s="0">
        <f>INDEX(Journaux!$E$5:$E$18,MATCH("2024|"&amp;A549,Journaux!$A$5:$A$18,0))</f>
      </c>
      <c r="P549" s="0">
        <f>INDEX(Comptes!$H$5:$H$42,MATCH(E549,Comptes!$A$5:$A$42,0))</f>
      </c>
      <c r="Q549" s="0" t="inlineStr">
        <is>
          <t xml:space="preserve">6</t>
        </is>
      </c>
    </row>
    <row r="550">
      <c r="A550" s="4" t="inlineStr">
        <is>
          <t xml:space="preserve">AC</t>
        </is>
      </c>
      <c r="B550" s="0" t="inlineStr">
        <is>
          <t xml:space="preserve">Journal des achats</t>
        </is>
      </c>
      <c r="C550" s="0" t="inlineStr">
        <is>
          <t xml:space="preserve">AC00047</t>
        </is>
      </c>
      <c r="D550" s="10">
        <v>45509</v>
      </c>
      <c r="E550" s="4" t="inlineStr">
        <is>
          <t xml:space="preserve">445660</t>
        </is>
      </c>
      <c r="F550" s="0" t="inlineStr">
        <is>
          <t xml:space="preserve">TVA deductible sur ABS</t>
        </is>
      </c>
      <c r="G550" s="0" t="inlineStr">
        <is>
          <t xml:space="preserve">F004-202408</t>
        </is>
      </c>
      <c r="H550" s="0" t="inlineStr">
        <is>
          <t xml:space="preserve">Facture SCI Les Halles 2024-08</t>
        </is>
      </c>
      <c r="I550" s="8">
        <v>1700</v>
      </c>
      <c r="J550" s="8">
        <v>0</v>
      </c>
      <c r="K550" s="0"/>
      <c r="L550" s="0"/>
      <c r="M550" s="8">
        <f>I550-J550</f>
      </c>
      <c r="N550" s="0" t="inlineStr">
        <is>
          <t xml:space="preserve">2024-08</t>
        </is>
      </c>
      <c r="O550" s="0">
        <f>INDEX(Journaux!$E$5:$E$18,MATCH("2024|"&amp;A550,Journaux!$A$5:$A$18,0))</f>
      </c>
      <c r="P550" s="0">
        <f>INDEX(Comptes!$H$5:$H$42,MATCH(E550,Comptes!$A$5:$A$42,0))</f>
      </c>
      <c r="Q550" s="0" t="inlineStr">
        <is>
          <t xml:space="preserve">4</t>
        </is>
      </c>
    </row>
    <row r="551">
      <c r="A551" s="4" t="inlineStr">
        <is>
          <t xml:space="preserve">AC</t>
        </is>
      </c>
      <c r="B551" s="0" t="inlineStr">
        <is>
          <t xml:space="preserve">Journal des achats</t>
        </is>
      </c>
      <c r="C551" s="0" t="inlineStr">
        <is>
          <t xml:space="preserve">AC00047</t>
        </is>
      </c>
      <c r="D551" s="10">
        <v>45509</v>
      </c>
      <c r="E551" s="4" t="inlineStr">
        <is>
          <t xml:space="preserve">401000</t>
        </is>
      </c>
      <c r="F551" s="0" t="inlineStr">
        <is>
          <t xml:space="preserve">Fournisseurs</t>
        </is>
      </c>
      <c r="G551" s="0" t="inlineStr">
        <is>
          <t xml:space="preserve">F004-202408</t>
        </is>
      </c>
      <c r="H551" s="0" t="inlineStr">
        <is>
          <t xml:space="preserve">Facture SCI Les Halles 2024-08</t>
        </is>
      </c>
      <c r="I551" s="8">
        <v>0</v>
      </c>
      <c r="J551" s="8">
        <v>10200</v>
      </c>
      <c r="K551" s="0" t="inlineStr">
        <is>
          <t xml:space="preserve">ADG</t>
        </is>
      </c>
      <c r="L551" s="0" t="inlineStr">
        <is>
          <t xml:space="preserve">SCI Les Halles</t>
        </is>
      </c>
      <c r="M551" s="8">
        <f>I551-J551</f>
      </c>
      <c r="N551" s="0" t="inlineStr">
        <is>
          <t xml:space="preserve">2024-08</t>
        </is>
      </c>
      <c r="O551" s="0">
        <f>INDEX(Journaux!$E$5:$E$18,MATCH("2024|"&amp;A551,Journaux!$A$5:$A$18,0))</f>
      </c>
      <c r="P551" s="0">
        <f>INDEX(Comptes!$H$5:$H$42,MATCH(E551,Comptes!$A$5:$A$42,0))</f>
      </c>
      <c r="Q551" s="0" t="inlineStr">
        <is>
          <t xml:space="preserve">4</t>
        </is>
      </c>
      <c r="R551" s="7" t="inlineStr">
        <is>
          <t xml:space="preserve">401000|F004</t>
        </is>
      </c>
    </row>
    <row r="552">
      <c r="A552" s="4" t="inlineStr">
        <is>
          <t xml:space="preserve">AC</t>
        </is>
      </c>
      <c r="B552" s="0" t="inlineStr">
        <is>
          <t xml:space="preserve">Journal des achats</t>
        </is>
      </c>
      <c r="C552" s="0" t="inlineStr">
        <is>
          <t xml:space="preserve">AC00048</t>
        </is>
      </c>
      <c r="D552" s="10">
        <v>45509</v>
      </c>
      <c r="E552" s="4" t="inlineStr">
        <is>
          <t xml:space="preserve">606100</t>
        </is>
      </c>
      <c r="F552" s="0" t="inlineStr">
        <is>
          <t xml:space="preserve">Fournitures non stockables energie</t>
        </is>
      </c>
      <c r="G552" s="0" t="inlineStr">
        <is>
          <t xml:space="preserve">F005-202408</t>
        </is>
      </c>
      <c r="H552" s="0" t="inlineStr">
        <is>
          <t xml:space="preserve">Facture Energie Plus 2024-08</t>
        </is>
      </c>
      <c r="I552" s="8">
        <v>3181.54</v>
      </c>
      <c r="J552" s="8">
        <v>0</v>
      </c>
      <c r="K552" s="0"/>
      <c r="L552" s="0"/>
      <c r="M552" s="8">
        <f>I552-J552</f>
      </c>
      <c r="N552" s="0" t="inlineStr">
        <is>
          <t xml:space="preserve">2024-08</t>
        </is>
      </c>
      <c r="O552" s="0">
        <f>INDEX(Journaux!$E$5:$E$18,MATCH("2024|"&amp;A552,Journaux!$A$5:$A$18,0))</f>
      </c>
      <c r="P552" s="0">
        <f>INDEX(Comptes!$H$5:$H$42,MATCH(E552,Comptes!$A$5:$A$42,0))</f>
      </c>
      <c r="Q552" s="0" t="inlineStr">
        <is>
          <t xml:space="preserve">6</t>
        </is>
      </c>
    </row>
    <row r="553">
      <c r="A553" s="4" t="inlineStr">
        <is>
          <t xml:space="preserve">AC</t>
        </is>
      </c>
      <c r="B553" s="0" t="inlineStr">
        <is>
          <t xml:space="preserve">Journal des achats</t>
        </is>
      </c>
      <c r="C553" s="0" t="inlineStr">
        <is>
          <t xml:space="preserve">AC00048</t>
        </is>
      </c>
      <c r="D553" s="10">
        <v>45509</v>
      </c>
      <c r="E553" s="4" t="inlineStr">
        <is>
          <t xml:space="preserve">445660</t>
        </is>
      </c>
      <c r="F553" s="0" t="inlineStr">
        <is>
          <t xml:space="preserve">TVA deductible sur ABS</t>
        </is>
      </c>
      <c r="G553" s="0" t="inlineStr">
        <is>
          <t xml:space="preserve">F005-202408</t>
        </is>
      </c>
      <c r="H553" s="0" t="inlineStr">
        <is>
          <t xml:space="preserve">Facture Energie Plus 2024-08</t>
        </is>
      </c>
      <c r="I553" s="8">
        <v>636.31</v>
      </c>
      <c r="J553" s="8">
        <v>0</v>
      </c>
      <c r="K553" s="0"/>
      <c r="L553" s="0"/>
      <c r="M553" s="8">
        <f>I553-J553</f>
      </c>
      <c r="N553" s="0" t="inlineStr">
        <is>
          <t xml:space="preserve">2024-08</t>
        </is>
      </c>
      <c r="O553" s="0">
        <f>INDEX(Journaux!$E$5:$E$18,MATCH("2024|"&amp;A553,Journaux!$A$5:$A$18,0))</f>
      </c>
      <c r="P553" s="0">
        <f>INDEX(Comptes!$H$5:$H$42,MATCH(E553,Comptes!$A$5:$A$42,0))</f>
      </c>
      <c r="Q553" s="0" t="inlineStr">
        <is>
          <t xml:space="preserve">4</t>
        </is>
      </c>
    </row>
    <row r="554">
      <c r="A554" s="4" t="inlineStr">
        <is>
          <t xml:space="preserve">AC</t>
        </is>
      </c>
      <c r="B554" s="0" t="inlineStr">
        <is>
          <t xml:space="preserve">Journal des achats</t>
        </is>
      </c>
      <c r="C554" s="0" t="inlineStr">
        <is>
          <t xml:space="preserve">AC00048</t>
        </is>
      </c>
      <c r="D554" s="10">
        <v>45509</v>
      </c>
      <c r="E554" s="4" t="inlineStr">
        <is>
          <t xml:space="preserve">401000</t>
        </is>
      </c>
      <c r="F554" s="0" t="inlineStr">
        <is>
          <t xml:space="preserve">Fournisseurs</t>
        </is>
      </c>
      <c r="G554" s="0" t="inlineStr">
        <is>
          <t xml:space="preserve">F005-202408</t>
        </is>
      </c>
      <c r="H554" s="0" t="inlineStr">
        <is>
          <t xml:space="preserve">Facture Energie Plus 2024-08</t>
        </is>
      </c>
      <c r="I554" s="8">
        <v>0</v>
      </c>
      <c r="J554" s="8">
        <v>3817.85</v>
      </c>
      <c r="K554" s="0" t="inlineStr">
        <is>
          <t xml:space="preserve">ADH</t>
        </is>
      </c>
      <c r="L554" s="0" t="inlineStr">
        <is>
          <t xml:space="preserve">Energie Plus</t>
        </is>
      </c>
      <c r="M554" s="8">
        <f>I554-J554</f>
      </c>
      <c r="N554" s="0" t="inlineStr">
        <is>
          <t xml:space="preserve">2024-08</t>
        </is>
      </c>
      <c r="O554" s="0">
        <f>INDEX(Journaux!$E$5:$E$18,MATCH("2024|"&amp;A554,Journaux!$A$5:$A$18,0))</f>
      </c>
      <c r="P554" s="0">
        <f>INDEX(Comptes!$H$5:$H$42,MATCH(E554,Comptes!$A$5:$A$42,0))</f>
      </c>
      <c r="Q554" s="0" t="inlineStr">
        <is>
          <t xml:space="preserve">4</t>
        </is>
      </c>
      <c r="R554" s="7" t="inlineStr">
        <is>
          <t xml:space="preserve">401000|F005</t>
        </is>
      </c>
    </row>
    <row r="555">
      <c r="A555" s="4" t="inlineStr">
        <is>
          <t xml:space="preserve">AC</t>
        </is>
      </c>
      <c r="B555" s="0" t="inlineStr">
        <is>
          <t xml:space="preserve">Journal des achats</t>
        </is>
      </c>
      <c r="C555" s="0" t="inlineStr">
        <is>
          <t xml:space="preserve">AC00049</t>
        </is>
      </c>
      <c r="D555" s="10">
        <v>45509</v>
      </c>
      <c r="E555" s="4" t="inlineStr">
        <is>
          <t xml:space="preserve">626000</t>
        </is>
      </c>
      <c r="F555" s="0" t="inlineStr">
        <is>
          <t xml:space="preserve">Frais postaux et telecommunications</t>
        </is>
      </c>
      <c r="G555" s="0" t="inlineStr">
        <is>
          <t xml:space="preserve">F008-202408</t>
        </is>
      </c>
      <c r="H555" s="0" t="inlineStr">
        <is>
          <t xml:space="preserve">Facture Telecom Pro 2024-08</t>
        </is>
      </c>
      <c r="I555" s="8">
        <v>480</v>
      </c>
      <c r="J555" s="8">
        <v>0</v>
      </c>
      <c r="K555" s="0"/>
      <c r="L555" s="0"/>
      <c r="M555" s="8">
        <f>I555-J555</f>
      </c>
      <c r="N555" s="0" t="inlineStr">
        <is>
          <t xml:space="preserve">2024-08</t>
        </is>
      </c>
      <c r="O555" s="0">
        <f>INDEX(Journaux!$E$5:$E$18,MATCH("2024|"&amp;A555,Journaux!$A$5:$A$18,0))</f>
      </c>
      <c r="P555" s="0">
        <f>INDEX(Comptes!$H$5:$H$42,MATCH(E555,Comptes!$A$5:$A$42,0))</f>
      </c>
      <c r="Q555" s="0" t="inlineStr">
        <is>
          <t xml:space="preserve">6</t>
        </is>
      </c>
    </row>
    <row r="556">
      <c r="A556" s="4" t="inlineStr">
        <is>
          <t xml:space="preserve">AC</t>
        </is>
      </c>
      <c r="B556" s="0" t="inlineStr">
        <is>
          <t xml:space="preserve">Journal des achats</t>
        </is>
      </c>
      <c r="C556" s="0" t="inlineStr">
        <is>
          <t xml:space="preserve">AC00049</t>
        </is>
      </c>
      <c r="D556" s="10">
        <v>45509</v>
      </c>
      <c r="E556" s="4" t="inlineStr">
        <is>
          <t xml:space="preserve">445660</t>
        </is>
      </c>
      <c r="F556" s="0" t="inlineStr">
        <is>
          <t xml:space="preserve">TVA deductible sur ABS</t>
        </is>
      </c>
      <c r="G556" s="0" t="inlineStr">
        <is>
          <t xml:space="preserve">F008-202408</t>
        </is>
      </c>
      <c r="H556" s="0" t="inlineStr">
        <is>
          <t xml:space="preserve">Facture Telecom Pro 2024-08</t>
        </is>
      </c>
      <c r="I556" s="8">
        <v>96</v>
      </c>
      <c r="J556" s="8">
        <v>0</v>
      </c>
      <c r="K556" s="0"/>
      <c r="L556" s="0"/>
      <c r="M556" s="8">
        <f>I556-J556</f>
      </c>
      <c r="N556" s="0" t="inlineStr">
        <is>
          <t xml:space="preserve">2024-08</t>
        </is>
      </c>
      <c r="O556" s="0">
        <f>INDEX(Journaux!$E$5:$E$18,MATCH("2024|"&amp;A556,Journaux!$A$5:$A$18,0))</f>
      </c>
      <c r="P556" s="0">
        <f>INDEX(Comptes!$H$5:$H$42,MATCH(E556,Comptes!$A$5:$A$42,0))</f>
      </c>
      <c r="Q556" s="0" t="inlineStr">
        <is>
          <t xml:space="preserve">4</t>
        </is>
      </c>
    </row>
    <row r="557">
      <c r="A557" s="4" t="inlineStr">
        <is>
          <t xml:space="preserve">AC</t>
        </is>
      </c>
      <c r="B557" s="0" t="inlineStr">
        <is>
          <t xml:space="preserve">Journal des achats</t>
        </is>
      </c>
      <c r="C557" s="0" t="inlineStr">
        <is>
          <t xml:space="preserve">AC00049</t>
        </is>
      </c>
      <c r="D557" s="10">
        <v>45509</v>
      </c>
      <c r="E557" s="4" t="inlineStr">
        <is>
          <t xml:space="preserve">401000</t>
        </is>
      </c>
      <c r="F557" s="0" t="inlineStr">
        <is>
          <t xml:space="preserve">Fournisseurs</t>
        </is>
      </c>
      <c r="G557" s="0" t="inlineStr">
        <is>
          <t xml:space="preserve">F008-202408</t>
        </is>
      </c>
      <c r="H557" s="0" t="inlineStr">
        <is>
          <t xml:space="preserve">Facture Telecom Pro 2024-08</t>
        </is>
      </c>
      <c r="I557" s="8">
        <v>0</v>
      </c>
      <c r="J557" s="8">
        <v>576</v>
      </c>
      <c r="K557" s="0" t="inlineStr">
        <is>
          <t xml:space="preserve">ADI</t>
        </is>
      </c>
      <c r="L557" s="0" t="inlineStr">
        <is>
          <t xml:space="preserve">Telecom Pro</t>
        </is>
      </c>
      <c r="M557" s="8">
        <f>I557-J557</f>
      </c>
      <c r="N557" s="0" t="inlineStr">
        <is>
          <t xml:space="preserve">2024-08</t>
        </is>
      </c>
      <c r="O557" s="0">
        <f>INDEX(Journaux!$E$5:$E$18,MATCH("2024|"&amp;A557,Journaux!$A$5:$A$18,0))</f>
      </c>
      <c r="P557" s="0">
        <f>INDEX(Comptes!$H$5:$H$42,MATCH(E557,Comptes!$A$5:$A$42,0))</f>
      </c>
      <c r="Q557" s="0" t="inlineStr">
        <is>
          <t xml:space="preserve">4</t>
        </is>
      </c>
      <c r="R557" s="7" t="inlineStr">
        <is>
          <t xml:space="preserve">401000|F008</t>
        </is>
      </c>
    </row>
    <row r="558">
      <c r="A558" s="4" t="inlineStr">
        <is>
          <t xml:space="preserve">BQ</t>
        </is>
      </c>
      <c r="B558" s="0" t="inlineStr">
        <is>
          <t xml:space="preserve">Banque Fictive</t>
        </is>
      </c>
      <c r="C558" s="0" t="inlineStr">
        <is>
          <t xml:space="preserve">BQ00098</t>
        </is>
      </c>
      <c r="D558" s="10">
        <v>45509</v>
      </c>
      <c r="E558" s="4" t="inlineStr">
        <is>
          <t xml:space="preserve">512000</t>
        </is>
      </c>
      <c r="F558" s="0" t="inlineStr">
        <is>
          <t xml:space="preserve">Banque Fictive</t>
        </is>
      </c>
      <c r="G558" s="0" t="inlineStr">
        <is>
          <t xml:space="preserve">ENC-FA2024-0033</t>
        </is>
      </c>
      <c r="H558" s="0" t="inlineStr">
        <is>
          <t xml:space="preserve">Reglement client Coworking Atelier 9 FA2024-0033</t>
        </is>
      </c>
      <c r="I558" s="8">
        <v>56983.06</v>
      </c>
      <c r="J558" s="8">
        <v>0</v>
      </c>
      <c r="K558" s="0"/>
      <c r="L558" s="0"/>
      <c r="M558" s="8">
        <f>I558-J558</f>
      </c>
      <c r="N558" s="0" t="inlineStr">
        <is>
          <t xml:space="preserve">2024-08</t>
        </is>
      </c>
      <c r="O558" s="0">
        <f>INDEX(Journaux!$E$5:$E$18,MATCH("2024|"&amp;A558,Journaux!$A$5:$A$18,0))</f>
      </c>
      <c r="P558" s="0">
        <f>INDEX(Comptes!$H$5:$H$42,MATCH(E558,Comptes!$A$5:$A$42,0))</f>
      </c>
      <c r="Q558" s="0" t="inlineStr">
        <is>
          <t xml:space="preserve">5</t>
        </is>
      </c>
    </row>
    <row r="559">
      <c r="A559" s="4" t="inlineStr">
        <is>
          <t xml:space="preserve">BQ</t>
        </is>
      </c>
      <c r="B559" s="0" t="inlineStr">
        <is>
          <t xml:space="preserve">Banque Fictive</t>
        </is>
      </c>
      <c r="C559" s="0" t="inlineStr">
        <is>
          <t xml:space="preserve">BQ00098</t>
        </is>
      </c>
      <c r="D559" s="10">
        <v>45509</v>
      </c>
      <c r="E559" s="4" t="inlineStr">
        <is>
          <t xml:space="preserve">411000</t>
        </is>
      </c>
      <c r="F559" s="0" t="inlineStr">
        <is>
          <t xml:space="preserve">Clients</t>
        </is>
      </c>
      <c r="G559" s="0" t="inlineStr">
        <is>
          <t xml:space="preserve">ENC-FA2024-0033</t>
        </is>
      </c>
      <c r="H559" s="0" t="inlineStr">
        <is>
          <t xml:space="preserve">Reglement client Coworking Atelier 9 FA2024-0033</t>
        </is>
      </c>
      <c r="I559" s="8">
        <v>0</v>
      </c>
      <c r="J559" s="8">
        <v>56983.06</v>
      </c>
      <c r="K559" s="0" t="inlineStr">
        <is>
          <t xml:space="preserve">AAL</t>
        </is>
      </c>
      <c r="L559" s="0" t="inlineStr">
        <is>
          <t xml:space="preserve">Coworking Atelier 9</t>
        </is>
      </c>
      <c r="M559" s="8">
        <f>I559-J559</f>
      </c>
      <c r="N559" s="0" t="inlineStr">
        <is>
          <t xml:space="preserve">2024-08</t>
        </is>
      </c>
      <c r="O559" s="0">
        <f>INDEX(Journaux!$E$5:$E$18,MATCH("2024|"&amp;A559,Journaux!$A$5:$A$18,0))</f>
      </c>
      <c r="P559" s="0">
        <f>INDEX(Comptes!$H$5:$H$42,MATCH(E559,Comptes!$A$5:$A$42,0))</f>
      </c>
      <c r="Q559" s="0" t="inlineStr">
        <is>
          <t xml:space="preserve">4</t>
        </is>
      </c>
      <c r="R559" s="7" t="inlineStr">
        <is>
          <t xml:space="preserve">411000|C008</t>
        </is>
      </c>
    </row>
    <row r="560">
      <c r="A560" s="4" t="inlineStr">
        <is>
          <t xml:space="preserve">BQ</t>
        </is>
      </c>
      <c r="B560" s="0" t="inlineStr">
        <is>
          <t xml:space="preserve">Banque Fictive</t>
        </is>
      </c>
      <c r="C560" s="0" t="inlineStr">
        <is>
          <t xml:space="preserve">BQ00165</t>
        </is>
      </c>
      <c r="D560" s="10">
        <v>45509</v>
      </c>
      <c r="E560" s="4" t="inlineStr">
        <is>
          <t xml:space="preserve">401000</t>
        </is>
      </c>
      <c r="F560" s="0" t="inlineStr">
        <is>
          <t xml:space="preserve">Fournisseurs</t>
        </is>
      </c>
      <c r="G560" s="0" t="inlineStr">
        <is>
          <t xml:space="preserve">DEC-F004-202407</t>
        </is>
      </c>
      <c r="H560" s="0" t="inlineStr">
        <is>
          <t xml:space="preserve">Reglement fournisseur SCI Les Halles F004-202407</t>
        </is>
      </c>
      <c r="I560" s="8">
        <v>10200</v>
      </c>
      <c r="J560" s="8">
        <v>0</v>
      </c>
      <c r="K560" s="0" t="inlineStr">
        <is>
          <t xml:space="preserve">ADA</t>
        </is>
      </c>
      <c r="L560" s="0" t="inlineStr">
        <is>
          <t xml:space="preserve">SCI Les Halles</t>
        </is>
      </c>
      <c r="M560" s="8">
        <f>I560-J560</f>
      </c>
      <c r="N560" s="0" t="inlineStr">
        <is>
          <t xml:space="preserve">2024-08</t>
        </is>
      </c>
      <c r="O560" s="0">
        <f>INDEX(Journaux!$E$5:$E$18,MATCH("2024|"&amp;A560,Journaux!$A$5:$A$18,0))</f>
      </c>
      <c r="P560" s="0">
        <f>INDEX(Comptes!$H$5:$H$42,MATCH(E560,Comptes!$A$5:$A$42,0))</f>
      </c>
      <c r="Q560" s="0" t="inlineStr">
        <is>
          <t xml:space="preserve">4</t>
        </is>
      </c>
      <c r="R560" s="7" t="inlineStr">
        <is>
          <t xml:space="preserve">401000|F004</t>
        </is>
      </c>
    </row>
    <row r="561">
      <c r="A561" s="4" t="inlineStr">
        <is>
          <t xml:space="preserve">BQ</t>
        </is>
      </c>
      <c r="B561" s="0" t="inlineStr">
        <is>
          <t xml:space="preserve">Banque Fictive</t>
        </is>
      </c>
      <c r="C561" s="0" t="inlineStr">
        <is>
          <t xml:space="preserve">BQ00165</t>
        </is>
      </c>
      <c r="D561" s="10">
        <v>45509</v>
      </c>
      <c r="E561" s="4" t="inlineStr">
        <is>
          <t xml:space="preserve">512000</t>
        </is>
      </c>
      <c r="F561" s="0" t="inlineStr">
        <is>
          <t xml:space="preserve">Banque Fictive</t>
        </is>
      </c>
      <c r="G561" s="0" t="inlineStr">
        <is>
          <t xml:space="preserve">DEC-F004-202407</t>
        </is>
      </c>
      <c r="H561" s="0" t="inlineStr">
        <is>
          <t xml:space="preserve">Reglement fournisseur SCI Les Halles F004-202407</t>
        </is>
      </c>
      <c r="I561" s="8">
        <v>0</v>
      </c>
      <c r="J561" s="8">
        <v>10200</v>
      </c>
      <c r="K561" s="0"/>
      <c r="L561" s="0"/>
      <c r="M561" s="8">
        <f>I561-J561</f>
      </c>
      <c r="N561" s="0" t="inlineStr">
        <is>
          <t xml:space="preserve">2024-08</t>
        </is>
      </c>
      <c r="O561" s="0">
        <f>INDEX(Journaux!$E$5:$E$18,MATCH("2024|"&amp;A561,Journaux!$A$5:$A$18,0))</f>
      </c>
      <c r="P561" s="0">
        <f>INDEX(Comptes!$H$5:$H$42,MATCH(E561,Comptes!$A$5:$A$42,0))</f>
      </c>
      <c r="Q561" s="0" t="inlineStr">
        <is>
          <t xml:space="preserve">5</t>
        </is>
      </c>
    </row>
    <row r="562">
      <c r="A562" s="4" t="inlineStr">
        <is>
          <t xml:space="preserve">BQ</t>
        </is>
      </c>
      <c r="B562" s="0" t="inlineStr">
        <is>
          <t xml:space="preserve">Banque Fictive</t>
        </is>
      </c>
      <c r="C562" s="0" t="inlineStr">
        <is>
          <t xml:space="preserve">BQ00166</t>
        </is>
      </c>
      <c r="D562" s="10">
        <v>45509</v>
      </c>
      <c r="E562" s="4" t="inlineStr">
        <is>
          <t xml:space="preserve">401000</t>
        </is>
      </c>
      <c r="F562" s="0" t="inlineStr">
        <is>
          <t xml:space="preserve">Fournisseurs</t>
        </is>
      </c>
      <c r="G562" s="0" t="inlineStr">
        <is>
          <t xml:space="preserve">DEC-F005-202407</t>
        </is>
      </c>
      <c r="H562" s="0" t="inlineStr">
        <is>
          <t xml:space="preserve">Reglement fournisseur Energie Plus F005-202407</t>
        </is>
      </c>
      <c r="I562" s="8">
        <v>3309.62</v>
      </c>
      <c r="J562" s="8">
        <v>0</v>
      </c>
      <c r="K562" s="0" t="inlineStr">
        <is>
          <t xml:space="preserve">ADB</t>
        </is>
      </c>
      <c r="L562" s="0" t="inlineStr">
        <is>
          <t xml:space="preserve">Energie Plus</t>
        </is>
      </c>
      <c r="M562" s="8">
        <f>I562-J562</f>
      </c>
      <c r="N562" s="0" t="inlineStr">
        <is>
          <t xml:space="preserve">2024-08</t>
        </is>
      </c>
      <c r="O562" s="0">
        <f>INDEX(Journaux!$E$5:$E$18,MATCH("2024|"&amp;A562,Journaux!$A$5:$A$18,0))</f>
      </c>
      <c r="P562" s="0">
        <f>INDEX(Comptes!$H$5:$H$42,MATCH(E562,Comptes!$A$5:$A$42,0))</f>
      </c>
      <c r="Q562" s="0" t="inlineStr">
        <is>
          <t xml:space="preserve">4</t>
        </is>
      </c>
      <c r="R562" s="7" t="inlineStr">
        <is>
          <t xml:space="preserve">401000|F005</t>
        </is>
      </c>
    </row>
    <row r="563">
      <c r="A563" s="4" t="inlineStr">
        <is>
          <t xml:space="preserve">BQ</t>
        </is>
      </c>
      <c r="B563" s="0" t="inlineStr">
        <is>
          <t xml:space="preserve">Banque Fictive</t>
        </is>
      </c>
      <c r="C563" s="0" t="inlineStr">
        <is>
          <t xml:space="preserve">BQ00166</t>
        </is>
      </c>
      <c r="D563" s="10">
        <v>45509</v>
      </c>
      <c r="E563" s="4" t="inlineStr">
        <is>
          <t xml:space="preserve">512000</t>
        </is>
      </c>
      <c r="F563" s="0" t="inlineStr">
        <is>
          <t xml:space="preserve">Banque Fictive</t>
        </is>
      </c>
      <c r="G563" s="0" t="inlineStr">
        <is>
          <t xml:space="preserve">DEC-F005-202407</t>
        </is>
      </c>
      <c r="H563" s="0" t="inlineStr">
        <is>
          <t xml:space="preserve">Reglement fournisseur Energie Plus F005-202407</t>
        </is>
      </c>
      <c r="I563" s="8">
        <v>0</v>
      </c>
      <c r="J563" s="8">
        <v>3309.62</v>
      </c>
      <c r="K563" s="0"/>
      <c r="L563" s="0"/>
      <c r="M563" s="8">
        <f>I563-J563</f>
      </c>
      <c r="N563" s="0" t="inlineStr">
        <is>
          <t xml:space="preserve">2024-08</t>
        </is>
      </c>
      <c r="O563" s="0">
        <f>INDEX(Journaux!$E$5:$E$18,MATCH("2024|"&amp;A563,Journaux!$A$5:$A$18,0))</f>
      </c>
      <c r="P563" s="0">
        <f>INDEX(Comptes!$H$5:$H$42,MATCH(E563,Comptes!$A$5:$A$42,0))</f>
      </c>
      <c r="Q563" s="0" t="inlineStr">
        <is>
          <t xml:space="preserve">5</t>
        </is>
      </c>
    </row>
    <row r="564">
      <c r="A564" s="4" t="inlineStr">
        <is>
          <t xml:space="preserve">BQ</t>
        </is>
      </c>
      <c r="B564" s="0" t="inlineStr">
        <is>
          <t xml:space="preserve">Banque Fictive</t>
        </is>
      </c>
      <c r="C564" s="0" t="inlineStr">
        <is>
          <t xml:space="preserve">BQ00167</t>
        </is>
      </c>
      <c r="D564" s="10">
        <v>45509</v>
      </c>
      <c r="E564" s="4" t="inlineStr">
        <is>
          <t xml:space="preserve">401000</t>
        </is>
      </c>
      <c r="F564" s="0" t="inlineStr">
        <is>
          <t xml:space="preserve">Fournisseurs</t>
        </is>
      </c>
      <c r="G564" s="0" t="inlineStr">
        <is>
          <t xml:space="preserve">DEC-F008-202407</t>
        </is>
      </c>
      <c r="H564" s="0" t="inlineStr">
        <is>
          <t xml:space="preserve">Reglement fournisseur Telecom Pro F008-202407</t>
        </is>
      </c>
      <c r="I564" s="8">
        <v>576</v>
      </c>
      <c r="J564" s="8">
        <v>0</v>
      </c>
      <c r="K564" s="0" t="inlineStr">
        <is>
          <t xml:space="preserve">ADC</t>
        </is>
      </c>
      <c r="L564" s="0" t="inlineStr">
        <is>
          <t xml:space="preserve">Telecom Pro</t>
        </is>
      </c>
      <c r="M564" s="8">
        <f>I564-J564</f>
      </c>
      <c r="N564" s="0" t="inlineStr">
        <is>
          <t xml:space="preserve">2024-08</t>
        </is>
      </c>
      <c r="O564" s="0">
        <f>INDEX(Journaux!$E$5:$E$18,MATCH("2024|"&amp;A564,Journaux!$A$5:$A$18,0))</f>
      </c>
      <c r="P564" s="0">
        <f>INDEX(Comptes!$H$5:$H$42,MATCH(E564,Comptes!$A$5:$A$42,0))</f>
      </c>
      <c r="Q564" s="0" t="inlineStr">
        <is>
          <t xml:space="preserve">4</t>
        </is>
      </c>
      <c r="R564" s="7" t="inlineStr">
        <is>
          <t xml:space="preserve">401000|F008</t>
        </is>
      </c>
    </row>
    <row r="565">
      <c r="A565" s="4" t="inlineStr">
        <is>
          <t xml:space="preserve">BQ</t>
        </is>
      </c>
      <c r="B565" s="0" t="inlineStr">
        <is>
          <t xml:space="preserve">Banque Fictive</t>
        </is>
      </c>
      <c r="C565" s="0" t="inlineStr">
        <is>
          <t xml:space="preserve">BQ00167</t>
        </is>
      </c>
      <c r="D565" s="10">
        <v>45509</v>
      </c>
      <c r="E565" s="4" t="inlineStr">
        <is>
          <t xml:space="preserve">512000</t>
        </is>
      </c>
      <c r="F565" s="0" t="inlineStr">
        <is>
          <t xml:space="preserve">Banque Fictive</t>
        </is>
      </c>
      <c r="G565" s="0" t="inlineStr">
        <is>
          <t xml:space="preserve">DEC-F008-202407</t>
        </is>
      </c>
      <c r="H565" s="0" t="inlineStr">
        <is>
          <t xml:space="preserve">Reglement fournisseur Telecom Pro F008-202407</t>
        </is>
      </c>
      <c r="I565" s="8">
        <v>0</v>
      </c>
      <c r="J565" s="8">
        <v>576</v>
      </c>
      <c r="K565" s="0"/>
      <c r="L565" s="0"/>
      <c r="M565" s="8">
        <f>I565-J565</f>
      </c>
      <c r="N565" s="0" t="inlineStr">
        <is>
          <t xml:space="preserve">2024-08</t>
        </is>
      </c>
      <c r="O565" s="0">
        <f>INDEX(Journaux!$E$5:$E$18,MATCH("2024|"&amp;A565,Journaux!$A$5:$A$18,0))</f>
      </c>
      <c r="P565" s="0">
        <f>INDEX(Comptes!$H$5:$H$42,MATCH(E565,Comptes!$A$5:$A$42,0))</f>
      </c>
      <c r="Q565" s="0" t="inlineStr">
        <is>
          <t xml:space="preserve">5</t>
        </is>
      </c>
    </row>
    <row r="566">
      <c r="A566" s="4" t="inlineStr">
        <is>
          <t xml:space="preserve">BQ</t>
        </is>
      </c>
      <c r="B566" s="0" t="inlineStr">
        <is>
          <t xml:space="preserve">Banque Fictive</t>
        </is>
      </c>
      <c r="C566" s="0" t="inlineStr">
        <is>
          <t xml:space="preserve">BQ00168</t>
        </is>
      </c>
      <c r="D566" s="10">
        <v>45509</v>
      </c>
      <c r="E566" s="4" t="inlineStr">
        <is>
          <t xml:space="preserve">401000</t>
        </is>
      </c>
      <c r="F566" s="0" t="inlineStr">
        <is>
          <t xml:space="preserve">Fournisseurs</t>
        </is>
      </c>
      <c r="G566" s="0" t="inlineStr">
        <is>
          <t xml:space="preserve">DEC-F006-202407</t>
        </is>
      </c>
      <c r="H566" s="0" t="inlineStr">
        <is>
          <t xml:space="preserve">Reglement fournisseur Assurances Mutuelles Exemple F006-202407</t>
        </is>
      </c>
      <c r="I566" s="8">
        <v>3000</v>
      </c>
      <c r="J566" s="8">
        <v>0</v>
      </c>
      <c r="K566" s="0" t="inlineStr">
        <is>
          <t xml:space="preserve">ADD</t>
        </is>
      </c>
      <c r="L566" s="0" t="inlineStr">
        <is>
          <t xml:space="preserve">Assurances Mutuelles Exemple</t>
        </is>
      </c>
      <c r="M566" s="8">
        <f>I566-J566</f>
      </c>
      <c r="N566" s="0" t="inlineStr">
        <is>
          <t xml:space="preserve">2024-08</t>
        </is>
      </c>
      <c r="O566" s="0">
        <f>INDEX(Journaux!$E$5:$E$18,MATCH("2024|"&amp;A566,Journaux!$A$5:$A$18,0))</f>
      </c>
      <c r="P566" s="0">
        <f>INDEX(Comptes!$H$5:$H$42,MATCH(E566,Comptes!$A$5:$A$42,0))</f>
      </c>
      <c r="Q566" s="0" t="inlineStr">
        <is>
          <t xml:space="preserve">4</t>
        </is>
      </c>
      <c r="R566" s="7" t="inlineStr">
        <is>
          <t xml:space="preserve">401000|F006</t>
        </is>
      </c>
    </row>
    <row r="567">
      <c r="A567" s="4" t="inlineStr">
        <is>
          <t xml:space="preserve">BQ</t>
        </is>
      </c>
      <c r="B567" s="0" t="inlineStr">
        <is>
          <t xml:space="preserve">Banque Fictive</t>
        </is>
      </c>
      <c r="C567" s="0" t="inlineStr">
        <is>
          <t xml:space="preserve">BQ00168</t>
        </is>
      </c>
      <c r="D567" s="10">
        <v>45509</v>
      </c>
      <c r="E567" s="4" t="inlineStr">
        <is>
          <t xml:space="preserve">512000</t>
        </is>
      </c>
      <c r="F567" s="0" t="inlineStr">
        <is>
          <t xml:space="preserve">Banque Fictive</t>
        </is>
      </c>
      <c r="G567" s="0" t="inlineStr">
        <is>
          <t xml:space="preserve">DEC-F006-202407</t>
        </is>
      </c>
      <c r="H567" s="0" t="inlineStr">
        <is>
          <t xml:space="preserve">Reglement fournisseur Assurances Mutuelles Exemple F006-202407</t>
        </is>
      </c>
      <c r="I567" s="8">
        <v>0</v>
      </c>
      <c r="J567" s="8">
        <v>3000</v>
      </c>
      <c r="K567" s="0"/>
      <c r="L567" s="0"/>
      <c r="M567" s="8">
        <f>I567-J567</f>
      </c>
      <c r="N567" s="0" t="inlineStr">
        <is>
          <t xml:space="preserve">2024-08</t>
        </is>
      </c>
      <c r="O567" s="0">
        <f>INDEX(Journaux!$E$5:$E$18,MATCH("2024|"&amp;A567,Journaux!$A$5:$A$18,0))</f>
      </c>
      <c r="P567" s="0">
        <f>INDEX(Comptes!$H$5:$H$42,MATCH(E567,Comptes!$A$5:$A$42,0))</f>
      </c>
      <c r="Q567" s="0" t="inlineStr">
        <is>
          <t xml:space="preserve">5</t>
        </is>
      </c>
    </row>
    <row r="568">
      <c r="A568" s="4" t="inlineStr">
        <is>
          <t xml:space="preserve">VT</t>
        </is>
      </c>
      <c r="B568" s="0" t="inlineStr">
        <is>
          <t xml:space="preserve">Journal des ventes</t>
        </is>
      </c>
      <c r="C568" s="0" t="inlineStr">
        <is>
          <t xml:space="preserve">VT00038</t>
        </is>
      </c>
      <c r="D568" s="10">
        <v>45509</v>
      </c>
      <c r="E568" s="4" t="inlineStr">
        <is>
          <t xml:space="preserve">411000</t>
        </is>
      </c>
      <c r="F568" s="0" t="inlineStr">
        <is>
          <t xml:space="preserve">Clients</t>
        </is>
      </c>
      <c r="G568" s="0" t="inlineStr">
        <is>
          <t xml:space="preserve">FA2024-0038</t>
        </is>
      </c>
      <c r="H568" s="0" t="inlineStr">
        <is>
          <t xml:space="preserve">Facture FA2024-0038 Coworking Atelier 9</t>
        </is>
      </c>
      <c r="I568" s="8">
        <v>20982.01</v>
      </c>
      <c r="J568" s="8">
        <v>0</v>
      </c>
      <c r="K568" s="0" t="inlineStr">
        <is>
          <t xml:space="preserve">AAQ</t>
        </is>
      </c>
      <c r="L568" s="0" t="inlineStr">
        <is>
          <t xml:space="preserve">Coworking Atelier 9</t>
        </is>
      </c>
      <c r="M568" s="8">
        <f>I568-J568</f>
      </c>
      <c r="N568" s="0" t="inlineStr">
        <is>
          <t xml:space="preserve">2024-08</t>
        </is>
      </c>
      <c r="O568" s="0">
        <f>INDEX(Journaux!$E$5:$E$18,MATCH("2024|"&amp;A568,Journaux!$A$5:$A$18,0))</f>
      </c>
      <c r="P568" s="0">
        <f>INDEX(Comptes!$H$5:$H$42,MATCH(E568,Comptes!$A$5:$A$42,0))</f>
      </c>
      <c r="Q568" s="0" t="inlineStr">
        <is>
          <t xml:space="preserve">4</t>
        </is>
      </c>
      <c r="R568" s="7" t="inlineStr">
        <is>
          <t xml:space="preserve">411000|C008</t>
        </is>
      </c>
    </row>
    <row r="569">
      <c r="A569" s="4" t="inlineStr">
        <is>
          <t xml:space="preserve">VT</t>
        </is>
      </c>
      <c r="B569" s="0" t="inlineStr">
        <is>
          <t xml:space="preserve">Journal des ventes</t>
        </is>
      </c>
      <c r="C569" s="0" t="inlineStr">
        <is>
          <t xml:space="preserve">VT00038</t>
        </is>
      </c>
      <c r="D569" s="10">
        <v>45509</v>
      </c>
      <c r="E569" s="4" t="inlineStr">
        <is>
          <t xml:space="preserve">701000</t>
        </is>
      </c>
      <c r="F569" s="0" t="inlineStr">
        <is>
          <t xml:space="preserve">Ventes de produits finis</t>
        </is>
      </c>
      <c r="G569" s="0" t="inlineStr">
        <is>
          <t xml:space="preserve">FA2024-0038</t>
        </is>
      </c>
      <c r="H569" s="0" t="inlineStr">
        <is>
          <t xml:space="preserve">Facture FA2024-0038 Coworking Atelier 9</t>
        </is>
      </c>
      <c r="I569" s="8">
        <v>0</v>
      </c>
      <c r="J569" s="8">
        <v>17485.01</v>
      </c>
      <c r="K569" s="0"/>
      <c r="L569" s="0"/>
      <c r="M569" s="8">
        <f>I569-J569</f>
      </c>
      <c r="N569" s="0" t="inlineStr">
        <is>
          <t xml:space="preserve">2024-08</t>
        </is>
      </c>
      <c r="O569" s="0">
        <f>INDEX(Journaux!$E$5:$E$18,MATCH("2024|"&amp;A569,Journaux!$A$5:$A$18,0))</f>
      </c>
      <c r="P569" s="0">
        <f>INDEX(Comptes!$H$5:$H$42,MATCH(E569,Comptes!$A$5:$A$42,0))</f>
      </c>
      <c r="Q569" s="0" t="inlineStr">
        <is>
          <t xml:space="preserve">7</t>
        </is>
      </c>
    </row>
    <row r="570">
      <c r="A570" s="4" t="inlineStr">
        <is>
          <t xml:space="preserve">VT</t>
        </is>
      </c>
      <c r="B570" s="0" t="inlineStr">
        <is>
          <t xml:space="preserve">Journal des ventes</t>
        </is>
      </c>
      <c r="C570" s="0" t="inlineStr">
        <is>
          <t xml:space="preserve">VT00038</t>
        </is>
      </c>
      <c r="D570" s="10">
        <v>45509</v>
      </c>
      <c r="E570" s="4" t="inlineStr">
        <is>
          <t xml:space="preserve">445710</t>
        </is>
      </c>
      <c r="F570" s="0" t="inlineStr">
        <is>
          <t xml:space="preserve">TVA collectee</t>
        </is>
      </c>
      <c r="G570" s="0" t="inlineStr">
        <is>
          <t xml:space="preserve">FA2024-0038</t>
        </is>
      </c>
      <c r="H570" s="0" t="inlineStr">
        <is>
          <t xml:space="preserve">Facture FA2024-0038 Coworking Atelier 9</t>
        </is>
      </c>
      <c r="I570" s="8">
        <v>0</v>
      </c>
      <c r="J570" s="8">
        <v>3497</v>
      </c>
      <c r="K570" s="0"/>
      <c r="L570" s="0"/>
      <c r="M570" s="8">
        <f>I570-J570</f>
      </c>
      <c r="N570" s="0" t="inlineStr">
        <is>
          <t xml:space="preserve">2024-08</t>
        </is>
      </c>
      <c r="O570" s="0">
        <f>INDEX(Journaux!$E$5:$E$18,MATCH("2024|"&amp;A570,Journaux!$A$5:$A$18,0))</f>
      </c>
      <c r="P570" s="0">
        <f>INDEX(Comptes!$H$5:$H$42,MATCH(E570,Comptes!$A$5:$A$42,0))</f>
      </c>
      <c r="Q570" s="0" t="inlineStr">
        <is>
          <t xml:space="preserve">4</t>
        </is>
      </c>
    </row>
    <row r="571">
      <c r="A571" s="4" t="inlineStr">
        <is>
          <t xml:space="preserve">BQ</t>
        </is>
      </c>
      <c r="B571" s="0" t="inlineStr">
        <is>
          <t xml:space="preserve">Banque Fictive</t>
        </is>
      </c>
      <c r="C571" s="0" t="inlineStr">
        <is>
          <t xml:space="preserve">BQ00097</t>
        </is>
      </c>
      <c r="D571" s="10">
        <v>45510</v>
      </c>
      <c r="E571" s="4" t="inlineStr">
        <is>
          <t xml:space="preserve">512000</t>
        </is>
      </c>
      <c r="F571" s="0" t="inlineStr">
        <is>
          <t xml:space="preserve">Banque Fictive</t>
        </is>
      </c>
      <c r="G571" s="0" t="inlineStr">
        <is>
          <t xml:space="preserve">ENC-FA2024-0032</t>
        </is>
      </c>
      <c r="H571" s="0" t="inlineStr">
        <is>
          <t xml:space="preserve">Reglement client Residence Bel Air FA2024-0032</t>
        </is>
      </c>
      <c r="I571" s="8">
        <v>29596.54</v>
      </c>
      <c r="J571" s="8">
        <v>0</v>
      </c>
      <c r="K571" s="0"/>
      <c r="L571" s="0"/>
      <c r="M571" s="8">
        <f>I571-J571</f>
      </c>
      <c r="N571" s="0" t="inlineStr">
        <is>
          <t xml:space="preserve">2024-08</t>
        </is>
      </c>
      <c r="O571" s="0">
        <f>INDEX(Journaux!$E$5:$E$18,MATCH("2024|"&amp;A571,Journaux!$A$5:$A$18,0))</f>
      </c>
      <c r="P571" s="0">
        <f>INDEX(Comptes!$H$5:$H$42,MATCH(E571,Comptes!$A$5:$A$42,0))</f>
      </c>
      <c r="Q571" s="0" t="inlineStr">
        <is>
          <t xml:space="preserve">5</t>
        </is>
      </c>
    </row>
    <row r="572">
      <c r="A572" s="4" t="inlineStr">
        <is>
          <t xml:space="preserve">BQ</t>
        </is>
      </c>
      <c r="B572" s="0" t="inlineStr">
        <is>
          <t xml:space="preserve">Banque Fictive</t>
        </is>
      </c>
      <c r="C572" s="0" t="inlineStr">
        <is>
          <t xml:space="preserve">BQ00097</t>
        </is>
      </c>
      <c r="D572" s="10">
        <v>45510</v>
      </c>
      <c r="E572" s="4" t="inlineStr">
        <is>
          <t xml:space="preserve">411000</t>
        </is>
      </c>
      <c r="F572" s="0" t="inlineStr">
        <is>
          <t xml:space="preserve">Clients</t>
        </is>
      </c>
      <c r="G572" s="0" t="inlineStr">
        <is>
          <t xml:space="preserve">ENC-FA2024-0032</t>
        </is>
      </c>
      <c r="H572" s="0" t="inlineStr">
        <is>
          <t xml:space="preserve">Reglement client Residence Bel Air FA2024-0032</t>
        </is>
      </c>
      <c r="I572" s="8">
        <v>0</v>
      </c>
      <c r="J572" s="8">
        <v>29596.54</v>
      </c>
      <c r="K572" s="0" t="inlineStr">
        <is>
          <t xml:space="preserve">AAK</t>
        </is>
      </c>
      <c r="L572" s="0" t="inlineStr">
        <is>
          <t xml:space="preserve">Residence Bel Air</t>
        </is>
      </c>
      <c r="M572" s="8">
        <f>I572-J572</f>
      </c>
      <c r="N572" s="0" t="inlineStr">
        <is>
          <t xml:space="preserve">2024-08</t>
        </is>
      </c>
      <c r="O572" s="0">
        <f>INDEX(Journaux!$E$5:$E$18,MATCH("2024|"&amp;A572,Journaux!$A$5:$A$18,0))</f>
      </c>
      <c r="P572" s="0">
        <f>INDEX(Comptes!$H$5:$H$42,MATCH(E572,Comptes!$A$5:$A$42,0))</f>
      </c>
      <c r="Q572" s="0" t="inlineStr">
        <is>
          <t xml:space="preserve">4</t>
        </is>
      </c>
      <c r="R572" s="7" t="inlineStr">
        <is>
          <t xml:space="preserve">411000|C003</t>
        </is>
      </c>
    </row>
    <row r="573">
      <c r="A573" s="4" t="inlineStr">
        <is>
          <t xml:space="preserve">BQ</t>
        </is>
      </c>
      <c r="B573" s="0" t="inlineStr">
        <is>
          <t xml:space="preserve">Banque Fictive</t>
        </is>
      </c>
      <c r="C573" s="0" t="inlineStr">
        <is>
          <t xml:space="preserve">BQ00158</t>
        </is>
      </c>
      <c r="D573" s="10">
        <v>45511</v>
      </c>
      <c r="E573" s="4" t="inlineStr">
        <is>
          <t xml:space="preserve">401000</t>
        </is>
      </c>
      <c r="F573" s="0" t="inlineStr">
        <is>
          <t xml:space="preserve">Fournisseurs</t>
        </is>
      </c>
      <c r="G573" s="0" t="inlineStr">
        <is>
          <t xml:space="preserve">DEC-F001-2024063</t>
        </is>
      </c>
      <c r="H573" s="0" t="inlineStr">
        <is>
          <t xml:space="preserve">Reglement fournisseur Scierie du Nord F001-2024063</t>
        </is>
      </c>
      <c r="I573" s="8">
        <v>34996.54</v>
      </c>
      <c r="J573" s="8">
        <v>0</v>
      </c>
      <c r="K573" s="0" t="inlineStr">
        <is>
          <t xml:space="preserve">ACT</t>
        </is>
      </c>
      <c r="L573" s="0" t="inlineStr">
        <is>
          <t xml:space="preserve">Scierie du Nord</t>
        </is>
      </c>
      <c r="M573" s="8">
        <f>I573-J573</f>
      </c>
      <c r="N573" s="0" t="inlineStr">
        <is>
          <t xml:space="preserve">2024-08</t>
        </is>
      </c>
      <c r="O573" s="0">
        <f>INDEX(Journaux!$E$5:$E$18,MATCH("2024|"&amp;A573,Journaux!$A$5:$A$18,0))</f>
      </c>
      <c r="P573" s="0">
        <f>INDEX(Comptes!$H$5:$H$42,MATCH(E573,Comptes!$A$5:$A$42,0))</f>
      </c>
      <c r="Q573" s="0" t="inlineStr">
        <is>
          <t xml:space="preserve">4</t>
        </is>
      </c>
      <c r="R573" s="7" t="inlineStr">
        <is>
          <t xml:space="preserve">401000|F001</t>
        </is>
      </c>
    </row>
    <row r="574">
      <c r="A574" s="4" t="inlineStr">
        <is>
          <t xml:space="preserve">BQ</t>
        </is>
      </c>
      <c r="B574" s="0" t="inlineStr">
        <is>
          <t xml:space="preserve">Banque Fictive</t>
        </is>
      </c>
      <c r="C574" s="0" t="inlineStr">
        <is>
          <t xml:space="preserve">BQ00158</t>
        </is>
      </c>
      <c r="D574" s="10">
        <v>45511</v>
      </c>
      <c r="E574" s="4" t="inlineStr">
        <is>
          <t xml:space="preserve">512000</t>
        </is>
      </c>
      <c r="F574" s="0" t="inlineStr">
        <is>
          <t xml:space="preserve">Banque Fictive</t>
        </is>
      </c>
      <c r="G574" s="0" t="inlineStr">
        <is>
          <t xml:space="preserve">DEC-F001-2024063</t>
        </is>
      </c>
      <c r="H574" s="0" t="inlineStr">
        <is>
          <t xml:space="preserve">Reglement fournisseur Scierie du Nord F001-2024063</t>
        </is>
      </c>
      <c r="I574" s="8">
        <v>0</v>
      </c>
      <c r="J574" s="8">
        <v>34996.54</v>
      </c>
      <c r="K574" s="0"/>
      <c r="L574" s="0"/>
      <c r="M574" s="8">
        <f>I574-J574</f>
      </c>
      <c r="N574" s="0" t="inlineStr">
        <is>
          <t xml:space="preserve">2024-08</t>
        </is>
      </c>
      <c r="O574" s="0">
        <f>INDEX(Journaux!$E$5:$E$18,MATCH("2024|"&amp;A574,Journaux!$A$5:$A$18,0))</f>
      </c>
      <c r="P574" s="0">
        <f>INDEX(Comptes!$H$5:$H$42,MATCH(E574,Comptes!$A$5:$A$42,0))</f>
      </c>
      <c r="Q574" s="0" t="inlineStr">
        <is>
          <t xml:space="preserve">5</t>
        </is>
      </c>
    </row>
    <row r="575">
      <c r="A575" s="4" t="inlineStr">
        <is>
          <t xml:space="preserve">VT</t>
        </is>
      </c>
      <c r="B575" s="0" t="inlineStr">
        <is>
          <t xml:space="preserve">Journal des ventes</t>
        </is>
      </c>
      <c r="C575" s="0" t="inlineStr">
        <is>
          <t xml:space="preserve">VT00039</t>
        </is>
      </c>
      <c r="D575" s="10">
        <v>45511</v>
      </c>
      <c r="E575" s="4" t="inlineStr">
        <is>
          <t xml:space="preserve">411000</t>
        </is>
      </c>
      <c r="F575" s="0" t="inlineStr">
        <is>
          <t xml:space="preserve">Clients</t>
        </is>
      </c>
      <c r="G575" s="0" t="inlineStr">
        <is>
          <t xml:space="preserve">FA2024-0039</t>
        </is>
      </c>
      <c r="H575" s="0" t="inlineStr">
        <is>
          <t xml:space="preserve">Facture FA2024-0039 Restaurant Le Comptoir</t>
        </is>
      </c>
      <c r="I575" s="8">
        <v>29318.93</v>
      </c>
      <c r="J575" s="8">
        <v>0</v>
      </c>
      <c r="K575" s="0" t="inlineStr">
        <is>
          <t xml:space="preserve">AAR</t>
        </is>
      </c>
      <c r="L575" s="0" t="inlineStr">
        <is>
          <t xml:space="preserve">Restaurant Le Comptoir</t>
        </is>
      </c>
      <c r="M575" s="8">
        <f>I575-J575</f>
      </c>
      <c r="N575" s="0" t="inlineStr">
        <is>
          <t xml:space="preserve">2024-08</t>
        </is>
      </c>
      <c r="O575" s="0">
        <f>INDEX(Journaux!$E$5:$E$18,MATCH("2024|"&amp;A575,Journaux!$A$5:$A$18,0))</f>
      </c>
      <c r="P575" s="0">
        <f>INDEX(Comptes!$H$5:$H$42,MATCH(E575,Comptes!$A$5:$A$42,0))</f>
      </c>
      <c r="Q575" s="0" t="inlineStr">
        <is>
          <t xml:space="preserve">4</t>
        </is>
      </c>
      <c r="R575" s="7" t="inlineStr">
        <is>
          <t xml:space="preserve">411000|C005</t>
        </is>
      </c>
    </row>
    <row r="576">
      <c r="A576" s="4" t="inlineStr">
        <is>
          <t xml:space="preserve">VT</t>
        </is>
      </c>
      <c r="B576" s="0" t="inlineStr">
        <is>
          <t xml:space="preserve">Journal des ventes</t>
        </is>
      </c>
      <c r="C576" s="0" t="inlineStr">
        <is>
          <t xml:space="preserve">VT00039</t>
        </is>
      </c>
      <c r="D576" s="10">
        <v>45511</v>
      </c>
      <c r="E576" s="4" t="inlineStr">
        <is>
          <t xml:space="preserve">701000</t>
        </is>
      </c>
      <c r="F576" s="0" t="inlineStr">
        <is>
          <t xml:space="preserve">Ventes de produits finis</t>
        </is>
      </c>
      <c r="G576" s="0" t="inlineStr">
        <is>
          <t xml:space="preserve">FA2024-0039</t>
        </is>
      </c>
      <c r="H576" s="0" t="inlineStr">
        <is>
          <t xml:space="preserve">Facture FA2024-0039 Restaurant Le Comptoir</t>
        </is>
      </c>
      <c r="I576" s="8">
        <v>0</v>
      </c>
      <c r="J576" s="8">
        <v>24432.44</v>
      </c>
      <c r="K576" s="0"/>
      <c r="L576" s="0"/>
      <c r="M576" s="8">
        <f>I576-J576</f>
      </c>
      <c r="N576" s="0" t="inlineStr">
        <is>
          <t xml:space="preserve">2024-08</t>
        </is>
      </c>
      <c r="O576" s="0">
        <f>INDEX(Journaux!$E$5:$E$18,MATCH("2024|"&amp;A576,Journaux!$A$5:$A$18,0))</f>
      </c>
      <c r="P576" s="0">
        <f>INDEX(Comptes!$H$5:$H$42,MATCH(E576,Comptes!$A$5:$A$42,0))</f>
      </c>
      <c r="Q576" s="0" t="inlineStr">
        <is>
          <t xml:space="preserve">7</t>
        </is>
      </c>
    </row>
    <row r="577">
      <c r="A577" s="4" t="inlineStr">
        <is>
          <t xml:space="preserve">VT</t>
        </is>
      </c>
      <c r="B577" s="0" t="inlineStr">
        <is>
          <t xml:space="preserve">Journal des ventes</t>
        </is>
      </c>
      <c r="C577" s="0" t="inlineStr">
        <is>
          <t xml:space="preserve">VT00039</t>
        </is>
      </c>
      <c r="D577" s="10">
        <v>45511</v>
      </c>
      <c r="E577" s="4" t="inlineStr">
        <is>
          <t xml:space="preserve">445710</t>
        </is>
      </c>
      <c r="F577" s="0" t="inlineStr">
        <is>
          <t xml:space="preserve">TVA collectee</t>
        </is>
      </c>
      <c r="G577" s="0" t="inlineStr">
        <is>
          <t xml:space="preserve">FA2024-0039</t>
        </is>
      </c>
      <c r="H577" s="0" t="inlineStr">
        <is>
          <t xml:space="preserve">Facture FA2024-0039 Restaurant Le Comptoir</t>
        </is>
      </c>
      <c r="I577" s="8">
        <v>0</v>
      </c>
      <c r="J577" s="8">
        <v>4886.49</v>
      </c>
      <c r="K577" s="0"/>
      <c r="L577" s="0"/>
      <c r="M577" s="8">
        <f>I577-J577</f>
      </c>
      <c r="N577" s="0" t="inlineStr">
        <is>
          <t xml:space="preserve">2024-08</t>
        </is>
      </c>
      <c r="O577" s="0">
        <f>INDEX(Journaux!$E$5:$E$18,MATCH("2024|"&amp;A577,Journaux!$A$5:$A$18,0))</f>
      </c>
      <c r="P577" s="0">
        <f>INDEX(Comptes!$H$5:$H$42,MATCH(E577,Comptes!$A$5:$A$42,0))</f>
      </c>
      <c r="Q577" s="0" t="inlineStr">
        <is>
          <t xml:space="preserve">4</t>
        </is>
      </c>
    </row>
    <row r="578">
      <c r="A578" s="4" t="inlineStr">
        <is>
          <t xml:space="preserve">BQ</t>
        </is>
      </c>
      <c r="B578" s="0" t="inlineStr">
        <is>
          <t xml:space="preserve">Banque Fictive</t>
        </is>
      </c>
      <c r="C578" s="0" t="inlineStr">
        <is>
          <t xml:space="preserve">BQ00157</t>
        </is>
      </c>
      <c r="D578" s="10">
        <v>45512</v>
      </c>
      <c r="E578" s="4" t="inlineStr">
        <is>
          <t xml:space="preserve">401000</t>
        </is>
      </c>
      <c r="F578" s="0" t="inlineStr">
        <is>
          <t xml:space="preserve">Fournisseurs</t>
        </is>
      </c>
      <c r="G578" s="0" t="inlineStr">
        <is>
          <t xml:space="preserve">DEC-F001-2024062</t>
        </is>
      </c>
      <c r="H578" s="0" t="inlineStr">
        <is>
          <t xml:space="preserve">Reglement fournisseur Scierie du Nord F001-2024062</t>
        </is>
      </c>
      <c r="I578" s="8">
        <v>27677.94</v>
      </c>
      <c r="J578" s="8">
        <v>0</v>
      </c>
      <c r="K578" s="0" t="inlineStr">
        <is>
          <t xml:space="preserve">ACS</t>
        </is>
      </c>
      <c r="L578" s="0" t="inlineStr">
        <is>
          <t xml:space="preserve">Scierie du Nord</t>
        </is>
      </c>
      <c r="M578" s="8">
        <f>I578-J578</f>
      </c>
      <c r="N578" s="0" t="inlineStr">
        <is>
          <t xml:space="preserve">2024-08</t>
        </is>
      </c>
      <c r="O578" s="0">
        <f>INDEX(Journaux!$E$5:$E$18,MATCH("2024|"&amp;A578,Journaux!$A$5:$A$18,0))</f>
      </c>
      <c r="P578" s="0">
        <f>INDEX(Comptes!$H$5:$H$42,MATCH(E578,Comptes!$A$5:$A$42,0))</f>
      </c>
      <c r="Q578" s="0" t="inlineStr">
        <is>
          <t xml:space="preserve">4</t>
        </is>
      </c>
      <c r="R578" s="7" t="inlineStr">
        <is>
          <t xml:space="preserve">401000|F001</t>
        </is>
      </c>
    </row>
    <row r="579">
      <c r="A579" s="4" t="inlineStr">
        <is>
          <t xml:space="preserve">BQ</t>
        </is>
      </c>
      <c r="B579" s="0" t="inlineStr">
        <is>
          <t xml:space="preserve">Banque Fictive</t>
        </is>
      </c>
      <c r="C579" s="0" t="inlineStr">
        <is>
          <t xml:space="preserve">BQ00157</t>
        </is>
      </c>
      <c r="D579" s="10">
        <v>45512</v>
      </c>
      <c r="E579" s="4" t="inlineStr">
        <is>
          <t xml:space="preserve">512000</t>
        </is>
      </c>
      <c r="F579" s="0" t="inlineStr">
        <is>
          <t xml:space="preserve">Banque Fictive</t>
        </is>
      </c>
      <c r="G579" s="0" t="inlineStr">
        <is>
          <t xml:space="preserve">DEC-F001-2024062</t>
        </is>
      </c>
      <c r="H579" s="0" t="inlineStr">
        <is>
          <t xml:space="preserve">Reglement fournisseur Scierie du Nord F001-2024062</t>
        </is>
      </c>
      <c r="I579" s="8">
        <v>0</v>
      </c>
      <c r="J579" s="8">
        <v>27677.94</v>
      </c>
      <c r="K579" s="0"/>
      <c r="L579" s="0"/>
      <c r="M579" s="8">
        <f>I579-J579</f>
      </c>
      <c r="N579" s="0" t="inlineStr">
        <is>
          <t xml:space="preserve">2024-08</t>
        </is>
      </c>
      <c r="O579" s="0">
        <f>INDEX(Journaux!$E$5:$E$18,MATCH("2024|"&amp;A579,Journaux!$A$5:$A$18,0))</f>
      </c>
      <c r="P579" s="0">
        <f>INDEX(Comptes!$H$5:$H$42,MATCH(E579,Comptes!$A$5:$A$42,0))</f>
      </c>
      <c r="Q579" s="0" t="inlineStr">
        <is>
          <t xml:space="preserve">5</t>
        </is>
      </c>
    </row>
    <row r="580">
      <c r="A580" s="4" t="inlineStr">
        <is>
          <t xml:space="preserve">BQ</t>
        </is>
      </c>
      <c r="B580" s="0" t="inlineStr">
        <is>
          <t xml:space="preserve">Banque Fictive</t>
        </is>
      </c>
      <c r="C580" s="0" t="inlineStr">
        <is>
          <t xml:space="preserve">BQ00023</t>
        </is>
      </c>
      <c r="D580" s="10">
        <v>45514</v>
      </c>
      <c r="E580" s="4" t="inlineStr">
        <is>
          <t xml:space="preserve">164000</t>
        </is>
      </c>
      <c r="F580" s="0" t="inlineStr">
        <is>
          <t xml:space="preserve">Emprunts aupres des etablissements de credit</t>
        </is>
      </c>
      <c r="G580" s="0" t="inlineStr">
        <is>
          <t xml:space="preserve">ECH202408</t>
        </is>
      </c>
      <c r="H580" s="0" t="inlineStr">
        <is>
          <t xml:space="preserve">Echeance emprunt 08/2024</t>
        </is>
      </c>
      <c r="I580" s="8">
        <v>2000</v>
      </c>
      <c r="J580" s="8">
        <v>0</v>
      </c>
      <c r="K580" s="0"/>
      <c r="L580" s="0"/>
      <c r="M580" s="8">
        <f>I580-J580</f>
      </c>
      <c r="N580" s="0" t="inlineStr">
        <is>
          <t xml:space="preserve">2024-08</t>
        </is>
      </c>
      <c r="O580" s="0">
        <f>INDEX(Journaux!$E$5:$E$18,MATCH("2024|"&amp;A580,Journaux!$A$5:$A$18,0))</f>
      </c>
      <c r="P580" s="0">
        <f>INDEX(Comptes!$H$5:$H$42,MATCH(E580,Comptes!$A$5:$A$42,0))</f>
      </c>
      <c r="Q580" s="0" t="inlineStr">
        <is>
          <t xml:space="preserve">1</t>
        </is>
      </c>
    </row>
    <row r="581">
      <c r="A581" s="4" t="inlineStr">
        <is>
          <t xml:space="preserve">BQ</t>
        </is>
      </c>
      <c r="B581" s="0" t="inlineStr">
        <is>
          <t xml:space="preserve">Banque Fictive</t>
        </is>
      </c>
      <c r="C581" s="0" t="inlineStr">
        <is>
          <t xml:space="preserve">BQ00023</t>
        </is>
      </c>
      <c r="D581" s="10">
        <v>45514</v>
      </c>
      <c r="E581" s="4" t="inlineStr">
        <is>
          <t xml:space="preserve">661100</t>
        </is>
      </c>
      <c r="F581" s="0" t="inlineStr">
        <is>
          <t xml:space="preserve">Interets des emprunts</t>
        </is>
      </c>
      <c r="G581" s="0" t="inlineStr">
        <is>
          <t xml:space="preserve">ECH202408</t>
        </is>
      </c>
      <c r="H581" s="0" t="inlineStr">
        <is>
          <t xml:space="preserve">Echeance emprunt 08/2024</t>
        </is>
      </c>
      <c r="I581" s="8">
        <v>253.33</v>
      </c>
      <c r="J581" s="8">
        <v>0</v>
      </c>
      <c r="K581" s="0"/>
      <c r="L581" s="0"/>
      <c r="M581" s="8">
        <f>I581-J581</f>
      </c>
      <c r="N581" s="0" t="inlineStr">
        <is>
          <t xml:space="preserve">2024-08</t>
        </is>
      </c>
      <c r="O581" s="0">
        <f>INDEX(Journaux!$E$5:$E$18,MATCH("2024|"&amp;A581,Journaux!$A$5:$A$18,0))</f>
      </c>
      <c r="P581" s="0">
        <f>INDEX(Comptes!$H$5:$H$42,MATCH(E581,Comptes!$A$5:$A$42,0))</f>
      </c>
      <c r="Q581" s="0" t="inlineStr">
        <is>
          <t xml:space="preserve">6</t>
        </is>
      </c>
    </row>
    <row r="582">
      <c r="A582" s="4" t="inlineStr">
        <is>
          <t xml:space="preserve">BQ</t>
        </is>
      </c>
      <c r="B582" s="0" t="inlineStr">
        <is>
          <t xml:space="preserve">Banque Fictive</t>
        </is>
      </c>
      <c r="C582" s="0" t="inlineStr">
        <is>
          <t xml:space="preserve">BQ00023</t>
        </is>
      </c>
      <c r="D582" s="10">
        <v>45514</v>
      </c>
      <c r="E582" s="4" t="inlineStr">
        <is>
          <t xml:space="preserve">512000</t>
        </is>
      </c>
      <c r="F582" s="0" t="inlineStr">
        <is>
          <t xml:space="preserve">Banque Fictive</t>
        </is>
      </c>
      <c r="G582" s="0" t="inlineStr">
        <is>
          <t xml:space="preserve">ECH202408</t>
        </is>
      </c>
      <c r="H582" s="0" t="inlineStr">
        <is>
          <t xml:space="preserve">Echeance emprunt 08/2024</t>
        </is>
      </c>
      <c r="I582" s="8">
        <v>0</v>
      </c>
      <c r="J582" s="8">
        <v>2253.33</v>
      </c>
      <c r="K582" s="0"/>
      <c r="L582" s="0"/>
      <c r="M582" s="8">
        <f>I582-J582</f>
      </c>
      <c r="N582" s="0" t="inlineStr">
        <is>
          <t xml:space="preserve">2024-08</t>
        </is>
      </c>
      <c r="O582" s="0">
        <f>INDEX(Journaux!$E$5:$E$18,MATCH("2024|"&amp;A582,Journaux!$A$5:$A$18,0))</f>
      </c>
      <c r="P582" s="0">
        <f>INDEX(Comptes!$H$5:$H$42,MATCH(E582,Comptes!$A$5:$A$42,0))</f>
      </c>
      <c r="Q582" s="0" t="inlineStr">
        <is>
          <t xml:space="preserve">5</t>
        </is>
      </c>
    </row>
    <row r="583">
      <c r="A583" s="4" t="inlineStr">
        <is>
          <t xml:space="preserve">BQ</t>
        </is>
      </c>
      <c r="B583" s="0" t="inlineStr">
        <is>
          <t xml:space="preserve">Banque Fictive</t>
        </is>
      </c>
      <c r="C583" s="0" t="inlineStr">
        <is>
          <t xml:space="preserve">BQ00156</t>
        </is>
      </c>
      <c r="D583" s="10">
        <v>45516</v>
      </c>
      <c r="E583" s="4" t="inlineStr">
        <is>
          <t xml:space="preserve">401000</t>
        </is>
      </c>
      <c r="F583" s="0" t="inlineStr">
        <is>
          <t xml:space="preserve">Fournisseurs</t>
        </is>
      </c>
      <c r="G583" s="0" t="inlineStr">
        <is>
          <t xml:space="preserve">DEC-F003-2024061</t>
        </is>
      </c>
      <c r="H583" s="0" t="inlineStr">
        <is>
          <t xml:space="preserve">Reglement fournisseur Vernis et Finitions F003-2024061</t>
        </is>
      </c>
      <c r="I583" s="8">
        <v>29725.51</v>
      </c>
      <c r="J583" s="8">
        <v>0</v>
      </c>
      <c r="K583" s="0" t="inlineStr">
        <is>
          <t xml:space="preserve">ACR</t>
        </is>
      </c>
      <c r="L583" s="0" t="inlineStr">
        <is>
          <t xml:space="preserve">Vernis et Finitions</t>
        </is>
      </c>
      <c r="M583" s="8">
        <f>I583-J583</f>
      </c>
      <c r="N583" s="0" t="inlineStr">
        <is>
          <t xml:space="preserve">2024-08</t>
        </is>
      </c>
      <c r="O583" s="0">
        <f>INDEX(Journaux!$E$5:$E$18,MATCH("2024|"&amp;A583,Journaux!$A$5:$A$18,0))</f>
      </c>
      <c r="P583" s="0">
        <f>INDEX(Comptes!$H$5:$H$42,MATCH(E583,Comptes!$A$5:$A$42,0))</f>
      </c>
      <c r="Q583" s="0" t="inlineStr">
        <is>
          <t xml:space="preserve">4</t>
        </is>
      </c>
      <c r="R583" s="7" t="inlineStr">
        <is>
          <t xml:space="preserve">401000|F003</t>
        </is>
      </c>
    </row>
    <row r="584">
      <c r="A584" s="4" t="inlineStr">
        <is>
          <t xml:space="preserve">BQ</t>
        </is>
      </c>
      <c r="B584" s="0" t="inlineStr">
        <is>
          <t xml:space="preserve">Banque Fictive</t>
        </is>
      </c>
      <c r="C584" s="0" t="inlineStr">
        <is>
          <t xml:space="preserve">BQ00156</t>
        </is>
      </c>
      <c r="D584" s="10">
        <v>45516</v>
      </c>
      <c r="E584" s="4" t="inlineStr">
        <is>
          <t xml:space="preserve">512000</t>
        </is>
      </c>
      <c r="F584" s="0" t="inlineStr">
        <is>
          <t xml:space="preserve">Banque Fictive</t>
        </is>
      </c>
      <c r="G584" s="0" t="inlineStr">
        <is>
          <t xml:space="preserve">DEC-F003-2024061</t>
        </is>
      </c>
      <c r="H584" s="0" t="inlineStr">
        <is>
          <t xml:space="preserve">Reglement fournisseur Vernis et Finitions F003-2024061</t>
        </is>
      </c>
      <c r="I584" s="8">
        <v>0</v>
      </c>
      <c r="J584" s="8">
        <v>29725.51</v>
      </c>
      <c r="K584" s="0"/>
      <c r="L584" s="0"/>
      <c r="M584" s="8">
        <f>I584-J584</f>
      </c>
      <c r="N584" s="0" t="inlineStr">
        <is>
          <t xml:space="preserve">2024-08</t>
        </is>
      </c>
      <c r="O584" s="0">
        <f>INDEX(Journaux!$E$5:$E$18,MATCH("2024|"&amp;A584,Journaux!$A$5:$A$18,0))</f>
      </c>
      <c r="P584" s="0">
        <f>INDEX(Comptes!$H$5:$H$42,MATCH(E584,Comptes!$A$5:$A$42,0))</f>
      </c>
      <c r="Q584" s="0" t="inlineStr">
        <is>
          <t xml:space="preserve">5</t>
        </is>
      </c>
    </row>
    <row r="585">
      <c r="A585" s="4" t="inlineStr">
        <is>
          <t xml:space="preserve">BQ</t>
        </is>
      </c>
      <c r="B585" s="0" t="inlineStr">
        <is>
          <t xml:space="preserve">Banque Fictive</t>
        </is>
      </c>
      <c r="C585" s="0" t="inlineStr">
        <is>
          <t xml:space="preserve">BQ00051</t>
        </is>
      </c>
      <c r="D585" s="10">
        <v>45519</v>
      </c>
      <c r="E585" s="4" t="inlineStr">
        <is>
          <t xml:space="preserve">431000</t>
        </is>
      </c>
      <c r="F585" s="0" t="inlineStr">
        <is>
          <t xml:space="preserve">Securite sociale</t>
        </is>
      </c>
      <c r="G585" s="0" t="inlineStr">
        <is>
          <t xml:space="preserve">URSSAF202407</t>
        </is>
      </c>
      <c r="H585" s="0" t="inlineStr">
        <is>
          <t xml:space="preserve">Reglement URSSAF 07/2024</t>
        </is>
      </c>
      <c r="I585" s="8">
        <v>33658.16</v>
      </c>
      <c r="J585" s="8">
        <v>0</v>
      </c>
      <c r="K585" s="0"/>
      <c r="L585" s="0"/>
      <c r="M585" s="8">
        <f>I585-J585</f>
      </c>
      <c r="N585" s="0" t="inlineStr">
        <is>
          <t xml:space="preserve">2024-08</t>
        </is>
      </c>
      <c r="O585" s="0">
        <f>INDEX(Journaux!$E$5:$E$18,MATCH("2024|"&amp;A585,Journaux!$A$5:$A$18,0))</f>
      </c>
      <c r="P585" s="0">
        <f>INDEX(Comptes!$H$5:$H$42,MATCH(E585,Comptes!$A$5:$A$42,0))</f>
      </c>
      <c r="Q585" s="0" t="inlineStr">
        <is>
          <t xml:space="preserve">4</t>
        </is>
      </c>
    </row>
    <row r="586">
      <c r="A586" s="4" t="inlineStr">
        <is>
          <t xml:space="preserve">BQ</t>
        </is>
      </c>
      <c r="B586" s="0" t="inlineStr">
        <is>
          <t xml:space="preserve">Banque Fictive</t>
        </is>
      </c>
      <c r="C586" s="0" t="inlineStr">
        <is>
          <t xml:space="preserve">BQ00051</t>
        </is>
      </c>
      <c r="D586" s="10">
        <v>45519</v>
      </c>
      <c r="E586" s="4" t="inlineStr">
        <is>
          <t xml:space="preserve">512000</t>
        </is>
      </c>
      <c r="F586" s="0" t="inlineStr">
        <is>
          <t xml:space="preserve">Banque Fictive</t>
        </is>
      </c>
      <c r="G586" s="0" t="inlineStr">
        <is>
          <t xml:space="preserve">URSSAF202407</t>
        </is>
      </c>
      <c r="H586" s="0" t="inlineStr">
        <is>
          <t xml:space="preserve">Reglement URSSAF 07/2024</t>
        </is>
      </c>
      <c r="I586" s="8">
        <v>0</v>
      </c>
      <c r="J586" s="8">
        <v>33658.16</v>
      </c>
      <c r="K586" s="0"/>
      <c r="L586" s="0"/>
      <c r="M586" s="8">
        <f>I586-J586</f>
      </c>
      <c r="N586" s="0" t="inlineStr">
        <is>
          <t xml:space="preserve">2024-08</t>
        </is>
      </c>
      <c r="O586" s="0">
        <f>INDEX(Journaux!$E$5:$E$18,MATCH("2024|"&amp;A586,Journaux!$A$5:$A$18,0))</f>
      </c>
      <c r="P586" s="0">
        <f>INDEX(Comptes!$H$5:$H$42,MATCH(E586,Comptes!$A$5:$A$42,0))</f>
      </c>
      <c r="Q586" s="0" t="inlineStr">
        <is>
          <t xml:space="preserve">5</t>
        </is>
      </c>
    </row>
    <row r="587">
      <c r="A587" s="4" t="inlineStr">
        <is>
          <t xml:space="preserve">BQ</t>
        </is>
      </c>
      <c r="B587" s="0" t="inlineStr">
        <is>
          <t xml:space="preserve">Banque Fictive</t>
        </is>
      </c>
      <c r="C587" s="0" t="inlineStr">
        <is>
          <t xml:space="preserve">BQ00101</t>
        </is>
      </c>
      <c r="D587" s="10">
        <v>45520</v>
      </c>
      <c r="E587" s="4" t="inlineStr">
        <is>
          <t xml:space="preserve">512000</t>
        </is>
      </c>
      <c r="F587" s="0" t="inlineStr">
        <is>
          <t xml:space="preserve">Banque Fictive</t>
        </is>
      </c>
      <c r="G587" s="0" t="inlineStr">
        <is>
          <t xml:space="preserve">ENC-FA2024-0036</t>
        </is>
      </c>
      <c r="H587" s="0" t="inlineStr">
        <is>
          <t xml:space="preserve">Reglement client Agence Mobilis FA2024-0036</t>
        </is>
      </c>
      <c r="I587" s="8">
        <v>51312.44</v>
      </c>
      <c r="J587" s="8">
        <v>0</v>
      </c>
      <c r="K587" s="0"/>
      <c r="L587" s="0"/>
      <c r="M587" s="8">
        <f>I587-J587</f>
      </c>
      <c r="N587" s="0" t="inlineStr">
        <is>
          <t xml:space="preserve">2024-08</t>
        </is>
      </c>
      <c r="O587" s="0">
        <f>INDEX(Journaux!$E$5:$E$18,MATCH("2024|"&amp;A587,Journaux!$A$5:$A$18,0))</f>
      </c>
      <c r="P587" s="0">
        <f>INDEX(Comptes!$H$5:$H$42,MATCH(E587,Comptes!$A$5:$A$42,0))</f>
      </c>
      <c r="Q587" s="0" t="inlineStr">
        <is>
          <t xml:space="preserve">5</t>
        </is>
      </c>
    </row>
    <row r="588">
      <c r="A588" s="4" t="inlineStr">
        <is>
          <t xml:space="preserve">BQ</t>
        </is>
      </c>
      <c r="B588" s="0" t="inlineStr">
        <is>
          <t xml:space="preserve">Banque Fictive</t>
        </is>
      </c>
      <c r="C588" s="0" t="inlineStr">
        <is>
          <t xml:space="preserve">BQ00101</t>
        </is>
      </c>
      <c r="D588" s="10">
        <v>45520</v>
      </c>
      <c r="E588" s="4" t="inlineStr">
        <is>
          <t xml:space="preserve">411000</t>
        </is>
      </c>
      <c r="F588" s="0" t="inlineStr">
        <is>
          <t xml:space="preserve">Clients</t>
        </is>
      </c>
      <c r="G588" s="0" t="inlineStr">
        <is>
          <t xml:space="preserve">ENC-FA2024-0036</t>
        </is>
      </c>
      <c r="H588" s="0" t="inlineStr">
        <is>
          <t xml:space="preserve">Reglement client Agence Mobilis FA2024-0036</t>
        </is>
      </c>
      <c r="I588" s="8">
        <v>0</v>
      </c>
      <c r="J588" s="8">
        <v>51312.44</v>
      </c>
      <c r="K588" s="0" t="inlineStr">
        <is>
          <t xml:space="preserve">AAO</t>
        </is>
      </c>
      <c r="L588" s="0" t="inlineStr">
        <is>
          <t xml:space="preserve">Agence Mobilis</t>
        </is>
      </c>
      <c r="M588" s="8">
        <f>I588-J588</f>
      </c>
      <c r="N588" s="0" t="inlineStr">
        <is>
          <t xml:space="preserve">2024-08</t>
        </is>
      </c>
      <c r="O588" s="0">
        <f>INDEX(Journaux!$E$5:$E$18,MATCH("2024|"&amp;A588,Journaux!$A$5:$A$18,0))</f>
      </c>
      <c r="P588" s="0">
        <f>INDEX(Comptes!$H$5:$H$42,MATCH(E588,Comptes!$A$5:$A$42,0))</f>
      </c>
      <c r="Q588" s="0" t="inlineStr">
        <is>
          <t xml:space="preserve">4</t>
        </is>
      </c>
      <c r="R588" s="7" t="inlineStr">
        <is>
          <t xml:space="preserve">411000|C002</t>
        </is>
      </c>
    </row>
    <row r="589">
      <c r="A589" s="4" t="inlineStr">
        <is>
          <t xml:space="preserve">BQ</t>
        </is>
      </c>
      <c r="B589" s="0" t="inlineStr">
        <is>
          <t xml:space="preserve">Banque Fictive</t>
        </is>
      </c>
      <c r="C589" s="0" t="inlineStr">
        <is>
          <t xml:space="preserve">BQ00052</t>
        </is>
      </c>
      <c r="D589" s="10">
        <v>45524</v>
      </c>
      <c r="E589" s="4" t="inlineStr">
        <is>
          <t xml:space="preserve">445510</t>
        </is>
      </c>
      <c r="F589" s="0" t="inlineStr">
        <is>
          <t xml:space="preserve">TVA a decaisser</t>
        </is>
      </c>
      <c r="G589" s="0" t="inlineStr">
        <is>
          <t xml:space="preserve">TVA202407</t>
        </is>
      </c>
      <c r="H589" s="0" t="inlineStr">
        <is>
          <t xml:space="preserve">Reglement TVA 07/2024</t>
        </is>
      </c>
      <c r="I589" s="8">
        <v>16019.06</v>
      </c>
      <c r="J589" s="8">
        <v>0</v>
      </c>
      <c r="K589" s="0"/>
      <c r="L589" s="0"/>
      <c r="M589" s="8">
        <f>I589-J589</f>
      </c>
      <c r="N589" s="0" t="inlineStr">
        <is>
          <t xml:space="preserve">2024-08</t>
        </is>
      </c>
      <c r="O589" s="0">
        <f>INDEX(Journaux!$E$5:$E$18,MATCH("2024|"&amp;A589,Journaux!$A$5:$A$18,0))</f>
      </c>
      <c r="P589" s="0">
        <f>INDEX(Comptes!$H$5:$H$42,MATCH(E589,Comptes!$A$5:$A$42,0))</f>
      </c>
      <c r="Q589" s="0" t="inlineStr">
        <is>
          <t xml:space="preserve">4</t>
        </is>
      </c>
    </row>
    <row r="590">
      <c r="A590" s="4" t="inlineStr">
        <is>
          <t xml:space="preserve">BQ</t>
        </is>
      </c>
      <c r="B590" s="0" t="inlineStr">
        <is>
          <t xml:space="preserve">Banque Fictive</t>
        </is>
      </c>
      <c r="C590" s="0" t="inlineStr">
        <is>
          <t xml:space="preserve">BQ00052</t>
        </is>
      </c>
      <c r="D590" s="10">
        <v>45524</v>
      </c>
      <c r="E590" s="4" t="inlineStr">
        <is>
          <t xml:space="preserve">512000</t>
        </is>
      </c>
      <c r="F590" s="0" t="inlineStr">
        <is>
          <t xml:space="preserve">Banque Fictive</t>
        </is>
      </c>
      <c r="G590" s="0" t="inlineStr">
        <is>
          <t xml:space="preserve">TVA202407</t>
        </is>
      </c>
      <c r="H590" s="0" t="inlineStr">
        <is>
          <t xml:space="preserve">Reglement TVA 07/2024</t>
        </is>
      </c>
      <c r="I590" s="8">
        <v>0</v>
      </c>
      <c r="J590" s="8">
        <v>16019.06</v>
      </c>
      <c r="K590" s="0"/>
      <c r="L590" s="0"/>
      <c r="M590" s="8">
        <f>I590-J590</f>
      </c>
      <c r="N590" s="0" t="inlineStr">
        <is>
          <t xml:space="preserve">2024-08</t>
        </is>
      </c>
      <c r="O590" s="0">
        <f>INDEX(Journaux!$E$5:$E$18,MATCH("2024|"&amp;A590,Journaux!$A$5:$A$18,0))</f>
      </c>
      <c r="P590" s="0">
        <f>INDEX(Comptes!$H$5:$H$42,MATCH(E590,Comptes!$A$5:$A$42,0))</f>
      </c>
      <c r="Q590" s="0" t="inlineStr">
        <is>
          <t xml:space="preserve">5</t>
        </is>
      </c>
    </row>
    <row r="591">
      <c r="A591" s="4" t="inlineStr">
        <is>
          <t xml:space="preserve">BQ</t>
        </is>
      </c>
      <c r="B591" s="0" t="inlineStr">
        <is>
          <t xml:space="preserve">Banque Fictive</t>
        </is>
      </c>
      <c r="C591" s="0" t="inlineStr">
        <is>
          <t xml:space="preserve">BQ00102</t>
        </is>
      </c>
      <c r="D591" s="10">
        <v>45525</v>
      </c>
      <c r="E591" s="4" t="inlineStr">
        <is>
          <t xml:space="preserve">512000</t>
        </is>
      </c>
      <c r="F591" s="0" t="inlineStr">
        <is>
          <t xml:space="preserve">Banque Fictive</t>
        </is>
      </c>
      <c r="G591" s="0" t="inlineStr">
        <is>
          <t xml:space="preserve">ENC-FA2024-0037</t>
        </is>
      </c>
      <c r="H591" s="0" t="inlineStr">
        <is>
          <t xml:space="preserve">Reglement client Hotel Les Tilleuls FA2024-0037</t>
        </is>
      </c>
      <c r="I591" s="8">
        <v>45036.26</v>
      </c>
      <c r="J591" s="8">
        <v>0</v>
      </c>
      <c r="K591" s="0"/>
      <c r="L591" s="0"/>
      <c r="M591" s="8">
        <f>I591-J591</f>
      </c>
      <c r="N591" s="0" t="inlineStr">
        <is>
          <t xml:space="preserve">2024-08</t>
        </is>
      </c>
      <c r="O591" s="0">
        <f>INDEX(Journaux!$E$5:$E$18,MATCH("2024|"&amp;A591,Journaux!$A$5:$A$18,0))</f>
      </c>
      <c r="P591" s="0">
        <f>INDEX(Comptes!$H$5:$H$42,MATCH(E591,Comptes!$A$5:$A$42,0))</f>
      </c>
      <c r="Q591" s="0" t="inlineStr">
        <is>
          <t xml:space="preserve">5</t>
        </is>
      </c>
    </row>
    <row r="592">
      <c r="A592" s="4" t="inlineStr">
        <is>
          <t xml:space="preserve">BQ</t>
        </is>
      </c>
      <c r="B592" s="0" t="inlineStr">
        <is>
          <t xml:space="preserve">Banque Fictive</t>
        </is>
      </c>
      <c r="C592" s="0" t="inlineStr">
        <is>
          <t xml:space="preserve">BQ00102</t>
        </is>
      </c>
      <c r="D592" s="10">
        <v>45525</v>
      </c>
      <c r="E592" s="4" t="inlineStr">
        <is>
          <t xml:space="preserve">411000</t>
        </is>
      </c>
      <c r="F592" s="0" t="inlineStr">
        <is>
          <t xml:space="preserve">Clients</t>
        </is>
      </c>
      <c r="G592" s="0" t="inlineStr">
        <is>
          <t xml:space="preserve">ENC-FA2024-0037</t>
        </is>
      </c>
      <c r="H592" s="0" t="inlineStr">
        <is>
          <t xml:space="preserve">Reglement client Hotel Les Tilleuls FA2024-0037</t>
        </is>
      </c>
      <c r="I592" s="8">
        <v>0</v>
      </c>
      <c r="J592" s="8">
        <v>45036.26</v>
      </c>
      <c r="K592" s="0" t="inlineStr">
        <is>
          <t xml:space="preserve">AAP</t>
        </is>
      </c>
      <c r="L592" s="0" t="inlineStr">
        <is>
          <t xml:space="preserve">Hotel Les Tilleuls</t>
        </is>
      </c>
      <c r="M592" s="8">
        <f>I592-J592</f>
      </c>
      <c r="N592" s="0" t="inlineStr">
        <is>
          <t xml:space="preserve">2024-08</t>
        </is>
      </c>
      <c r="O592" s="0">
        <f>INDEX(Journaux!$E$5:$E$18,MATCH("2024|"&amp;A592,Journaux!$A$5:$A$18,0))</f>
      </c>
      <c r="P592" s="0">
        <f>INDEX(Comptes!$H$5:$H$42,MATCH(E592,Comptes!$A$5:$A$42,0))</f>
      </c>
      <c r="Q592" s="0" t="inlineStr">
        <is>
          <t xml:space="preserve">4</t>
        </is>
      </c>
      <c r="R592" s="7" t="inlineStr">
        <is>
          <t xml:space="preserve">411000|C001</t>
        </is>
      </c>
    </row>
    <row r="593">
      <c r="A593" s="4" t="inlineStr">
        <is>
          <t xml:space="preserve">AC</t>
        </is>
      </c>
      <c r="B593" s="0" t="inlineStr">
        <is>
          <t xml:space="preserve">Journal des achats</t>
        </is>
      </c>
      <c r="C593" s="0" t="inlineStr">
        <is>
          <t xml:space="preserve">AC00045</t>
        </is>
      </c>
      <c r="D593" s="10">
        <v>45526</v>
      </c>
      <c r="E593" s="4" t="inlineStr">
        <is>
          <t xml:space="preserve">601000</t>
        </is>
      </c>
      <c r="F593" s="0" t="inlineStr">
        <is>
          <t xml:space="preserve">Achats de matieres premieres</t>
        </is>
      </c>
      <c r="G593" s="0" t="inlineStr">
        <is>
          <t xml:space="preserve">F001-2024081</t>
        </is>
      </c>
      <c r="H593" s="0" t="inlineStr">
        <is>
          <t xml:space="preserve">Facture Scierie du Nord F001-2024081</t>
        </is>
      </c>
      <c r="I593" s="8">
        <v>30395.47</v>
      </c>
      <c r="J593" s="8">
        <v>0</v>
      </c>
      <c r="K593" s="0"/>
      <c r="L593" s="0"/>
      <c r="M593" s="8">
        <f>I593-J593</f>
      </c>
      <c r="N593" s="0" t="inlineStr">
        <is>
          <t xml:space="preserve">2024-08</t>
        </is>
      </c>
      <c r="O593" s="0">
        <f>INDEX(Journaux!$E$5:$E$18,MATCH("2024|"&amp;A593,Journaux!$A$5:$A$18,0))</f>
      </c>
      <c r="P593" s="0">
        <f>INDEX(Comptes!$H$5:$H$42,MATCH(E593,Comptes!$A$5:$A$42,0))</f>
      </c>
      <c r="Q593" s="0" t="inlineStr">
        <is>
          <t xml:space="preserve">6</t>
        </is>
      </c>
    </row>
    <row r="594">
      <c r="A594" s="4" t="inlineStr">
        <is>
          <t xml:space="preserve">AC</t>
        </is>
      </c>
      <c r="B594" s="0" t="inlineStr">
        <is>
          <t xml:space="preserve">Journal des achats</t>
        </is>
      </c>
      <c r="C594" s="0" t="inlineStr">
        <is>
          <t xml:space="preserve">AC00045</t>
        </is>
      </c>
      <c r="D594" s="10">
        <v>45526</v>
      </c>
      <c r="E594" s="4" t="inlineStr">
        <is>
          <t xml:space="preserve">445660</t>
        </is>
      </c>
      <c r="F594" s="0" t="inlineStr">
        <is>
          <t xml:space="preserve">TVA deductible sur ABS</t>
        </is>
      </c>
      <c r="G594" s="0" t="inlineStr">
        <is>
          <t xml:space="preserve">F001-2024081</t>
        </is>
      </c>
      <c r="H594" s="0" t="inlineStr">
        <is>
          <t xml:space="preserve">Facture Scierie du Nord F001-2024081</t>
        </is>
      </c>
      <c r="I594" s="8">
        <v>6079.09</v>
      </c>
      <c r="J594" s="8">
        <v>0</v>
      </c>
      <c r="K594" s="0"/>
      <c r="L594" s="0"/>
      <c r="M594" s="8">
        <f>I594-J594</f>
      </c>
      <c r="N594" s="0" t="inlineStr">
        <is>
          <t xml:space="preserve">2024-08</t>
        </is>
      </c>
      <c r="O594" s="0">
        <f>INDEX(Journaux!$E$5:$E$18,MATCH("2024|"&amp;A594,Journaux!$A$5:$A$18,0))</f>
      </c>
      <c r="P594" s="0">
        <f>INDEX(Comptes!$H$5:$H$42,MATCH(E594,Comptes!$A$5:$A$42,0))</f>
      </c>
      <c r="Q594" s="0" t="inlineStr">
        <is>
          <t xml:space="preserve">4</t>
        </is>
      </c>
    </row>
    <row r="595">
      <c r="A595" s="4" t="inlineStr">
        <is>
          <t xml:space="preserve">AC</t>
        </is>
      </c>
      <c r="B595" s="0" t="inlineStr">
        <is>
          <t xml:space="preserve">Journal des achats</t>
        </is>
      </c>
      <c r="C595" s="0" t="inlineStr">
        <is>
          <t xml:space="preserve">AC00045</t>
        </is>
      </c>
      <c r="D595" s="10">
        <v>45526</v>
      </c>
      <c r="E595" s="4" t="inlineStr">
        <is>
          <t xml:space="preserve">401000</t>
        </is>
      </c>
      <c r="F595" s="0" t="inlineStr">
        <is>
          <t xml:space="preserve">Fournisseurs</t>
        </is>
      </c>
      <c r="G595" s="0" t="inlineStr">
        <is>
          <t xml:space="preserve">F001-2024081</t>
        </is>
      </c>
      <c r="H595" s="0" t="inlineStr">
        <is>
          <t xml:space="preserve">Facture Scierie du Nord F001-2024081</t>
        </is>
      </c>
      <c r="I595" s="8">
        <v>0</v>
      </c>
      <c r="J595" s="8">
        <v>36474.56</v>
      </c>
      <c r="K595" s="0" t="inlineStr">
        <is>
          <t xml:space="preserve">ADE</t>
        </is>
      </c>
      <c r="L595" s="0" t="inlineStr">
        <is>
          <t xml:space="preserve">Scierie du Nord</t>
        </is>
      </c>
      <c r="M595" s="8">
        <f>I595-J595</f>
      </c>
      <c r="N595" s="0" t="inlineStr">
        <is>
          <t xml:space="preserve">2024-08</t>
        </is>
      </c>
      <c r="O595" s="0">
        <f>INDEX(Journaux!$E$5:$E$18,MATCH("2024|"&amp;A595,Journaux!$A$5:$A$18,0))</f>
      </c>
      <c r="P595" s="0">
        <f>INDEX(Comptes!$H$5:$H$42,MATCH(E595,Comptes!$A$5:$A$42,0))</f>
      </c>
      <c r="Q595" s="0" t="inlineStr">
        <is>
          <t xml:space="preserve">4</t>
        </is>
      </c>
      <c r="R595" s="7" t="inlineStr">
        <is>
          <t xml:space="preserve">401000|F001</t>
        </is>
      </c>
    </row>
    <row r="596">
      <c r="A596" s="4" t="inlineStr">
        <is>
          <t xml:space="preserve">BQ</t>
        </is>
      </c>
      <c r="B596" s="0" t="inlineStr">
        <is>
          <t xml:space="preserve">Banque Fictive</t>
        </is>
      </c>
      <c r="C596" s="0" t="inlineStr">
        <is>
          <t xml:space="preserve">BQ00099</t>
        </is>
      </c>
      <c r="D596" s="10">
        <v>45530</v>
      </c>
      <c r="E596" s="4" t="inlineStr">
        <is>
          <t xml:space="preserve">512000</t>
        </is>
      </c>
      <c r="F596" s="0" t="inlineStr">
        <is>
          <t xml:space="preserve">Banque Fictive</t>
        </is>
      </c>
      <c r="G596" s="0" t="inlineStr">
        <is>
          <t xml:space="preserve">ENC-FA2024-0034</t>
        </is>
      </c>
      <c r="H596" s="0" t="inlineStr">
        <is>
          <t xml:space="preserve">Reglement client Cabinet Varenne Associes FA2024-0034</t>
        </is>
      </c>
      <c r="I596" s="8">
        <v>41168.34</v>
      </c>
      <c r="J596" s="8">
        <v>0</v>
      </c>
      <c r="K596" s="0"/>
      <c r="L596" s="0"/>
      <c r="M596" s="8">
        <f>I596-J596</f>
      </c>
      <c r="N596" s="0" t="inlineStr">
        <is>
          <t xml:space="preserve">2024-08</t>
        </is>
      </c>
      <c r="O596" s="0">
        <f>INDEX(Journaux!$E$5:$E$18,MATCH("2024|"&amp;A596,Journaux!$A$5:$A$18,0))</f>
      </c>
      <c r="P596" s="0">
        <f>INDEX(Comptes!$H$5:$H$42,MATCH(E596,Comptes!$A$5:$A$42,0))</f>
      </c>
      <c r="Q596" s="0" t="inlineStr">
        <is>
          <t xml:space="preserve">5</t>
        </is>
      </c>
    </row>
    <row r="597">
      <c r="A597" s="4" t="inlineStr">
        <is>
          <t xml:space="preserve">BQ</t>
        </is>
      </c>
      <c r="B597" s="0" t="inlineStr">
        <is>
          <t xml:space="preserve">Banque Fictive</t>
        </is>
      </c>
      <c r="C597" s="0" t="inlineStr">
        <is>
          <t xml:space="preserve">BQ00099</t>
        </is>
      </c>
      <c r="D597" s="10">
        <v>45530</v>
      </c>
      <c r="E597" s="4" t="inlineStr">
        <is>
          <t xml:space="preserve">411000</t>
        </is>
      </c>
      <c r="F597" s="0" t="inlineStr">
        <is>
          <t xml:space="preserve">Clients</t>
        </is>
      </c>
      <c r="G597" s="0" t="inlineStr">
        <is>
          <t xml:space="preserve">ENC-FA2024-0034</t>
        </is>
      </c>
      <c r="H597" s="0" t="inlineStr">
        <is>
          <t xml:space="preserve">Reglement client Cabinet Varenne Associes FA2024-0034</t>
        </is>
      </c>
      <c r="I597" s="8">
        <v>0</v>
      </c>
      <c r="J597" s="8">
        <v>41168.34</v>
      </c>
      <c r="K597" s="0" t="inlineStr">
        <is>
          <t xml:space="preserve">AAM</t>
        </is>
      </c>
      <c r="L597" s="0" t="inlineStr">
        <is>
          <t xml:space="preserve">Cabinet Varenne Associes</t>
        </is>
      </c>
      <c r="M597" s="8">
        <f>I597-J597</f>
      </c>
      <c r="N597" s="0" t="inlineStr">
        <is>
          <t xml:space="preserve">2024-08</t>
        </is>
      </c>
      <c r="O597" s="0">
        <f>INDEX(Journaux!$E$5:$E$18,MATCH("2024|"&amp;A597,Journaux!$A$5:$A$18,0))</f>
      </c>
      <c r="P597" s="0">
        <f>INDEX(Comptes!$H$5:$H$42,MATCH(E597,Comptes!$A$5:$A$42,0))</f>
      </c>
      <c r="Q597" s="0" t="inlineStr">
        <is>
          <t xml:space="preserve">4</t>
        </is>
      </c>
      <c r="R597" s="7" t="inlineStr">
        <is>
          <t xml:space="preserve">411000|C004</t>
        </is>
      </c>
    </row>
    <row r="598">
      <c r="A598" s="4" t="inlineStr">
        <is>
          <t xml:space="preserve">BQ</t>
        </is>
      </c>
      <c r="B598" s="0" t="inlineStr">
        <is>
          <t xml:space="preserve">Banque Fictive</t>
        </is>
      </c>
      <c r="C598" s="0" t="inlineStr">
        <is>
          <t xml:space="preserve">BQ00164</t>
        </is>
      </c>
      <c r="D598" s="10">
        <v>45531</v>
      </c>
      <c r="E598" s="4" t="inlineStr">
        <is>
          <t xml:space="preserve">401000</t>
        </is>
      </c>
      <c r="F598" s="0" t="inlineStr">
        <is>
          <t xml:space="preserve">Fournisseurs</t>
        </is>
      </c>
      <c r="G598" s="0" t="inlineStr">
        <is>
          <t xml:space="preserve">DEC-F001-2024072</t>
        </is>
      </c>
      <c r="H598" s="0" t="inlineStr">
        <is>
          <t xml:space="preserve">Reglement fournisseur Scierie du Nord F001-2024072</t>
        </is>
      </c>
      <c r="I598" s="8">
        <v>44168.03</v>
      </c>
      <c r="J598" s="8">
        <v>0</v>
      </c>
      <c r="K598" s="0" t="inlineStr">
        <is>
          <t xml:space="preserve">ACZ</t>
        </is>
      </c>
      <c r="L598" s="0" t="inlineStr">
        <is>
          <t xml:space="preserve">Scierie du Nord</t>
        </is>
      </c>
      <c r="M598" s="8">
        <f>I598-J598</f>
      </c>
      <c r="N598" s="0" t="inlineStr">
        <is>
          <t xml:space="preserve">2024-08</t>
        </is>
      </c>
      <c r="O598" s="0">
        <f>INDEX(Journaux!$E$5:$E$18,MATCH("2024|"&amp;A598,Journaux!$A$5:$A$18,0))</f>
      </c>
      <c r="P598" s="0">
        <f>INDEX(Comptes!$H$5:$H$42,MATCH(E598,Comptes!$A$5:$A$42,0))</f>
      </c>
      <c r="Q598" s="0" t="inlineStr">
        <is>
          <t xml:space="preserve">4</t>
        </is>
      </c>
      <c r="R598" s="7" t="inlineStr">
        <is>
          <t xml:space="preserve">401000|F001</t>
        </is>
      </c>
    </row>
    <row r="599">
      <c r="A599" s="4" t="inlineStr">
        <is>
          <t xml:space="preserve">BQ</t>
        </is>
      </c>
      <c r="B599" s="0" t="inlineStr">
        <is>
          <t xml:space="preserve">Banque Fictive</t>
        </is>
      </c>
      <c r="C599" s="0" t="inlineStr">
        <is>
          <t xml:space="preserve">BQ00164</t>
        </is>
      </c>
      <c r="D599" s="10">
        <v>45531</v>
      </c>
      <c r="E599" s="4" t="inlineStr">
        <is>
          <t xml:space="preserve">512000</t>
        </is>
      </c>
      <c r="F599" s="0" t="inlineStr">
        <is>
          <t xml:space="preserve">Banque Fictive</t>
        </is>
      </c>
      <c r="G599" s="0" t="inlineStr">
        <is>
          <t xml:space="preserve">DEC-F001-2024072</t>
        </is>
      </c>
      <c r="H599" s="0" t="inlineStr">
        <is>
          <t xml:space="preserve">Reglement fournisseur Scierie du Nord F001-2024072</t>
        </is>
      </c>
      <c r="I599" s="8">
        <v>0</v>
      </c>
      <c r="J599" s="8">
        <v>44168.03</v>
      </c>
      <c r="K599" s="0"/>
      <c r="L599" s="0"/>
      <c r="M599" s="8">
        <f>I599-J599</f>
      </c>
      <c r="N599" s="0" t="inlineStr">
        <is>
          <t xml:space="preserve">2024-08</t>
        </is>
      </c>
      <c r="O599" s="0">
        <f>INDEX(Journaux!$E$5:$E$18,MATCH("2024|"&amp;A599,Journaux!$A$5:$A$18,0))</f>
      </c>
      <c r="P599" s="0">
        <f>INDEX(Comptes!$H$5:$H$42,MATCH(E599,Comptes!$A$5:$A$42,0))</f>
      </c>
      <c r="Q599" s="0" t="inlineStr">
        <is>
          <t xml:space="preserve">5</t>
        </is>
      </c>
    </row>
    <row r="600">
      <c r="A600" s="4" t="inlineStr">
        <is>
          <t xml:space="preserve">BQ</t>
        </is>
      </c>
      <c r="B600" s="0" t="inlineStr">
        <is>
          <t xml:space="preserve">Banque Fictive</t>
        </is>
      </c>
      <c r="C600" s="0" t="inlineStr">
        <is>
          <t xml:space="preserve">BQ00105</t>
        </is>
      </c>
      <c r="D600" s="10">
        <v>45532</v>
      </c>
      <c r="E600" s="4" t="inlineStr">
        <is>
          <t xml:space="preserve">512000</t>
        </is>
      </c>
      <c r="F600" s="0" t="inlineStr">
        <is>
          <t xml:space="preserve">Banque Fictive</t>
        </is>
      </c>
      <c r="G600" s="0" t="inlineStr">
        <is>
          <t xml:space="preserve">ENC-FA2024-0040</t>
        </is>
      </c>
      <c r="H600" s="0" t="inlineStr">
        <is>
          <t xml:space="preserve">Reglement client Hotel Les Tilleuls FA2024-0040</t>
        </is>
      </c>
      <c r="I600" s="8">
        <v>30006.28</v>
      </c>
      <c r="J600" s="8">
        <v>0</v>
      </c>
      <c r="K600" s="0"/>
      <c r="L600" s="0"/>
      <c r="M600" s="8">
        <f>I600-J600</f>
      </c>
      <c r="N600" s="0" t="inlineStr">
        <is>
          <t xml:space="preserve">2024-08</t>
        </is>
      </c>
      <c r="O600" s="0">
        <f>INDEX(Journaux!$E$5:$E$18,MATCH("2024|"&amp;A600,Journaux!$A$5:$A$18,0))</f>
      </c>
      <c r="P600" s="0">
        <f>INDEX(Comptes!$H$5:$H$42,MATCH(E600,Comptes!$A$5:$A$42,0))</f>
      </c>
      <c r="Q600" s="0" t="inlineStr">
        <is>
          <t xml:space="preserve">5</t>
        </is>
      </c>
    </row>
    <row r="601">
      <c r="A601" s="4" t="inlineStr">
        <is>
          <t xml:space="preserve">BQ</t>
        </is>
      </c>
      <c r="B601" s="0" t="inlineStr">
        <is>
          <t xml:space="preserve">Banque Fictive</t>
        </is>
      </c>
      <c r="C601" s="0" t="inlineStr">
        <is>
          <t xml:space="preserve">BQ00105</t>
        </is>
      </c>
      <c r="D601" s="10">
        <v>45532</v>
      </c>
      <c r="E601" s="4" t="inlineStr">
        <is>
          <t xml:space="preserve">411000</t>
        </is>
      </c>
      <c r="F601" s="0" t="inlineStr">
        <is>
          <t xml:space="preserve">Clients</t>
        </is>
      </c>
      <c r="G601" s="0" t="inlineStr">
        <is>
          <t xml:space="preserve">ENC-FA2024-0040</t>
        </is>
      </c>
      <c r="H601" s="0" t="inlineStr">
        <is>
          <t xml:space="preserve">Reglement client Hotel Les Tilleuls FA2024-0040</t>
        </is>
      </c>
      <c r="I601" s="8">
        <v>0</v>
      </c>
      <c r="J601" s="8">
        <v>30006.28</v>
      </c>
      <c r="K601" s="0" t="inlineStr">
        <is>
          <t xml:space="preserve">AAS</t>
        </is>
      </c>
      <c r="L601" s="0" t="inlineStr">
        <is>
          <t xml:space="preserve">Hotel Les Tilleuls</t>
        </is>
      </c>
      <c r="M601" s="8">
        <f>I601-J601</f>
      </c>
      <c r="N601" s="0" t="inlineStr">
        <is>
          <t xml:space="preserve">2024-08</t>
        </is>
      </c>
      <c r="O601" s="0">
        <f>INDEX(Journaux!$E$5:$E$18,MATCH("2024|"&amp;A601,Journaux!$A$5:$A$18,0))</f>
      </c>
      <c r="P601" s="0">
        <f>INDEX(Comptes!$H$5:$H$42,MATCH(E601,Comptes!$A$5:$A$42,0))</f>
      </c>
      <c r="Q601" s="0" t="inlineStr">
        <is>
          <t xml:space="preserve">4</t>
        </is>
      </c>
      <c r="R601" s="7" t="inlineStr">
        <is>
          <t xml:space="preserve">411000|C001</t>
        </is>
      </c>
    </row>
    <row r="602">
      <c r="A602" s="4" t="inlineStr">
        <is>
          <t xml:space="preserve">AC</t>
        </is>
      </c>
      <c r="B602" s="0" t="inlineStr">
        <is>
          <t xml:space="preserve">Journal des achats</t>
        </is>
      </c>
      <c r="C602" s="0" t="inlineStr">
        <is>
          <t xml:space="preserve">AC00046</t>
        </is>
      </c>
      <c r="D602" s="10">
        <v>45533</v>
      </c>
      <c r="E602" s="4" t="inlineStr">
        <is>
          <t xml:space="preserve">601000</t>
        </is>
      </c>
      <c r="F602" s="0" t="inlineStr">
        <is>
          <t xml:space="preserve">Achats de matieres premieres</t>
        </is>
      </c>
      <c r="G602" s="0" t="inlineStr">
        <is>
          <t xml:space="preserve">F003-2024082</t>
        </is>
      </c>
      <c r="H602" s="0" t="inlineStr">
        <is>
          <t xml:space="preserve">Facture Vernis et Finitions F003-2024082</t>
        </is>
      </c>
      <c r="I602" s="8">
        <v>18604.53</v>
      </c>
      <c r="J602" s="8">
        <v>0</v>
      </c>
      <c r="K602" s="0"/>
      <c r="L602" s="0"/>
      <c r="M602" s="8">
        <f>I602-J602</f>
      </c>
      <c r="N602" s="0" t="inlineStr">
        <is>
          <t xml:space="preserve">2024-08</t>
        </is>
      </c>
      <c r="O602" s="0">
        <f>INDEX(Journaux!$E$5:$E$18,MATCH("2024|"&amp;A602,Journaux!$A$5:$A$18,0))</f>
      </c>
      <c r="P602" s="0">
        <f>INDEX(Comptes!$H$5:$H$42,MATCH(E602,Comptes!$A$5:$A$42,0))</f>
      </c>
      <c r="Q602" s="0" t="inlineStr">
        <is>
          <t xml:space="preserve">6</t>
        </is>
      </c>
    </row>
    <row r="603">
      <c r="A603" s="4" t="inlineStr">
        <is>
          <t xml:space="preserve">AC</t>
        </is>
      </c>
      <c r="B603" s="0" t="inlineStr">
        <is>
          <t xml:space="preserve">Journal des achats</t>
        </is>
      </c>
      <c r="C603" s="0" t="inlineStr">
        <is>
          <t xml:space="preserve">AC00046</t>
        </is>
      </c>
      <c r="D603" s="10">
        <v>45533</v>
      </c>
      <c r="E603" s="4" t="inlineStr">
        <is>
          <t xml:space="preserve">445660</t>
        </is>
      </c>
      <c r="F603" s="0" t="inlineStr">
        <is>
          <t xml:space="preserve">TVA deductible sur ABS</t>
        </is>
      </c>
      <c r="G603" s="0" t="inlineStr">
        <is>
          <t xml:space="preserve">F003-2024082</t>
        </is>
      </c>
      <c r="H603" s="0" t="inlineStr">
        <is>
          <t xml:space="preserve">Facture Vernis et Finitions F003-2024082</t>
        </is>
      </c>
      <c r="I603" s="8">
        <v>3720.91</v>
      </c>
      <c r="J603" s="8">
        <v>0</v>
      </c>
      <c r="K603" s="0"/>
      <c r="L603" s="0"/>
      <c r="M603" s="8">
        <f>I603-J603</f>
      </c>
      <c r="N603" s="0" t="inlineStr">
        <is>
          <t xml:space="preserve">2024-08</t>
        </is>
      </c>
      <c r="O603" s="0">
        <f>INDEX(Journaux!$E$5:$E$18,MATCH("2024|"&amp;A603,Journaux!$A$5:$A$18,0))</f>
      </c>
      <c r="P603" s="0">
        <f>INDEX(Comptes!$H$5:$H$42,MATCH(E603,Comptes!$A$5:$A$42,0))</f>
      </c>
      <c r="Q603" s="0" t="inlineStr">
        <is>
          <t xml:space="preserve">4</t>
        </is>
      </c>
    </row>
    <row r="604">
      <c r="A604" s="4" t="inlineStr">
        <is>
          <t xml:space="preserve">AC</t>
        </is>
      </c>
      <c r="B604" s="0" t="inlineStr">
        <is>
          <t xml:space="preserve">Journal des achats</t>
        </is>
      </c>
      <c r="C604" s="0" t="inlineStr">
        <is>
          <t xml:space="preserve">AC00046</t>
        </is>
      </c>
      <c r="D604" s="10">
        <v>45533</v>
      </c>
      <c r="E604" s="4" t="inlineStr">
        <is>
          <t xml:space="preserve">401000</t>
        </is>
      </c>
      <c r="F604" s="0" t="inlineStr">
        <is>
          <t xml:space="preserve">Fournisseurs</t>
        </is>
      </c>
      <c r="G604" s="0" t="inlineStr">
        <is>
          <t xml:space="preserve">F003-2024082</t>
        </is>
      </c>
      <c r="H604" s="0" t="inlineStr">
        <is>
          <t xml:space="preserve">Facture Vernis et Finitions F003-2024082</t>
        </is>
      </c>
      <c r="I604" s="8">
        <v>0</v>
      </c>
      <c r="J604" s="8">
        <v>22325.44</v>
      </c>
      <c r="K604" s="0" t="inlineStr">
        <is>
          <t xml:space="preserve">ADF</t>
        </is>
      </c>
      <c r="L604" s="0" t="inlineStr">
        <is>
          <t xml:space="preserve">Vernis et Finitions</t>
        </is>
      </c>
      <c r="M604" s="8">
        <f>I604-J604</f>
      </c>
      <c r="N604" s="0" t="inlineStr">
        <is>
          <t xml:space="preserve">2024-08</t>
        </is>
      </c>
      <c r="O604" s="0">
        <f>INDEX(Journaux!$E$5:$E$18,MATCH("2024|"&amp;A604,Journaux!$A$5:$A$18,0))</f>
      </c>
      <c r="P604" s="0">
        <f>INDEX(Comptes!$H$5:$H$42,MATCH(E604,Comptes!$A$5:$A$42,0))</f>
      </c>
      <c r="Q604" s="0" t="inlineStr">
        <is>
          <t xml:space="preserve">4</t>
        </is>
      </c>
      <c r="R604" s="7" t="inlineStr">
        <is>
          <t xml:space="preserve">401000|F003</t>
        </is>
      </c>
    </row>
    <row r="605">
      <c r="A605" s="4" t="inlineStr">
        <is>
          <t xml:space="preserve">VT</t>
        </is>
      </c>
      <c r="B605" s="0" t="inlineStr">
        <is>
          <t xml:space="preserve">Journal des ventes</t>
        </is>
      </c>
      <c r="C605" s="0" t="inlineStr">
        <is>
          <t xml:space="preserve">VT00041</t>
        </is>
      </c>
      <c r="D605" s="10">
        <v>45534</v>
      </c>
      <c r="E605" s="4" t="inlineStr">
        <is>
          <t xml:space="preserve">411000</t>
        </is>
      </c>
      <c r="F605" s="0" t="inlineStr">
        <is>
          <t xml:space="preserve">Clients</t>
        </is>
      </c>
      <c r="G605" s="0" t="inlineStr">
        <is>
          <t xml:space="preserve">FA2024-0041</t>
        </is>
      </c>
      <c r="H605" s="0" t="inlineStr">
        <is>
          <t xml:space="preserve">Facture FA2024-0041 Coworking Atelier 9</t>
        </is>
      </c>
      <c r="I605" s="8">
        <v>31077.55</v>
      </c>
      <c r="J605" s="8">
        <v>0</v>
      </c>
      <c r="K605" s="0" t="inlineStr">
        <is>
          <t xml:space="preserve">AAT</t>
        </is>
      </c>
      <c r="L605" s="0" t="inlineStr">
        <is>
          <t xml:space="preserve">Coworking Atelier 9</t>
        </is>
      </c>
      <c r="M605" s="8">
        <f>I605-J605</f>
      </c>
      <c r="N605" s="0" t="inlineStr">
        <is>
          <t xml:space="preserve">2024-08</t>
        </is>
      </c>
      <c r="O605" s="0">
        <f>INDEX(Journaux!$E$5:$E$18,MATCH("2024|"&amp;A605,Journaux!$A$5:$A$18,0))</f>
      </c>
      <c r="P605" s="0">
        <f>INDEX(Comptes!$H$5:$H$42,MATCH(E605,Comptes!$A$5:$A$42,0))</f>
      </c>
      <c r="Q605" s="0" t="inlineStr">
        <is>
          <t xml:space="preserve">4</t>
        </is>
      </c>
      <c r="R605" s="7" t="inlineStr">
        <is>
          <t xml:space="preserve">411000|C008</t>
        </is>
      </c>
    </row>
    <row r="606">
      <c r="A606" s="4" t="inlineStr">
        <is>
          <t xml:space="preserve">VT</t>
        </is>
      </c>
      <c r="B606" s="0" t="inlineStr">
        <is>
          <t xml:space="preserve">Journal des ventes</t>
        </is>
      </c>
      <c r="C606" s="0" t="inlineStr">
        <is>
          <t xml:space="preserve">VT00041</t>
        </is>
      </c>
      <c r="D606" s="10">
        <v>45534</v>
      </c>
      <c r="E606" s="4" t="inlineStr">
        <is>
          <t xml:space="preserve">701000</t>
        </is>
      </c>
      <c r="F606" s="0" t="inlineStr">
        <is>
          <t xml:space="preserve">Ventes de produits finis</t>
        </is>
      </c>
      <c r="G606" s="0" t="inlineStr">
        <is>
          <t xml:space="preserve">FA2024-0041</t>
        </is>
      </c>
      <c r="H606" s="0" t="inlineStr">
        <is>
          <t xml:space="preserve">Facture FA2024-0041 Coworking Atelier 9</t>
        </is>
      </c>
      <c r="I606" s="8">
        <v>0</v>
      </c>
      <c r="J606" s="8">
        <v>25897.96</v>
      </c>
      <c r="K606" s="0"/>
      <c r="L606" s="0"/>
      <c r="M606" s="8">
        <f>I606-J606</f>
      </c>
      <c r="N606" s="0" t="inlineStr">
        <is>
          <t xml:space="preserve">2024-08</t>
        </is>
      </c>
      <c r="O606" s="0">
        <f>INDEX(Journaux!$E$5:$E$18,MATCH("2024|"&amp;A606,Journaux!$A$5:$A$18,0))</f>
      </c>
      <c r="P606" s="0">
        <f>INDEX(Comptes!$H$5:$H$42,MATCH(E606,Comptes!$A$5:$A$42,0))</f>
      </c>
      <c r="Q606" s="0" t="inlineStr">
        <is>
          <t xml:space="preserve">7</t>
        </is>
      </c>
    </row>
    <row r="607">
      <c r="A607" s="4" t="inlineStr">
        <is>
          <t xml:space="preserve">VT</t>
        </is>
      </c>
      <c r="B607" s="0" t="inlineStr">
        <is>
          <t xml:space="preserve">Journal des ventes</t>
        </is>
      </c>
      <c r="C607" s="0" t="inlineStr">
        <is>
          <t xml:space="preserve">VT00041</t>
        </is>
      </c>
      <c r="D607" s="10">
        <v>45534</v>
      </c>
      <c r="E607" s="4" t="inlineStr">
        <is>
          <t xml:space="preserve">445710</t>
        </is>
      </c>
      <c r="F607" s="0" t="inlineStr">
        <is>
          <t xml:space="preserve">TVA collectee</t>
        </is>
      </c>
      <c r="G607" s="0" t="inlineStr">
        <is>
          <t xml:space="preserve">FA2024-0041</t>
        </is>
      </c>
      <c r="H607" s="0" t="inlineStr">
        <is>
          <t xml:space="preserve">Facture FA2024-0041 Coworking Atelier 9</t>
        </is>
      </c>
      <c r="I607" s="8">
        <v>0</v>
      </c>
      <c r="J607" s="8">
        <v>5179.59</v>
      </c>
      <c r="K607" s="0"/>
      <c r="L607" s="0"/>
      <c r="M607" s="8">
        <f>I607-J607</f>
      </c>
      <c r="N607" s="0" t="inlineStr">
        <is>
          <t xml:space="preserve">2024-08</t>
        </is>
      </c>
      <c r="O607" s="0">
        <f>INDEX(Journaux!$E$5:$E$18,MATCH("2024|"&amp;A607,Journaux!$A$5:$A$18,0))</f>
      </c>
      <c r="P607" s="0">
        <f>INDEX(Comptes!$H$5:$H$42,MATCH(E607,Comptes!$A$5:$A$42,0))</f>
      </c>
      <c r="Q607" s="0" t="inlineStr">
        <is>
          <t xml:space="preserve">4</t>
        </is>
      </c>
    </row>
    <row r="608">
      <c r="A608" s="4" t="inlineStr">
        <is>
          <t xml:space="preserve">BQ</t>
        </is>
      </c>
      <c r="B608" s="0" t="inlineStr">
        <is>
          <t xml:space="preserve">Banque Fictive</t>
        </is>
      </c>
      <c r="C608" s="0" t="inlineStr">
        <is>
          <t xml:space="preserve">BQ00022</t>
        </is>
      </c>
      <c r="D608" s="10">
        <v>45535</v>
      </c>
      <c r="E608" s="4" t="inlineStr">
        <is>
          <t xml:space="preserve">421000</t>
        </is>
      </c>
      <c r="F608" s="0" t="inlineStr">
        <is>
          <t xml:space="preserve">Personnel remunerations dues</t>
        </is>
      </c>
      <c r="G608" s="0" t="inlineStr">
        <is>
          <t xml:space="preserve">VIRSAL202408</t>
        </is>
      </c>
      <c r="H608" s="0" t="inlineStr">
        <is>
          <t xml:space="preserve">Virement salaires 08/2024</t>
        </is>
      </c>
      <c r="I608" s="8">
        <v>39813.27</v>
      </c>
      <c r="J608" s="8">
        <v>0</v>
      </c>
      <c r="K608" s="0"/>
      <c r="L608" s="0"/>
      <c r="M608" s="8">
        <f>I608-J608</f>
      </c>
      <c r="N608" s="0" t="inlineStr">
        <is>
          <t xml:space="preserve">2024-08</t>
        </is>
      </c>
      <c r="O608" s="0">
        <f>INDEX(Journaux!$E$5:$E$18,MATCH("2024|"&amp;A608,Journaux!$A$5:$A$18,0))</f>
      </c>
      <c r="P608" s="0">
        <f>INDEX(Comptes!$H$5:$H$42,MATCH(E608,Comptes!$A$5:$A$42,0))</f>
      </c>
      <c r="Q608" s="0" t="inlineStr">
        <is>
          <t xml:space="preserve">4</t>
        </is>
      </c>
    </row>
    <row r="609">
      <c r="A609" s="4" t="inlineStr">
        <is>
          <t xml:space="preserve">BQ</t>
        </is>
      </c>
      <c r="B609" s="0" t="inlineStr">
        <is>
          <t xml:space="preserve">Banque Fictive</t>
        </is>
      </c>
      <c r="C609" s="0" t="inlineStr">
        <is>
          <t xml:space="preserve">BQ00022</t>
        </is>
      </c>
      <c r="D609" s="10">
        <v>45535</v>
      </c>
      <c r="E609" s="4" t="inlineStr">
        <is>
          <t xml:space="preserve">512000</t>
        </is>
      </c>
      <c r="F609" s="0" t="inlineStr">
        <is>
          <t xml:space="preserve">Banque Fictive</t>
        </is>
      </c>
      <c r="G609" s="0" t="inlineStr">
        <is>
          <t xml:space="preserve">VIRSAL202408</t>
        </is>
      </c>
      <c r="H609" s="0" t="inlineStr">
        <is>
          <t xml:space="preserve">Virement salaires 08/2024</t>
        </is>
      </c>
      <c r="I609" s="8">
        <v>0</v>
      </c>
      <c r="J609" s="8">
        <v>39813.27</v>
      </c>
      <c r="K609" s="0"/>
      <c r="L609" s="0"/>
      <c r="M609" s="8">
        <f>I609-J609</f>
      </c>
      <c r="N609" s="0" t="inlineStr">
        <is>
          <t xml:space="preserve">2024-08</t>
        </is>
      </c>
      <c r="O609" s="0">
        <f>INDEX(Journaux!$E$5:$E$18,MATCH("2024|"&amp;A609,Journaux!$A$5:$A$18,0))</f>
      </c>
      <c r="P609" s="0">
        <f>INDEX(Comptes!$H$5:$H$42,MATCH(E609,Comptes!$A$5:$A$42,0))</f>
      </c>
      <c r="Q609" s="0" t="inlineStr">
        <is>
          <t xml:space="preserve">5</t>
        </is>
      </c>
    </row>
    <row r="610">
      <c r="A610" s="4" t="inlineStr">
        <is>
          <t xml:space="preserve">BQ</t>
        </is>
      </c>
      <c r="B610" s="0" t="inlineStr">
        <is>
          <t xml:space="preserve">Banque Fictive</t>
        </is>
      </c>
      <c r="C610" s="0" t="inlineStr">
        <is>
          <t xml:space="preserve">BQ00024</t>
        </is>
      </c>
      <c r="D610" s="10">
        <v>45535</v>
      </c>
      <c r="E610" s="4" t="inlineStr">
        <is>
          <t xml:space="preserve">627000</t>
        </is>
      </c>
      <c r="F610" s="0" t="inlineStr">
        <is>
          <t xml:space="preserve">Services bancaires</t>
        </is>
      </c>
      <c r="G610" s="0" t="inlineStr">
        <is>
          <t xml:space="preserve">FRB202408</t>
        </is>
      </c>
      <c r="H610" s="0" t="inlineStr">
        <is>
          <t xml:space="preserve">Frais bancaires 08/2024</t>
        </is>
      </c>
      <c r="I610" s="8">
        <v>85</v>
      </c>
      <c r="J610" s="8">
        <v>0</v>
      </c>
      <c r="K610" s="0"/>
      <c r="L610" s="0"/>
      <c r="M610" s="8">
        <f>I610-J610</f>
      </c>
      <c r="N610" s="0" t="inlineStr">
        <is>
          <t xml:space="preserve">2024-08</t>
        </is>
      </c>
      <c r="O610" s="0">
        <f>INDEX(Journaux!$E$5:$E$18,MATCH("2024|"&amp;A610,Journaux!$A$5:$A$18,0))</f>
      </c>
      <c r="P610" s="0">
        <f>INDEX(Comptes!$H$5:$H$42,MATCH(E610,Comptes!$A$5:$A$42,0))</f>
      </c>
      <c r="Q610" s="0" t="inlineStr">
        <is>
          <t xml:space="preserve">6</t>
        </is>
      </c>
    </row>
    <row r="611">
      <c r="A611" s="4" t="inlineStr">
        <is>
          <t xml:space="preserve">BQ</t>
        </is>
      </c>
      <c r="B611" s="0" t="inlineStr">
        <is>
          <t xml:space="preserve">Banque Fictive</t>
        </is>
      </c>
      <c r="C611" s="0" t="inlineStr">
        <is>
          <t xml:space="preserve">BQ00024</t>
        </is>
      </c>
      <c r="D611" s="10">
        <v>45535</v>
      </c>
      <c r="E611" s="4" t="inlineStr">
        <is>
          <t xml:space="preserve">512000</t>
        </is>
      </c>
      <c r="F611" s="0" t="inlineStr">
        <is>
          <t xml:space="preserve">Banque Fictive</t>
        </is>
      </c>
      <c r="G611" s="0" t="inlineStr">
        <is>
          <t xml:space="preserve">FRB202408</t>
        </is>
      </c>
      <c r="H611" s="0" t="inlineStr">
        <is>
          <t xml:space="preserve">Frais bancaires 08/2024</t>
        </is>
      </c>
      <c r="I611" s="8">
        <v>0</v>
      </c>
      <c r="J611" s="8">
        <v>85</v>
      </c>
      <c r="K611" s="0"/>
      <c r="L611" s="0"/>
      <c r="M611" s="8">
        <f>I611-J611</f>
      </c>
      <c r="N611" s="0" t="inlineStr">
        <is>
          <t xml:space="preserve">2024-08</t>
        </is>
      </c>
      <c r="O611" s="0">
        <f>INDEX(Journaux!$E$5:$E$18,MATCH("2024|"&amp;A611,Journaux!$A$5:$A$18,0))</f>
      </c>
      <c r="P611" s="0">
        <f>INDEX(Comptes!$H$5:$H$42,MATCH(E611,Comptes!$A$5:$A$42,0))</f>
      </c>
      <c r="Q611" s="0" t="inlineStr">
        <is>
          <t xml:space="preserve">5</t>
        </is>
      </c>
    </row>
    <row r="612">
      <c r="A612" s="4" t="inlineStr">
        <is>
          <t xml:space="preserve">OD</t>
        </is>
      </c>
      <c r="B612" s="0" t="inlineStr">
        <is>
          <t xml:space="preserve">Operations diverses</t>
        </is>
      </c>
      <c r="C612" s="0" t="inlineStr">
        <is>
          <t xml:space="preserve">OD00008</t>
        </is>
      </c>
      <c r="D612" s="10">
        <v>45535</v>
      </c>
      <c r="E612" s="4" t="inlineStr">
        <is>
          <t xml:space="preserve">445710</t>
        </is>
      </c>
      <c r="F612" s="0" t="inlineStr">
        <is>
          <t xml:space="preserve">TVA collectee</t>
        </is>
      </c>
      <c r="G612" s="0" t="inlineStr">
        <is>
          <t xml:space="preserve">CA3-202408</t>
        </is>
      </c>
      <c r="H612" s="0" t="inlineStr">
        <is>
          <t xml:space="preserve">Declaration TVA 08/2024</t>
        </is>
      </c>
      <c r="I612" s="8">
        <v>23333.34</v>
      </c>
      <c r="J612" s="8">
        <v>0</v>
      </c>
      <c r="K612" s="0"/>
      <c r="L612" s="0"/>
      <c r="M612" s="8">
        <f>I612-J612</f>
      </c>
      <c r="N612" s="0" t="inlineStr">
        <is>
          <t xml:space="preserve">2024-08</t>
        </is>
      </c>
      <c r="O612" s="0">
        <f>INDEX(Journaux!$E$5:$E$18,MATCH("2024|"&amp;A612,Journaux!$A$5:$A$18,0))</f>
      </c>
      <c r="P612" s="0">
        <f>INDEX(Comptes!$H$5:$H$42,MATCH(E612,Comptes!$A$5:$A$42,0))</f>
      </c>
      <c r="Q612" s="0" t="inlineStr">
        <is>
          <t xml:space="preserve">4</t>
        </is>
      </c>
    </row>
    <row r="613">
      <c r="A613" s="4" t="inlineStr">
        <is>
          <t xml:space="preserve">OD</t>
        </is>
      </c>
      <c r="B613" s="0" t="inlineStr">
        <is>
          <t xml:space="preserve">Operations diverses</t>
        </is>
      </c>
      <c r="C613" s="0" t="inlineStr">
        <is>
          <t xml:space="preserve">OD00008</t>
        </is>
      </c>
      <c r="D613" s="10">
        <v>45535</v>
      </c>
      <c r="E613" s="4" t="inlineStr">
        <is>
          <t xml:space="preserve">445660</t>
        </is>
      </c>
      <c r="F613" s="0" t="inlineStr">
        <is>
          <t xml:space="preserve">TVA deductible sur ABS</t>
        </is>
      </c>
      <c r="G613" s="0" t="inlineStr">
        <is>
          <t xml:space="preserve">CA3-202408</t>
        </is>
      </c>
      <c r="H613" s="0" t="inlineStr">
        <is>
          <t xml:space="preserve">Declaration TVA 08/2024</t>
        </is>
      </c>
      <c r="I613" s="8">
        <v>0</v>
      </c>
      <c r="J613" s="8">
        <v>12232.31</v>
      </c>
      <c r="K613" s="0"/>
      <c r="L613" s="0"/>
      <c r="M613" s="8">
        <f>I613-J613</f>
      </c>
      <c r="N613" s="0" t="inlineStr">
        <is>
          <t xml:space="preserve">2024-08</t>
        </is>
      </c>
      <c r="O613" s="0">
        <f>INDEX(Journaux!$E$5:$E$18,MATCH("2024|"&amp;A613,Journaux!$A$5:$A$18,0))</f>
      </c>
      <c r="P613" s="0">
        <f>INDEX(Comptes!$H$5:$H$42,MATCH(E613,Comptes!$A$5:$A$42,0))</f>
      </c>
      <c r="Q613" s="0" t="inlineStr">
        <is>
          <t xml:space="preserve">4</t>
        </is>
      </c>
    </row>
    <row r="614">
      <c r="A614" s="4" t="inlineStr">
        <is>
          <t xml:space="preserve">OD</t>
        </is>
      </c>
      <c r="B614" s="0" t="inlineStr">
        <is>
          <t xml:space="preserve">Operations diverses</t>
        </is>
      </c>
      <c r="C614" s="0" t="inlineStr">
        <is>
          <t xml:space="preserve">OD00008</t>
        </is>
      </c>
      <c r="D614" s="10">
        <v>45535</v>
      </c>
      <c r="E614" s="4" t="inlineStr">
        <is>
          <t xml:space="preserve">445510</t>
        </is>
      </c>
      <c r="F614" s="0" t="inlineStr">
        <is>
          <t xml:space="preserve">TVA a decaisser</t>
        </is>
      </c>
      <c r="G614" s="0" t="inlineStr">
        <is>
          <t xml:space="preserve">CA3-202408</t>
        </is>
      </c>
      <c r="H614" s="0" t="inlineStr">
        <is>
          <t xml:space="preserve">Declaration TVA 08/2024</t>
        </is>
      </c>
      <c r="I614" s="8">
        <v>0</v>
      </c>
      <c r="J614" s="8">
        <v>11101.03</v>
      </c>
      <c r="K614" s="0"/>
      <c r="L614" s="0"/>
      <c r="M614" s="8">
        <f>I614-J614</f>
      </c>
      <c r="N614" s="0" t="inlineStr">
        <is>
          <t xml:space="preserve">2024-08</t>
        </is>
      </c>
      <c r="O614" s="0">
        <f>INDEX(Journaux!$E$5:$E$18,MATCH("2024|"&amp;A614,Journaux!$A$5:$A$18,0))</f>
      </c>
      <c r="P614" s="0">
        <f>INDEX(Comptes!$H$5:$H$42,MATCH(E614,Comptes!$A$5:$A$42,0))</f>
      </c>
      <c r="Q614" s="0" t="inlineStr">
        <is>
          <t xml:space="preserve">4</t>
        </is>
      </c>
    </row>
    <row r="615">
      <c r="A615" s="4" t="inlineStr">
        <is>
          <t xml:space="preserve">SA</t>
        </is>
      </c>
      <c r="B615" s="0" t="inlineStr">
        <is>
          <t xml:space="preserve">Salaires</t>
        </is>
      </c>
      <c r="C615" s="0" t="inlineStr">
        <is>
          <t xml:space="preserve">SA00008</t>
        </is>
      </c>
      <c r="D615" s="10">
        <v>45535</v>
      </c>
      <c r="E615" s="4" t="inlineStr">
        <is>
          <t xml:space="preserve">641000</t>
        </is>
      </c>
      <c r="F615" s="0" t="inlineStr">
        <is>
          <t xml:space="preserve">Remunerations du personnel</t>
        </is>
      </c>
      <c r="G615" s="0" t="inlineStr">
        <is>
          <t xml:space="preserve">PAIE202408</t>
        </is>
      </c>
      <c r="H615" s="0" t="inlineStr">
        <is>
          <t xml:space="preserve">Paie 08/2024</t>
        </is>
      </c>
      <c r="I615" s="8">
        <v>51042.66</v>
      </c>
      <c r="J615" s="8">
        <v>0</v>
      </c>
      <c r="K615" s="0"/>
      <c r="L615" s="0"/>
      <c r="M615" s="8">
        <f>I615-J615</f>
      </c>
      <c r="N615" s="0" t="inlineStr">
        <is>
          <t xml:space="preserve">2024-08</t>
        </is>
      </c>
      <c r="O615" s="0">
        <f>INDEX(Journaux!$E$5:$E$18,MATCH("2024|"&amp;A615,Journaux!$A$5:$A$18,0))</f>
      </c>
      <c r="P615" s="0">
        <f>INDEX(Comptes!$H$5:$H$42,MATCH(E615,Comptes!$A$5:$A$42,0))</f>
      </c>
      <c r="Q615" s="0" t="inlineStr">
        <is>
          <t xml:space="preserve">6</t>
        </is>
      </c>
    </row>
    <row r="616">
      <c r="A616" s="4" t="inlineStr">
        <is>
          <t xml:space="preserve">SA</t>
        </is>
      </c>
      <c r="B616" s="0" t="inlineStr">
        <is>
          <t xml:space="preserve">Salaires</t>
        </is>
      </c>
      <c r="C616" s="0" t="inlineStr">
        <is>
          <t xml:space="preserve">SA00008</t>
        </is>
      </c>
      <c r="D616" s="10">
        <v>45535</v>
      </c>
      <c r="E616" s="4" t="inlineStr">
        <is>
          <t xml:space="preserve">645100</t>
        </is>
      </c>
      <c r="F616" s="0" t="inlineStr">
        <is>
          <t xml:space="preserve">Cotisations URSSAF</t>
        </is>
      </c>
      <c r="G616" s="0" t="inlineStr">
        <is>
          <t xml:space="preserve">PAIE202408</t>
        </is>
      </c>
      <c r="H616" s="0" t="inlineStr">
        <is>
          <t xml:space="preserve">Paie 08/2024</t>
        </is>
      </c>
      <c r="I616" s="8">
        <v>21437.92</v>
      </c>
      <c r="J616" s="8">
        <v>0</v>
      </c>
      <c r="K616" s="0"/>
      <c r="L616" s="0"/>
      <c r="M616" s="8">
        <f>I616-J616</f>
      </c>
      <c r="N616" s="0" t="inlineStr">
        <is>
          <t xml:space="preserve">2024-08</t>
        </is>
      </c>
      <c r="O616" s="0">
        <f>INDEX(Journaux!$E$5:$E$18,MATCH("2024|"&amp;A616,Journaux!$A$5:$A$18,0))</f>
      </c>
      <c r="P616" s="0">
        <f>INDEX(Comptes!$H$5:$H$42,MATCH(E616,Comptes!$A$5:$A$42,0))</f>
      </c>
      <c r="Q616" s="0" t="inlineStr">
        <is>
          <t xml:space="preserve">6</t>
        </is>
      </c>
    </row>
    <row r="617">
      <c r="A617" s="4" t="inlineStr">
        <is>
          <t xml:space="preserve">SA</t>
        </is>
      </c>
      <c r="B617" s="0" t="inlineStr">
        <is>
          <t xml:space="preserve">Salaires</t>
        </is>
      </c>
      <c r="C617" s="0" t="inlineStr">
        <is>
          <t xml:space="preserve">SA00008</t>
        </is>
      </c>
      <c r="D617" s="10">
        <v>45535</v>
      </c>
      <c r="E617" s="4" t="inlineStr">
        <is>
          <t xml:space="preserve">421000</t>
        </is>
      </c>
      <c r="F617" s="0" t="inlineStr">
        <is>
          <t xml:space="preserve">Personnel remunerations dues</t>
        </is>
      </c>
      <c r="G617" s="0" t="inlineStr">
        <is>
          <t xml:space="preserve">PAIE202408</t>
        </is>
      </c>
      <c r="H617" s="0" t="inlineStr">
        <is>
          <t xml:space="preserve">Paie 08/2024</t>
        </is>
      </c>
      <c r="I617" s="8">
        <v>0</v>
      </c>
      <c r="J617" s="8">
        <v>39813.27</v>
      </c>
      <c r="K617" s="0"/>
      <c r="L617" s="0"/>
      <c r="M617" s="8">
        <f>I617-J617</f>
      </c>
      <c r="N617" s="0" t="inlineStr">
        <is>
          <t xml:space="preserve">2024-08</t>
        </is>
      </c>
      <c r="O617" s="0">
        <f>INDEX(Journaux!$E$5:$E$18,MATCH("2024|"&amp;A617,Journaux!$A$5:$A$18,0))</f>
      </c>
      <c r="P617" s="0">
        <f>INDEX(Comptes!$H$5:$H$42,MATCH(E617,Comptes!$A$5:$A$42,0))</f>
      </c>
      <c r="Q617" s="0" t="inlineStr">
        <is>
          <t xml:space="preserve">4</t>
        </is>
      </c>
    </row>
    <row r="618">
      <c r="A618" s="4" t="inlineStr">
        <is>
          <t xml:space="preserve">SA</t>
        </is>
      </c>
      <c r="B618" s="0" t="inlineStr">
        <is>
          <t xml:space="preserve">Salaires</t>
        </is>
      </c>
      <c r="C618" s="0" t="inlineStr">
        <is>
          <t xml:space="preserve">SA00008</t>
        </is>
      </c>
      <c r="D618" s="10">
        <v>45535</v>
      </c>
      <c r="E618" s="4" t="inlineStr">
        <is>
          <t xml:space="preserve">431000</t>
        </is>
      </c>
      <c r="F618" s="0" t="inlineStr">
        <is>
          <t xml:space="preserve">Securite sociale</t>
        </is>
      </c>
      <c r="G618" s="0" t="inlineStr">
        <is>
          <t xml:space="preserve">PAIE202408</t>
        </is>
      </c>
      <c r="H618" s="0" t="inlineStr">
        <is>
          <t xml:space="preserve">Paie 08/2024</t>
        </is>
      </c>
      <c r="I618" s="8">
        <v>0</v>
      </c>
      <c r="J618" s="8">
        <v>32667.31</v>
      </c>
      <c r="K618" s="0"/>
      <c r="L618" s="0"/>
      <c r="M618" s="8">
        <f>I618-J618</f>
      </c>
      <c r="N618" s="0" t="inlineStr">
        <is>
          <t xml:space="preserve">2024-08</t>
        </is>
      </c>
      <c r="O618" s="0">
        <f>INDEX(Journaux!$E$5:$E$18,MATCH("2024|"&amp;A618,Journaux!$A$5:$A$18,0))</f>
      </c>
      <c r="P618" s="0">
        <f>INDEX(Comptes!$H$5:$H$42,MATCH(E618,Comptes!$A$5:$A$42,0))</f>
      </c>
      <c r="Q618" s="0" t="inlineStr">
        <is>
          <t xml:space="preserve">4</t>
        </is>
      </c>
    </row>
    <row r="619">
      <c r="A619" s="4" t="inlineStr">
        <is>
          <t xml:space="preserve">BQ</t>
        </is>
      </c>
      <c r="B619" s="0" t="inlineStr">
        <is>
          <t xml:space="preserve">Banque Fictive</t>
        </is>
      </c>
      <c r="C619" s="0" t="inlineStr">
        <is>
          <t xml:space="preserve">BQ00104</t>
        </is>
      </c>
      <c r="D619" s="10">
        <v>45537</v>
      </c>
      <c r="E619" s="4" t="inlineStr">
        <is>
          <t xml:space="preserve">512000</t>
        </is>
      </c>
      <c r="F619" s="0" t="inlineStr">
        <is>
          <t xml:space="preserve">Banque Fictive</t>
        </is>
      </c>
      <c r="G619" s="0" t="inlineStr">
        <is>
          <t xml:space="preserve">ENC-FA2024-0039</t>
        </is>
      </c>
      <c r="H619" s="0" t="inlineStr">
        <is>
          <t xml:space="preserve">Reglement client Restaurant Le Comptoir FA2024-0039</t>
        </is>
      </c>
      <c r="I619" s="8">
        <v>29318.93</v>
      </c>
      <c r="J619" s="8">
        <v>0</v>
      </c>
      <c r="K619" s="0"/>
      <c r="L619" s="0"/>
      <c r="M619" s="8">
        <f>I619-J619</f>
      </c>
      <c r="N619" s="0" t="inlineStr">
        <is>
          <t xml:space="preserve">2024-09</t>
        </is>
      </c>
      <c r="O619" s="0">
        <f>INDEX(Journaux!$E$5:$E$18,MATCH("2024|"&amp;A619,Journaux!$A$5:$A$18,0))</f>
      </c>
      <c r="P619" s="0">
        <f>INDEX(Comptes!$H$5:$H$42,MATCH(E619,Comptes!$A$5:$A$42,0))</f>
      </c>
      <c r="Q619" s="0" t="inlineStr">
        <is>
          <t xml:space="preserve">5</t>
        </is>
      </c>
    </row>
    <row r="620">
      <c r="A620" s="4" t="inlineStr">
        <is>
          <t xml:space="preserve">BQ</t>
        </is>
      </c>
      <c r="B620" s="0" t="inlineStr">
        <is>
          <t xml:space="preserve">Banque Fictive</t>
        </is>
      </c>
      <c r="C620" s="0" t="inlineStr">
        <is>
          <t xml:space="preserve">BQ00104</t>
        </is>
      </c>
      <c r="D620" s="10">
        <v>45537</v>
      </c>
      <c r="E620" s="4" t="inlineStr">
        <is>
          <t xml:space="preserve">411000</t>
        </is>
      </c>
      <c r="F620" s="0" t="inlineStr">
        <is>
          <t xml:space="preserve">Clients</t>
        </is>
      </c>
      <c r="G620" s="0" t="inlineStr">
        <is>
          <t xml:space="preserve">ENC-FA2024-0039</t>
        </is>
      </c>
      <c r="H620" s="0" t="inlineStr">
        <is>
          <t xml:space="preserve">Reglement client Restaurant Le Comptoir FA2024-0039</t>
        </is>
      </c>
      <c r="I620" s="8">
        <v>0</v>
      </c>
      <c r="J620" s="8">
        <v>29318.93</v>
      </c>
      <c r="K620" s="0" t="inlineStr">
        <is>
          <t xml:space="preserve">AAR</t>
        </is>
      </c>
      <c r="L620" s="0" t="inlineStr">
        <is>
          <t xml:space="preserve">Restaurant Le Comptoir</t>
        </is>
      </c>
      <c r="M620" s="8">
        <f>I620-J620</f>
      </c>
      <c r="N620" s="0" t="inlineStr">
        <is>
          <t xml:space="preserve">2024-09</t>
        </is>
      </c>
      <c r="O620" s="0">
        <f>INDEX(Journaux!$E$5:$E$18,MATCH("2024|"&amp;A620,Journaux!$A$5:$A$18,0))</f>
      </c>
      <c r="P620" s="0">
        <f>INDEX(Comptes!$H$5:$H$42,MATCH(E620,Comptes!$A$5:$A$42,0))</f>
      </c>
      <c r="Q620" s="0" t="inlineStr">
        <is>
          <t xml:space="preserve">4</t>
        </is>
      </c>
      <c r="R620" s="7" t="inlineStr">
        <is>
          <t xml:space="preserve">411000|C005</t>
        </is>
      </c>
    </row>
    <row r="621">
      <c r="A621" s="4" t="inlineStr">
        <is>
          <t xml:space="preserve">AC</t>
        </is>
      </c>
      <c r="B621" s="0" t="inlineStr">
        <is>
          <t xml:space="preserve">Journal des achats</t>
        </is>
      </c>
      <c r="C621" s="0" t="inlineStr">
        <is>
          <t xml:space="preserve">AC00050</t>
        </is>
      </c>
      <c r="D621" s="10">
        <v>45538</v>
      </c>
      <c r="E621" s="4" t="inlineStr">
        <is>
          <t xml:space="preserve">601000</t>
        </is>
      </c>
      <c r="F621" s="0" t="inlineStr">
        <is>
          <t xml:space="preserve">Achats de matieres premieres</t>
        </is>
      </c>
      <c r="G621" s="0" t="inlineStr">
        <is>
          <t xml:space="preserve">F001-2024091</t>
        </is>
      </c>
      <c r="H621" s="0" t="inlineStr">
        <is>
          <t xml:space="preserve">Facture Scierie du Nord F001-2024091</t>
        </is>
      </c>
      <c r="I621" s="8">
        <v>29163.39</v>
      </c>
      <c r="J621" s="8">
        <v>0</v>
      </c>
      <c r="K621" s="0"/>
      <c r="L621" s="0"/>
      <c r="M621" s="8">
        <f>I621-J621</f>
      </c>
      <c r="N621" s="0" t="inlineStr">
        <is>
          <t xml:space="preserve">2024-09</t>
        </is>
      </c>
      <c r="O621" s="0">
        <f>INDEX(Journaux!$E$5:$E$18,MATCH("2024|"&amp;A621,Journaux!$A$5:$A$18,0))</f>
      </c>
      <c r="P621" s="0">
        <f>INDEX(Comptes!$H$5:$H$42,MATCH(E621,Comptes!$A$5:$A$42,0))</f>
      </c>
      <c r="Q621" s="0" t="inlineStr">
        <is>
          <t xml:space="preserve">6</t>
        </is>
      </c>
    </row>
    <row r="622">
      <c r="A622" s="4" t="inlineStr">
        <is>
          <t xml:space="preserve">AC</t>
        </is>
      </c>
      <c r="B622" s="0" t="inlineStr">
        <is>
          <t xml:space="preserve">Journal des achats</t>
        </is>
      </c>
      <c r="C622" s="0" t="inlineStr">
        <is>
          <t xml:space="preserve">AC00050</t>
        </is>
      </c>
      <c r="D622" s="10">
        <v>45538</v>
      </c>
      <c r="E622" s="4" t="inlineStr">
        <is>
          <t xml:space="preserve">445660</t>
        </is>
      </c>
      <c r="F622" s="0" t="inlineStr">
        <is>
          <t xml:space="preserve">TVA deductible sur ABS</t>
        </is>
      </c>
      <c r="G622" s="0" t="inlineStr">
        <is>
          <t xml:space="preserve">F001-2024091</t>
        </is>
      </c>
      <c r="H622" s="0" t="inlineStr">
        <is>
          <t xml:space="preserve">Facture Scierie du Nord F001-2024091</t>
        </is>
      </c>
      <c r="I622" s="8">
        <v>5832.68</v>
      </c>
      <c r="J622" s="8">
        <v>0</v>
      </c>
      <c r="K622" s="0"/>
      <c r="L622" s="0"/>
      <c r="M622" s="8">
        <f>I622-J622</f>
      </c>
      <c r="N622" s="0" t="inlineStr">
        <is>
          <t xml:space="preserve">2024-09</t>
        </is>
      </c>
      <c r="O622" s="0">
        <f>INDEX(Journaux!$E$5:$E$18,MATCH("2024|"&amp;A622,Journaux!$A$5:$A$18,0))</f>
      </c>
      <c r="P622" s="0">
        <f>INDEX(Comptes!$H$5:$H$42,MATCH(E622,Comptes!$A$5:$A$42,0))</f>
      </c>
      <c r="Q622" s="0" t="inlineStr">
        <is>
          <t xml:space="preserve">4</t>
        </is>
      </c>
    </row>
    <row r="623">
      <c r="A623" s="4" t="inlineStr">
        <is>
          <t xml:space="preserve">AC</t>
        </is>
      </c>
      <c r="B623" s="0" t="inlineStr">
        <is>
          <t xml:space="preserve">Journal des achats</t>
        </is>
      </c>
      <c r="C623" s="0" t="inlineStr">
        <is>
          <t xml:space="preserve">AC00050</t>
        </is>
      </c>
      <c r="D623" s="10">
        <v>45538</v>
      </c>
      <c r="E623" s="4" t="inlineStr">
        <is>
          <t xml:space="preserve">401000</t>
        </is>
      </c>
      <c r="F623" s="0" t="inlineStr">
        <is>
          <t xml:space="preserve">Fournisseurs</t>
        </is>
      </c>
      <c r="G623" s="0" t="inlineStr">
        <is>
          <t xml:space="preserve">F001-2024091</t>
        </is>
      </c>
      <c r="H623" s="0" t="inlineStr">
        <is>
          <t xml:space="preserve">Facture Scierie du Nord F001-2024091</t>
        </is>
      </c>
      <c r="I623" s="8">
        <v>0</v>
      </c>
      <c r="J623" s="8">
        <v>34996.07</v>
      </c>
      <c r="K623" s="0" t="inlineStr">
        <is>
          <t xml:space="preserve">ADJ</t>
        </is>
      </c>
      <c r="L623" s="0" t="inlineStr">
        <is>
          <t xml:space="preserve">Scierie du Nord</t>
        </is>
      </c>
      <c r="M623" s="8">
        <f>I623-J623</f>
      </c>
      <c r="N623" s="0" t="inlineStr">
        <is>
          <t xml:space="preserve">2024-09</t>
        </is>
      </c>
      <c r="O623" s="0">
        <f>INDEX(Journaux!$E$5:$E$18,MATCH("2024|"&amp;A623,Journaux!$A$5:$A$18,0))</f>
      </c>
      <c r="P623" s="0">
        <f>INDEX(Comptes!$H$5:$H$42,MATCH(E623,Comptes!$A$5:$A$42,0))</f>
      </c>
      <c r="Q623" s="0" t="inlineStr">
        <is>
          <t xml:space="preserve">4</t>
        </is>
      </c>
      <c r="R623" s="7" t="inlineStr">
        <is>
          <t xml:space="preserve">401000|F001</t>
        </is>
      </c>
    </row>
    <row r="624">
      <c r="A624" s="4" t="inlineStr">
        <is>
          <t xml:space="preserve">BQ</t>
        </is>
      </c>
      <c r="B624" s="0" t="inlineStr">
        <is>
          <t xml:space="preserve">Banque Fictive</t>
        </is>
      </c>
      <c r="C624" s="0" t="inlineStr">
        <is>
          <t xml:space="preserve">BQ00171</t>
        </is>
      </c>
      <c r="D624" s="10">
        <v>45539</v>
      </c>
      <c r="E624" s="4" t="inlineStr">
        <is>
          <t xml:space="preserve">401000</t>
        </is>
      </c>
      <c r="F624" s="0" t="inlineStr">
        <is>
          <t xml:space="preserve">Fournisseurs</t>
        </is>
      </c>
      <c r="G624" s="0" t="inlineStr">
        <is>
          <t xml:space="preserve">DEC-F004-202408</t>
        </is>
      </c>
      <c r="H624" s="0" t="inlineStr">
        <is>
          <t xml:space="preserve">Reglement fournisseur SCI Les Halles F004-202408</t>
        </is>
      </c>
      <c r="I624" s="8">
        <v>10200</v>
      </c>
      <c r="J624" s="8">
        <v>0</v>
      </c>
      <c r="K624" s="0" t="inlineStr">
        <is>
          <t xml:space="preserve">ADG</t>
        </is>
      </c>
      <c r="L624" s="0" t="inlineStr">
        <is>
          <t xml:space="preserve">SCI Les Halles</t>
        </is>
      </c>
      <c r="M624" s="8">
        <f>I624-J624</f>
      </c>
      <c r="N624" s="0" t="inlineStr">
        <is>
          <t xml:space="preserve">2024-09</t>
        </is>
      </c>
      <c r="O624" s="0">
        <f>INDEX(Journaux!$E$5:$E$18,MATCH("2024|"&amp;A624,Journaux!$A$5:$A$18,0))</f>
      </c>
      <c r="P624" s="0">
        <f>INDEX(Comptes!$H$5:$H$42,MATCH(E624,Comptes!$A$5:$A$42,0))</f>
      </c>
      <c r="Q624" s="0" t="inlineStr">
        <is>
          <t xml:space="preserve">4</t>
        </is>
      </c>
      <c r="R624" s="7" t="inlineStr">
        <is>
          <t xml:space="preserve">401000|F004</t>
        </is>
      </c>
    </row>
    <row r="625">
      <c r="A625" s="4" t="inlineStr">
        <is>
          <t xml:space="preserve">BQ</t>
        </is>
      </c>
      <c r="B625" s="0" t="inlineStr">
        <is>
          <t xml:space="preserve">Banque Fictive</t>
        </is>
      </c>
      <c r="C625" s="0" t="inlineStr">
        <is>
          <t xml:space="preserve">BQ00171</t>
        </is>
      </c>
      <c r="D625" s="10">
        <v>45539</v>
      </c>
      <c r="E625" s="4" t="inlineStr">
        <is>
          <t xml:space="preserve">512000</t>
        </is>
      </c>
      <c r="F625" s="0" t="inlineStr">
        <is>
          <t xml:space="preserve">Banque Fictive</t>
        </is>
      </c>
      <c r="G625" s="0" t="inlineStr">
        <is>
          <t xml:space="preserve">DEC-F004-202408</t>
        </is>
      </c>
      <c r="H625" s="0" t="inlineStr">
        <is>
          <t xml:space="preserve">Reglement fournisseur SCI Les Halles F004-202408</t>
        </is>
      </c>
      <c r="I625" s="8">
        <v>0</v>
      </c>
      <c r="J625" s="8">
        <v>10200</v>
      </c>
      <c r="K625" s="0"/>
      <c r="L625" s="0"/>
      <c r="M625" s="8">
        <f>I625-J625</f>
      </c>
      <c r="N625" s="0" t="inlineStr">
        <is>
          <t xml:space="preserve">2024-09</t>
        </is>
      </c>
      <c r="O625" s="0">
        <f>INDEX(Journaux!$E$5:$E$18,MATCH("2024|"&amp;A625,Journaux!$A$5:$A$18,0))</f>
      </c>
      <c r="P625" s="0">
        <f>INDEX(Comptes!$H$5:$H$42,MATCH(E625,Comptes!$A$5:$A$42,0))</f>
      </c>
      <c r="Q625" s="0" t="inlineStr">
        <is>
          <t xml:space="preserve">5</t>
        </is>
      </c>
    </row>
    <row r="626">
      <c r="A626" s="4" t="inlineStr">
        <is>
          <t xml:space="preserve">BQ</t>
        </is>
      </c>
      <c r="B626" s="0" t="inlineStr">
        <is>
          <t xml:space="preserve">Banque Fictive</t>
        </is>
      </c>
      <c r="C626" s="0" t="inlineStr">
        <is>
          <t xml:space="preserve">BQ00172</t>
        </is>
      </c>
      <c r="D626" s="10">
        <v>45539</v>
      </c>
      <c r="E626" s="4" t="inlineStr">
        <is>
          <t xml:space="preserve">401000</t>
        </is>
      </c>
      <c r="F626" s="0" t="inlineStr">
        <is>
          <t xml:space="preserve">Fournisseurs</t>
        </is>
      </c>
      <c r="G626" s="0" t="inlineStr">
        <is>
          <t xml:space="preserve">DEC-F005-202408</t>
        </is>
      </c>
      <c r="H626" s="0" t="inlineStr">
        <is>
          <t xml:space="preserve">Reglement fournisseur Energie Plus F005-202408</t>
        </is>
      </c>
      <c r="I626" s="8">
        <v>3817.85</v>
      </c>
      <c r="J626" s="8">
        <v>0</v>
      </c>
      <c r="K626" s="0" t="inlineStr">
        <is>
          <t xml:space="preserve">ADH</t>
        </is>
      </c>
      <c r="L626" s="0" t="inlineStr">
        <is>
          <t xml:space="preserve">Energie Plus</t>
        </is>
      </c>
      <c r="M626" s="8">
        <f>I626-J626</f>
      </c>
      <c r="N626" s="0" t="inlineStr">
        <is>
          <t xml:space="preserve">2024-09</t>
        </is>
      </c>
      <c r="O626" s="0">
        <f>INDEX(Journaux!$E$5:$E$18,MATCH("2024|"&amp;A626,Journaux!$A$5:$A$18,0))</f>
      </c>
      <c r="P626" s="0">
        <f>INDEX(Comptes!$H$5:$H$42,MATCH(E626,Comptes!$A$5:$A$42,0))</f>
      </c>
      <c r="Q626" s="0" t="inlineStr">
        <is>
          <t xml:space="preserve">4</t>
        </is>
      </c>
      <c r="R626" s="7" t="inlineStr">
        <is>
          <t xml:space="preserve">401000|F005</t>
        </is>
      </c>
    </row>
    <row r="627">
      <c r="A627" s="4" t="inlineStr">
        <is>
          <t xml:space="preserve">BQ</t>
        </is>
      </c>
      <c r="B627" s="0" t="inlineStr">
        <is>
          <t xml:space="preserve">Banque Fictive</t>
        </is>
      </c>
      <c r="C627" s="0" t="inlineStr">
        <is>
          <t xml:space="preserve">BQ00172</t>
        </is>
      </c>
      <c r="D627" s="10">
        <v>45539</v>
      </c>
      <c r="E627" s="4" t="inlineStr">
        <is>
          <t xml:space="preserve">512000</t>
        </is>
      </c>
      <c r="F627" s="0" t="inlineStr">
        <is>
          <t xml:space="preserve">Banque Fictive</t>
        </is>
      </c>
      <c r="G627" s="0" t="inlineStr">
        <is>
          <t xml:space="preserve">DEC-F005-202408</t>
        </is>
      </c>
      <c r="H627" s="0" t="inlineStr">
        <is>
          <t xml:space="preserve">Reglement fournisseur Energie Plus F005-202408</t>
        </is>
      </c>
      <c r="I627" s="8">
        <v>0</v>
      </c>
      <c r="J627" s="8">
        <v>3817.85</v>
      </c>
      <c r="K627" s="0"/>
      <c r="L627" s="0"/>
      <c r="M627" s="8">
        <f>I627-J627</f>
      </c>
      <c r="N627" s="0" t="inlineStr">
        <is>
          <t xml:space="preserve">2024-09</t>
        </is>
      </c>
      <c r="O627" s="0">
        <f>INDEX(Journaux!$E$5:$E$18,MATCH("2024|"&amp;A627,Journaux!$A$5:$A$18,0))</f>
      </c>
      <c r="P627" s="0">
        <f>INDEX(Comptes!$H$5:$H$42,MATCH(E627,Comptes!$A$5:$A$42,0))</f>
      </c>
      <c r="Q627" s="0" t="inlineStr">
        <is>
          <t xml:space="preserve">5</t>
        </is>
      </c>
    </row>
    <row r="628">
      <c r="A628" s="4" t="inlineStr">
        <is>
          <t xml:space="preserve">BQ</t>
        </is>
      </c>
      <c r="B628" s="0" t="inlineStr">
        <is>
          <t xml:space="preserve">Banque Fictive</t>
        </is>
      </c>
      <c r="C628" s="0" t="inlineStr">
        <is>
          <t xml:space="preserve">BQ00173</t>
        </is>
      </c>
      <c r="D628" s="10">
        <v>45539</v>
      </c>
      <c r="E628" s="4" t="inlineStr">
        <is>
          <t xml:space="preserve">401000</t>
        </is>
      </c>
      <c r="F628" s="0" t="inlineStr">
        <is>
          <t xml:space="preserve">Fournisseurs</t>
        </is>
      </c>
      <c r="G628" s="0" t="inlineStr">
        <is>
          <t xml:space="preserve">DEC-F008-202408</t>
        </is>
      </c>
      <c r="H628" s="0" t="inlineStr">
        <is>
          <t xml:space="preserve">Reglement fournisseur Telecom Pro F008-202408</t>
        </is>
      </c>
      <c r="I628" s="8">
        <v>576</v>
      </c>
      <c r="J628" s="8">
        <v>0</v>
      </c>
      <c r="K628" s="0" t="inlineStr">
        <is>
          <t xml:space="preserve">ADI</t>
        </is>
      </c>
      <c r="L628" s="0" t="inlineStr">
        <is>
          <t xml:space="preserve">Telecom Pro</t>
        </is>
      </c>
      <c r="M628" s="8">
        <f>I628-J628</f>
      </c>
      <c r="N628" s="0" t="inlineStr">
        <is>
          <t xml:space="preserve">2024-09</t>
        </is>
      </c>
      <c r="O628" s="0">
        <f>INDEX(Journaux!$E$5:$E$18,MATCH("2024|"&amp;A628,Journaux!$A$5:$A$18,0))</f>
      </c>
      <c r="P628" s="0">
        <f>INDEX(Comptes!$H$5:$H$42,MATCH(E628,Comptes!$A$5:$A$42,0))</f>
      </c>
      <c r="Q628" s="0" t="inlineStr">
        <is>
          <t xml:space="preserve">4</t>
        </is>
      </c>
      <c r="R628" s="7" t="inlineStr">
        <is>
          <t xml:space="preserve">401000|F008</t>
        </is>
      </c>
    </row>
    <row r="629">
      <c r="A629" s="4" t="inlineStr">
        <is>
          <t xml:space="preserve">BQ</t>
        </is>
      </c>
      <c r="B629" s="0" t="inlineStr">
        <is>
          <t xml:space="preserve">Banque Fictive</t>
        </is>
      </c>
      <c r="C629" s="0" t="inlineStr">
        <is>
          <t xml:space="preserve">BQ00173</t>
        </is>
      </c>
      <c r="D629" s="10">
        <v>45539</v>
      </c>
      <c r="E629" s="4" t="inlineStr">
        <is>
          <t xml:space="preserve">512000</t>
        </is>
      </c>
      <c r="F629" s="0" t="inlineStr">
        <is>
          <t xml:space="preserve">Banque Fictive</t>
        </is>
      </c>
      <c r="G629" s="0" t="inlineStr">
        <is>
          <t xml:space="preserve">DEC-F008-202408</t>
        </is>
      </c>
      <c r="H629" s="0" t="inlineStr">
        <is>
          <t xml:space="preserve">Reglement fournisseur Telecom Pro F008-202408</t>
        </is>
      </c>
      <c r="I629" s="8">
        <v>0</v>
      </c>
      <c r="J629" s="8">
        <v>576</v>
      </c>
      <c r="K629" s="0"/>
      <c r="L629" s="0"/>
      <c r="M629" s="8">
        <f>I629-J629</f>
      </c>
      <c r="N629" s="0" t="inlineStr">
        <is>
          <t xml:space="preserve">2024-09</t>
        </is>
      </c>
      <c r="O629" s="0">
        <f>INDEX(Journaux!$E$5:$E$18,MATCH("2024|"&amp;A629,Journaux!$A$5:$A$18,0))</f>
      </c>
      <c r="P629" s="0">
        <f>INDEX(Comptes!$H$5:$H$42,MATCH(E629,Comptes!$A$5:$A$42,0))</f>
      </c>
      <c r="Q629" s="0" t="inlineStr">
        <is>
          <t xml:space="preserve">5</t>
        </is>
      </c>
    </row>
    <row r="630">
      <c r="A630" s="4" t="inlineStr">
        <is>
          <t xml:space="preserve">AC</t>
        </is>
      </c>
      <c r="B630" s="0" t="inlineStr">
        <is>
          <t xml:space="preserve">Journal des achats</t>
        </is>
      </c>
      <c r="C630" s="0" t="inlineStr">
        <is>
          <t xml:space="preserve">AC00051</t>
        </is>
      </c>
      <c r="D630" s="10">
        <v>45540</v>
      </c>
      <c r="E630" s="4" t="inlineStr">
        <is>
          <t xml:space="preserve">601000</t>
        </is>
      </c>
      <c r="F630" s="0" t="inlineStr">
        <is>
          <t xml:space="preserve">Achats de matieres premieres</t>
        </is>
      </c>
      <c r="G630" s="0" t="inlineStr">
        <is>
          <t xml:space="preserve">F002-2024092</t>
        </is>
      </c>
      <c r="H630" s="0" t="inlineStr">
        <is>
          <t xml:space="preserve">Facture Quincaillerie Pro Est F002-2024092</t>
        </is>
      </c>
      <c r="I630" s="8">
        <v>44336.61</v>
      </c>
      <c r="J630" s="8">
        <v>0</v>
      </c>
      <c r="K630" s="0"/>
      <c r="L630" s="0"/>
      <c r="M630" s="8">
        <f>I630-J630</f>
      </c>
      <c r="N630" s="0" t="inlineStr">
        <is>
          <t xml:space="preserve">2024-09</t>
        </is>
      </c>
      <c r="O630" s="0">
        <f>INDEX(Journaux!$E$5:$E$18,MATCH("2024|"&amp;A630,Journaux!$A$5:$A$18,0))</f>
      </c>
      <c r="P630" s="0">
        <f>INDEX(Comptes!$H$5:$H$42,MATCH(E630,Comptes!$A$5:$A$42,0))</f>
      </c>
      <c r="Q630" s="0" t="inlineStr">
        <is>
          <t xml:space="preserve">6</t>
        </is>
      </c>
    </row>
    <row r="631">
      <c r="A631" s="4" t="inlineStr">
        <is>
          <t xml:space="preserve">AC</t>
        </is>
      </c>
      <c r="B631" s="0" t="inlineStr">
        <is>
          <t xml:space="preserve">Journal des achats</t>
        </is>
      </c>
      <c r="C631" s="0" t="inlineStr">
        <is>
          <t xml:space="preserve">AC00051</t>
        </is>
      </c>
      <c r="D631" s="10">
        <v>45540</v>
      </c>
      <c r="E631" s="4" t="inlineStr">
        <is>
          <t xml:space="preserve">445660</t>
        </is>
      </c>
      <c r="F631" s="0" t="inlineStr">
        <is>
          <t xml:space="preserve">TVA deductible sur ABS</t>
        </is>
      </c>
      <c r="G631" s="0" t="inlineStr">
        <is>
          <t xml:space="preserve">F002-2024092</t>
        </is>
      </c>
      <c r="H631" s="0" t="inlineStr">
        <is>
          <t xml:space="preserve">Facture Quincaillerie Pro Est F002-2024092</t>
        </is>
      </c>
      <c r="I631" s="8">
        <v>8867.32</v>
      </c>
      <c r="J631" s="8">
        <v>0</v>
      </c>
      <c r="K631" s="0"/>
      <c r="L631" s="0"/>
      <c r="M631" s="8">
        <f>I631-J631</f>
      </c>
      <c r="N631" s="0" t="inlineStr">
        <is>
          <t xml:space="preserve">2024-09</t>
        </is>
      </c>
      <c r="O631" s="0">
        <f>INDEX(Journaux!$E$5:$E$18,MATCH("2024|"&amp;A631,Journaux!$A$5:$A$18,0))</f>
      </c>
      <c r="P631" s="0">
        <f>INDEX(Comptes!$H$5:$H$42,MATCH(E631,Comptes!$A$5:$A$42,0))</f>
      </c>
      <c r="Q631" s="0" t="inlineStr">
        <is>
          <t xml:space="preserve">4</t>
        </is>
      </c>
    </row>
    <row r="632">
      <c r="A632" s="4" t="inlineStr">
        <is>
          <t xml:space="preserve">AC</t>
        </is>
      </c>
      <c r="B632" s="0" t="inlineStr">
        <is>
          <t xml:space="preserve">Journal des achats</t>
        </is>
      </c>
      <c r="C632" s="0" t="inlineStr">
        <is>
          <t xml:space="preserve">AC00051</t>
        </is>
      </c>
      <c r="D632" s="10">
        <v>45540</v>
      </c>
      <c r="E632" s="4" t="inlineStr">
        <is>
          <t xml:space="preserve">401000</t>
        </is>
      </c>
      <c r="F632" s="0" t="inlineStr">
        <is>
          <t xml:space="preserve">Fournisseurs</t>
        </is>
      </c>
      <c r="G632" s="0" t="inlineStr">
        <is>
          <t xml:space="preserve">F002-2024092</t>
        </is>
      </c>
      <c r="H632" s="0" t="inlineStr">
        <is>
          <t xml:space="preserve">Facture Quincaillerie Pro Est F002-2024092</t>
        </is>
      </c>
      <c r="I632" s="8">
        <v>0</v>
      </c>
      <c r="J632" s="8">
        <v>53203.93</v>
      </c>
      <c r="K632" s="0" t="inlineStr">
        <is>
          <t xml:space="preserve">ADK</t>
        </is>
      </c>
      <c r="L632" s="0" t="inlineStr">
        <is>
          <t xml:space="preserve">Quincaillerie Pro Est</t>
        </is>
      </c>
      <c r="M632" s="8">
        <f>I632-J632</f>
      </c>
      <c r="N632" s="0" t="inlineStr">
        <is>
          <t xml:space="preserve">2024-09</t>
        </is>
      </c>
      <c r="O632" s="0">
        <f>INDEX(Journaux!$E$5:$E$18,MATCH("2024|"&amp;A632,Journaux!$A$5:$A$18,0))</f>
      </c>
      <c r="P632" s="0">
        <f>INDEX(Comptes!$H$5:$H$42,MATCH(E632,Comptes!$A$5:$A$42,0))</f>
      </c>
      <c r="Q632" s="0" t="inlineStr">
        <is>
          <t xml:space="preserve">4</t>
        </is>
      </c>
      <c r="R632" s="7" t="inlineStr">
        <is>
          <t xml:space="preserve">401000|F002</t>
        </is>
      </c>
    </row>
    <row r="633">
      <c r="A633" s="4" t="inlineStr">
        <is>
          <t xml:space="preserve">AC</t>
        </is>
      </c>
      <c r="B633" s="0" t="inlineStr">
        <is>
          <t xml:space="preserve">Journal des achats</t>
        </is>
      </c>
      <c r="C633" s="0" t="inlineStr">
        <is>
          <t xml:space="preserve">AC00052</t>
        </is>
      </c>
      <c r="D633" s="10">
        <v>45540</v>
      </c>
      <c r="E633" s="4" t="inlineStr">
        <is>
          <t xml:space="preserve">613200</t>
        </is>
      </c>
      <c r="F633" s="0" t="inlineStr">
        <is>
          <t xml:space="preserve">Locations immobilieres</t>
        </is>
      </c>
      <c r="G633" s="0" t="inlineStr">
        <is>
          <t xml:space="preserve">F004-202409</t>
        </is>
      </c>
      <c r="H633" s="0" t="inlineStr">
        <is>
          <t xml:space="preserve">Facture SCI Les Halles 2024-09</t>
        </is>
      </c>
      <c r="I633" s="8">
        <v>8500</v>
      </c>
      <c r="J633" s="8">
        <v>0</v>
      </c>
      <c r="K633" s="0"/>
      <c r="L633" s="0"/>
      <c r="M633" s="8">
        <f>I633-J633</f>
      </c>
      <c r="N633" s="0" t="inlineStr">
        <is>
          <t xml:space="preserve">2024-09</t>
        </is>
      </c>
      <c r="O633" s="0">
        <f>INDEX(Journaux!$E$5:$E$18,MATCH("2024|"&amp;A633,Journaux!$A$5:$A$18,0))</f>
      </c>
      <c r="P633" s="0">
        <f>INDEX(Comptes!$H$5:$H$42,MATCH(E633,Comptes!$A$5:$A$42,0))</f>
      </c>
      <c r="Q633" s="0" t="inlineStr">
        <is>
          <t xml:space="preserve">6</t>
        </is>
      </c>
    </row>
    <row r="634">
      <c r="A634" s="4" t="inlineStr">
        <is>
          <t xml:space="preserve">AC</t>
        </is>
      </c>
      <c r="B634" s="0" t="inlineStr">
        <is>
          <t xml:space="preserve">Journal des achats</t>
        </is>
      </c>
      <c r="C634" s="0" t="inlineStr">
        <is>
          <t xml:space="preserve">AC00052</t>
        </is>
      </c>
      <c r="D634" s="10">
        <v>45540</v>
      </c>
      <c r="E634" s="4" t="inlineStr">
        <is>
          <t xml:space="preserve">445660</t>
        </is>
      </c>
      <c r="F634" s="0" t="inlineStr">
        <is>
          <t xml:space="preserve">TVA deductible sur ABS</t>
        </is>
      </c>
      <c r="G634" s="0" t="inlineStr">
        <is>
          <t xml:space="preserve">F004-202409</t>
        </is>
      </c>
      <c r="H634" s="0" t="inlineStr">
        <is>
          <t xml:space="preserve">Facture SCI Les Halles 2024-09</t>
        </is>
      </c>
      <c r="I634" s="8">
        <v>1700</v>
      </c>
      <c r="J634" s="8">
        <v>0</v>
      </c>
      <c r="K634" s="0"/>
      <c r="L634" s="0"/>
      <c r="M634" s="8">
        <f>I634-J634</f>
      </c>
      <c r="N634" s="0" t="inlineStr">
        <is>
          <t xml:space="preserve">2024-09</t>
        </is>
      </c>
      <c r="O634" s="0">
        <f>INDEX(Journaux!$E$5:$E$18,MATCH("2024|"&amp;A634,Journaux!$A$5:$A$18,0))</f>
      </c>
      <c r="P634" s="0">
        <f>INDEX(Comptes!$H$5:$H$42,MATCH(E634,Comptes!$A$5:$A$42,0))</f>
      </c>
      <c r="Q634" s="0" t="inlineStr">
        <is>
          <t xml:space="preserve">4</t>
        </is>
      </c>
    </row>
    <row r="635">
      <c r="A635" s="4" t="inlineStr">
        <is>
          <t xml:space="preserve">AC</t>
        </is>
      </c>
      <c r="B635" s="0" t="inlineStr">
        <is>
          <t xml:space="preserve">Journal des achats</t>
        </is>
      </c>
      <c r="C635" s="0" t="inlineStr">
        <is>
          <t xml:space="preserve">AC00052</t>
        </is>
      </c>
      <c r="D635" s="10">
        <v>45540</v>
      </c>
      <c r="E635" s="4" t="inlineStr">
        <is>
          <t xml:space="preserve">401000</t>
        </is>
      </c>
      <c r="F635" s="0" t="inlineStr">
        <is>
          <t xml:space="preserve">Fournisseurs</t>
        </is>
      </c>
      <c r="G635" s="0" t="inlineStr">
        <is>
          <t xml:space="preserve">F004-202409</t>
        </is>
      </c>
      <c r="H635" s="0" t="inlineStr">
        <is>
          <t xml:space="preserve">Facture SCI Les Halles 2024-09</t>
        </is>
      </c>
      <c r="I635" s="8">
        <v>0</v>
      </c>
      <c r="J635" s="8">
        <v>10200</v>
      </c>
      <c r="K635" s="0" t="inlineStr">
        <is>
          <t xml:space="preserve">ADL</t>
        </is>
      </c>
      <c r="L635" s="0" t="inlineStr">
        <is>
          <t xml:space="preserve">SCI Les Halles</t>
        </is>
      </c>
      <c r="M635" s="8">
        <f>I635-J635</f>
      </c>
      <c r="N635" s="0" t="inlineStr">
        <is>
          <t xml:space="preserve">2024-09</t>
        </is>
      </c>
      <c r="O635" s="0">
        <f>INDEX(Journaux!$E$5:$E$18,MATCH("2024|"&amp;A635,Journaux!$A$5:$A$18,0))</f>
      </c>
      <c r="P635" s="0">
        <f>INDEX(Comptes!$H$5:$H$42,MATCH(E635,Comptes!$A$5:$A$42,0))</f>
      </c>
      <c r="Q635" s="0" t="inlineStr">
        <is>
          <t xml:space="preserve">4</t>
        </is>
      </c>
      <c r="R635" s="7" t="inlineStr">
        <is>
          <t xml:space="preserve">401000|F004</t>
        </is>
      </c>
    </row>
    <row r="636">
      <c r="A636" s="4" t="inlineStr">
        <is>
          <t xml:space="preserve">AC</t>
        </is>
      </c>
      <c r="B636" s="0" t="inlineStr">
        <is>
          <t xml:space="preserve">Journal des achats</t>
        </is>
      </c>
      <c r="C636" s="0" t="inlineStr">
        <is>
          <t xml:space="preserve">AC00053</t>
        </is>
      </c>
      <c r="D636" s="10">
        <v>45540</v>
      </c>
      <c r="E636" s="4" t="inlineStr">
        <is>
          <t xml:space="preserve">606100</t>
        </is>
      </c>
      <c r="F636" s="0" t="inlineStr">
        <is>
          <t xml:space="preserve">Fournitures non stockables energie</t>
        </is>
      </c>
      <c r="G636" s="0" t="inlineStr">
        <is>
          <t xml:space="preserve">F005-202409</t>
        </is>
      </c>
      <c r="H636" s="0" t="inlineStr">
        <is>
          <t xml:space="preserve">Facture Energie Plus 2024-09</t>
        </is>
      </c>
      <c r="I636" s="8">
        <v>3589.17</v>
      </c>
      <c r="J636" s="8">
        <v>0</v>
      </c>
      <c r="K636" s="0"/>
      <c r="L636" s="0"/>
      <c r="M636" s="8">
        <f>I636-J636</f>
      </c>
      <c r="N636" s="0" t="inlineStr">
        <is>
          <t xml:space="preserve">2024-09</t>
        </is>
      </c>
      <c r="O636" s="0">
        <f>INDEX(Journaux!$E$5:$E$18,MATCH("2024|"&amp;A636,Journaux!$A$5:$A$18,0))</f>
      </c>
      <c r="P636" s="0">
        <f>INDEX(Comptes!$H$5:$H$42,MATCH(E636,Comptes!$A$5:$A$42,0))</f>
      </c>
      <c r="Q636" s="0" t="inlineStr">
        <is>
          <t xml:space="preserve">6</t>
        </is>
      </c>
    </row>
    <row r="637">
      <c r="A637" s="4" t="inlineStr">
        <is>
          <t xml:space="preserve">AC</t>
        </is>
      </c>
      <c r="B637" s="0" t="inlineStr">
        <is>
          <t xml:space="preserve">Journal des achats</t>
        </is>
      </c>
      <c r="C637" s="0" t="inlineStr">
        <is>
          <t xml:space="preserve">AC00053</t>
        </is>
      </c>
      <c r="D637" s="10">
        <v>45540</v>
      </c>
      <c r="E637" s="4" t="inlineStr">
        <is>
          <t xml:space="preserve">445660</t>
        </is>
      </c>
      <c r="F637" s="0" t="inlineStr">
        <is>
          <t xml:space="preserve">TVA deductible sur ABS</t>
        </is>
      </c>
      <c r="G637" s="0" t="inlineStr">
        <is>
          <t xml:space="preserve">F005-202409</t>
        </is>
      </c>
      <c r="H637" s="0" t="inlineStr">
        <is>
          <t xml:space="preserve">Facture Energie Plus 2024-09</t>
        </is>
      </c>
      <c r="I637" s="8">
        <v>717.83</v>
      </c>
      <c r="J637" s="8">
        <v>0</v>
      </c>
      <c r="K637" s="0"/>
      <c r="L637" s="0"/>
      <c r="M637" s="8">
        <f>I637-J637</f>
      </c>
      <c r="N637" s="0" t="inlineStr">
        <is>
          <t xml:space="preserve">2024-09</t>
        </is>
      </c>
      <c r="O637" s="0">
        <f>INDEX(Journaux!$E$5:$E$18,MATCH("2024|"&amp;A637,Journaux!$A$5:$A$18,0))</f>
      </c>
      <c r="P637" s="0">
        <f>INDEX(Comptes!$H$5:$H$42,MATCH(E637,Comptes!$A$5:$A$42,0))</f>
      </c>
      <c r="Q637" s="0" t="inlineStr">
        <is>
          <t xml:space="preserve">4</t>
        </is>
      </c>
    </row>
    <row r="638">
      <c r="A638" s="4" t="inlineStr">
        <is>
          <t xml:space="preserve">AC</t>
        </is>
      </c>
      <c r="B638" s="0" t="inlineStr">
        <is>
          <t xml:space="preserve">Journal des achats</t>
        </is>
      </c>
      <c r="C638" s="0" t="inlineStr">
        <is>
          <t xml:space="preserve">AC00053</t>
        </is>
      </c>
      <c r="D638" s="10">
        <v>45540</v>
      </c>
      <c r="E638" s="4" t="inlineStr">
        <is>
          <t xml:space="preserve">401000</t>
        </is>
      </c>
      <c r="F638" s="0" t="inlineStr">
        <is>
          <t xml:space="preserve">Fournisseurs</t>
        </is>
      </c>
      <c r="G638" s="0" t="inlineStr">
        <is>
          <t xml:space="preserve">F005-202409</t>
        </is>
      </c>
      <c r="H638" s="0" t="inlineStr">
        <is>
          <t xml:space="preserve">Facture Energie Plus 2024-09</t>
        </is>
      </c>
      <c r="I638" s="8">
        <v>0</v>
      </c>
      <c r="J638" s="8">
        <v>4307</v>
      </c>
      <c r="K638" s="0" t="inlineStr">
        <is>
          <t xml:space="preserve">ADM</t>
        </is>
      </c>
      <c r="L638" s="0" t="inlineStr">
        <is>
          <t xml:space="preserve">Energie Plus</t>
        </is>
      </c>
      <c r="M638" s="8">
        <f>I638-J638</f>
      </c>
      <c r="N638" s="0" t="inlineStr">
        <is>
          <t xml:space="preserve">2024-09</t>
        </is>
      </c>
      <c r="O638" s="0">
        <f>INDEX(Journaux!$E$5:$E$18,MATCH("2024|"&amp;A638,Journaux!$A$5:$A$18,0))</f>
      </c>
      <c r="P638" s="0">
        <f>INDEX(Comptes!$H$5:$H$42,MATCH(E638,Comptes!$A$5:$A$42,0))</f>
      </c>
      <c r="Q638" s="0" t="inlineStr">
        <is>
          <t xml:space="preserve">4</t>
        </is>
      </c>
      <c r="R638" s="7" t="inlineStr">
        <is>
          <t xml:space="preserve">401000|F005</t>
        </is>
      </c>
    </row>
    <row r="639">
      <c r="A639" s="4" t="inlineStr">
        <is>
          <t xml:space="preserve">AC</t>
        </is>
      </c>
      <c r="B639" s="0" t="inlineStr">
        <is>
          <t xml:space="preserve">Journal des achats</t>
        </is>
      </c>
      <c r="C639" s="0" t="inlineStr">
        <is>
          <t xml:space="preserve">AC00054</t>
        </is>
      </c>
      <c r="D639" s="10">
        <v>45540</v>
      </c>
      <c r="E639" s="4" t="inlineStr">
        <is>
          <t xml:space="preserve">626000</t>
        </is>
      </c>
      <c r="F639" s="0" t="inlineStr">
        <is>
          <t xml:space="preserve">Frais postaux et telecommunications</t>
        </is>
      </c>
      <c r="G639" s="0" t="inlineStr">
        <is>
          <t xml:space="preserve">F008-202409</t>
        </is>
      </c>
      <c r="H639" s="0" t="inlineStr">
        <is>
          <t xml:space="preserve">Facture Telecom Pro 2024-09</t>
        </is>
      </c>
      <c r="I639" s="8">
        <v>480</v>
      </c>
      <c r="J639" s="8">
        <v>0</v>
      </c>
      <c r="K639" s="0"/>
      <c r="L639" s="0"/>
      <c r="M639" s="8">
        <f>I639-J639</f>
      </c>
      <c r="N639" s="0" t="inlineStr">
        <is>
          <t xml:space="preserve">2024-09</t>
        </is>
      </c>
      <c r="O639" s="0">
        <f>INDEX(Journaux!$E$5:$E$18,MATCH("2024|"&amp;A639,Journaux!$A$5:$A$18,0))</f>
      </c>
      <c r="P639" s="0">
        <f>INDEX(Comptes!$H$5:$H$42,MATCH(E639,Comptes!$A$5:$A$42,0))</f>
      </c>
      <c r="Q639" s="0" t="inlineStr">
        <is>
          <t xml:space="preserve">6</t>
        </is>
      </c>
    </row>
    <row r="640">
      <c r="A640" s="4" t="inlineStr">
        <is>
          <t xml:space="preserve">AC</t>
        </is>
      </c>
      <c r="B640" s="0" t="inlineStr">
        <is>
          <t xml:space="preserve">Journal des achats</t>
        </is>
      </c>
      <c r="C640" s="0" t="inlineStr">
        <is>
          <t xml:space="preserve">AC00054</t>
        </is>
      </c>
      <c r="D640" s="10">
        <v>45540</v>
      </c>
      <c r="E640" s="4" t="inlineStr">
        <is>
          <t xml:space="preserve">445660</t>
        </is>
      </c>
      <c r="F640" s="0" t="inlineStr">
        <is>
          <t xml:space="preserve">TVA deductible sur ABS</t>
        </is>
      </c>
      <c r="G640" s="0" t="inlineStr">
        <is>
          <t xml:space="preserve">F008-202409</t>
        </is>
      </c>
      <c r="H640" s="0" t="inlineStr">
        <is>
          <t xml:space="preserve">Facture Telecom Pro 2024-09</t>
        </is>
      </c>
      <c r="I640" s="8">
        <v>96</v>
      </c>
      <c r="J640" s="8">
        <v>0</v>
      </c>
      <c r="K640" s="0"/>
      <c r="L640" s="0"/>
      <c r="M640" s="8">
        <f>I640-J640</f>
      </c>
      <c r="N640" s="0" t="inlineStr">
        <is>
          <t xml:space="preserve">2024-09</t>
        </is>
      </c>
      <c r="O640" s="0">
        <f>INDEX(Journaux!$E$5:$E$18,MATCH("2024|"&amp;A640,Journaux!$A$5:$A$18,0))</f>
      </c>
      <c r="P640" s="0">
        <f>INDEX(Comptes!$H$5:$H$42,MATCH(E640,Comptes!$A$5:$A$42,0))</f>
      </c>
      <c r="Q640" s="0" t="inlineStr">
        <is>
          <t xml:space="preserve">4</t>
        </is>
      </c>
    </row>
    <row r="641">
      <c r="A641" s="4" t="inlineStr">
        <is>
          <t xml:space="preserve">AC</t>
        </is>
      </c>
      <c r="B641" s="0" t="inlineStr">
        <is>
          <t xml:space="preserve">Journal des achats</t>
        </is>
      </c>
      <c r="C641" s="0" t="inlineStr">
        <is>
          <t xml:space="preserve">AC00054</t>
        </is>
      </c>
      <c r="D641" s="10">
        <v>45540</v>
      </c>
      <c r="E641" s="4" t="inlineStr">
        <is>
          <t xml:space="preserve">401000</t>
        </is>
      </c>
      <c r="F641" s="0" t="inlineStr">
        <is>
          <t xml:space="preserve">Fournisseurs</t>
        </is>
      </c>
      <c r="G641" s="0" t="inlineStr">
        <is>
          <t xml:space="preserve">F008-202409</t>
        </is>
      </c>
      <c r="H641" s="0" t="inlineStr">
        <is>
          <t xml:space="preserve">Facture Telecom Pro 2024-09</t>
        </is>
      </c>
      <c r="I641" s="8">
        <v>0</v>
      </c>
      <c r="J641" s="8">
        <v>576</v>
      </c>
      <c r="K641" s="0" t="inlineStr">
        <is>
          <t xml:space="preserve">ADN</t>
        </is>
      </c>
      <c r="L641" s="0" t="inlineStr">
        <is>
          <t xml:space="preserve">Telecom Pro</t>
        </is>
      </c>
      <c r="M641" s="8">
        <f>I641-J641</f>
      </c>
      <c r="N641" s="0" t="inlineStr">
        <is>
          <t xml:space="preserve">2024-09</t>
        </is>
      </c>
      <c r="O641" s="0">
        <f>INDEX(Journaux!$E$5:$E$18,MATCH("2024|"&amp;A641,Journaux!$A$5:$A$18,0))</f>
      </c>
      <c r="P641" s="0">
        <f>INDEX(Comptes!$H$5:$H$42,MATCH(E641,Comptes!$A$5:$A$42,0))</f>
      </c>
      <c r="Q641" s="0" t="inlineStr">
        <is>
          <t xml:space="preserve">4</t>
        </is>
      </c>
      <c r="R641" s="7" t="inlineStr">
        <is>
          <t xml:space="preserve">401000|F008</t>
        </is>
      </c>
    </row>
    <row r="642">
      <c r="A642" s="4" t="inlineStr">
        <is>
          <t xml:space="preserve">AC</t>
        </is>
      </c>
      <c r="B642" s="0" t="inlineStr">
        <is>
          <t xml:space="preserve">Journal des achats</t>
        </is>
      </c>
      <c r="C642" s="0" t="inlineStr">
        <is>
          <t xml:space="preserve">AC00055</t>
        </is>
      </c>
      <c r="D642" s="10">
        <v>45540</v>
      </c>
      <c r="E642" s="4" t="inlineStr">
        <is>
          <t xml:space="preserve">622600</t>
        </is>
      </c>
      <c r="F642" s="0" t="inlineStr">
        <is>
          <t xml:space="preserve">Honoraires</t>
        </is>
      </c>
      <c r="G642" s="0" t="inlineStr">
        <is>
          <t xml:space="preserve">F007-202409</t>
        </is>
      </c>
      <c r="H642" s="0" t="inlineStr">
        <is>
          <t xml:space="preserve">Facture Cabinet Comptable Exemple 2024-09</t>
        </is>
      </c>
      <c r="I642" s="8">
        <v>6000</v>
      </c>
      <c r="J642" s="8">
        <v>0</v>
      </c>
      <c r="K642" s="0"/>
      <c r="L642" s="0"/>
      <c r="M642" s="8">
        <f>I642-J642</f>
      </c>
      <c r="N642" s="0" t="inlineStr">
        <is>
          <t xml:space="preserve">2024-09</t>
        </is>
      </c>
      <c r="O642" s="0">
        <f>INDEX(Journaux!$E$5:$E$18,MATCH("2024|"&amp;A642,Journaux!$A$5:$A$18,0))</f>
      </c>
      <c r="P642" s="0">
        <f>INDEX(Comptes!$H$5:$H$42,MATCH(E642,Comptes!$A$5:$A$42,0))</f>
      </c>
      <c r="Q642" s="0" t="inlineStr">
        <is>
          <t xml:space="preserve">6</t>
        </is>
      </c>
    </row>
    <row r="643">
      <c r="A643" s="4" t="inlineStr">
        <is>
          <t xml:space="preserve">AC</t>
        </is>
      </c>
      <c r="B643" s="0" t="inlineStr">
        <is>
          <t xml:space="preserve">Journal des achats</t>
        </is>
      </c>
      <c r="C643" s="0" t="inlineStr">
        <is>
          <t xml:space="preserve">AC00055</t>
        </is>
      </c>
      <c r="D643" s="10">
        <v>45540</v>
      </c>
      <c r="E643" s="4" t="inlineStr">
        <is>
          <t xml:space="preserve">445660</t>
        </is>
      </c>
      <c r="F643" s="0" t="inlineStr">
        <is>
          <t xml:space="preserve">TVA deductible sur ABS</t>
        </is>
      </c>
      <c r="G643" s="0" t="inlineStr">
        <is>
          <t xml:space="preserve">F007-202409</t>
        </is>
      </c>
      <c r="H643" s="0" t="inlineStr">
        <is>
          <t xml:space="preserve">Facture Cabinet Comptable Exemple 2024-09</t>
        </is>
      </c>
      <c r="I643" s="8">
        <v>1200</v>
      </c>
      <c r="J643" s="8">
        <v>0</v>
      </c>
      <c r="K643" s="0"/>
      <c r="L643" s="0"/>
      <c r="M643" s="8">
        <f>I643-J643</f>
      </c>
      <c r="N643" s="0" t="inlineStr">
        <is>
          <t xml:space="preserve">2024-09</t>
        </is>
      </c>
      <c r="O643" s="0">
        <f>INDEX(Journaux!$E$5:$E$18,MATCH("2024|"&amp;A643,Journaux!$A$5:$A$18,0))</f>
      </c>
      <c r="P643" s="0">
        <f>INDEX(Comptes!$H$5:$H$42,MATCH(E643,Comptes!$A$5:$A$42,0))</f>
      </c>
      <c r="Q643" s="0" t="inlineStr">
        <is>
          <t xml:space="preserve">4</t>
        </is>
      </c>
    </row>
    <row r="644">
      <c r="A644" s="4" t="inlineStr">
        <is>
          <t xml:space="preserve">AC</t>
        </is>
      </c>
      <c r="B644" s="0" t="inlineStr">
        <is>
          <t xml:space="preserve">Journal des achats</t>
        </is>
      </c>
      <c r="C644" s="0" t="inlineStr">
        <is>
          <t xml:space="preserve">AC00055</t>
        </is>
      </c>
      <c r="D644" s="10">
        <v>45540</v>
      </c>
      <c r="E644" s="4" t="inlineStr">
        <is>
          <t xml:space="preserve">401000</t>
        </is>
      </c>
      <c r="F644" s="0" t="inlineStr">
        <is>
          <t xml:space="preserve">Fournisseurs</t>
        </is>
      </c>
      <c r="G644" s="0" t="inlineStr">
        <is>
          <t xml:space="preserve">F007-202409</t>
        </is>
      </c>
      <c r="H644" s="0" t="inlineStr">
        <is>
          <t xml:space="preserve">Facture Cabinet Comptable Exemple 2024-09</t>
        </is>
      </c>
      <c r="I644" s="8">
        <v>0</v>
      </c>
      <c r="J644" s="8">
        <v>7200</v>
      </c>
      <c r="K644" s="0" t="inlineStr">
        <is>
          <t xml:space="preserve">ADO</t>
        </is>
      </c>
      <c r="L644" s="0" t="inlineStr">
        <is>
          <t xml:space="preserve">Cabinet Comptable Exemple</t>
        </is>
      </c>
      <c r="M644" s="8">
        <f>I644-J644</f>
      </c>
      <c r="N644" s="0" t="inlineStr">
        <is>
          <t xml:space="preserve">2024-09</t>
        </is>
      </c>
      <c r="O644" s="0">
        <f>INDEX(Journaux!$E$5:$E$18,MATCH("2024|"&amp;A644,Journaux!$A$5:$A$18,0))</f>
      </c>
      <c r="P644" s="0">
        <f>INDEX(Comptes!$H$5:$H$42,MATCH(E644,Comptes!$A$5:$A$42,0))</f>
      </c>
      <c r="Q644" s="0" t="inlineStr">
        <is>
          <t xml:space="preserve">4</t>
        </is>
      </c>
      <c r="R644" s="7" t="inlineStr">
        <is>
          <t xml:space="preserve">401000|F007</t>
        </is>
      </c>
    </row>
    <row r="645">
      <c r="A645" s="4" t="inlineStr">
        <is>
          <t xml:space="preserve">BQ</t>
        </is>
      </c>
      <c r="B645" s="0" t="inlineStr">
        <is>
          <t xml:space="preserve">Banque Fictive</t>
        </is>
      </c>
      <c r="C645" s="0" t="inlineStr">
        <is>
          <t xml:space="preserve">BQ00103</t>
        </is>
      </c>
      <c r="D645" s="10">
        <v>45540</v>
      </c>
      <c r="E645" s="4" t="inlineStr">
        <is>
          <t xml:space="preserve">512000</t>
        </is>
      </c>
      <c r="F645" s="0" t="inlineStr">
        <is>
          <t xml:space="preserve">Banque Fictive</t>
        </is>
      </c>
      <c r="G645" s="0" t="inlineStr">
        <is>
          <t xml:space="preserve">ENC-FA2024-0038</t>
        </is>
      </c>
      <c r="H645" s="0" t="inlineStr">
        <is>
          <t xml:space="preserve">Reglement client Coworking Atelier 9 FA2024-0038</t>
        </is>
      </c>
      <c r="I645" s="8">
        <v>20982.01</v>
      </c>
      <c r="J645" s="8">
        <v>0</v>
      </c>
      <c r="K645" s="0"/>
      <c r="L645" s="0"/>
      <c r="M645" s="8">
        <f>I645-J645</f>
      </c>
      <c r="N645" s="0" t="inlineStr">
        <is>
          <t xml:space="preserve">2024-09</t>
        </is>
      </c>
      <c r="O645" s="0">
        <f>INDEX(Journaux!$E$5:$E$18,MATCH("2024|"&amp;A645,Journaux!$A$5:$A$18,0))</f>
      </c>
      <c r="P645" s="0">
        <f>INDEX(Comptes!$H$5:$H$42,MATCH(E645,Comptes!$A$5:$A$42,0))</f>
      </c>
      <c r="Q645" s="0" t="inlineStr">
        <is>
          <t xml:space="preserve">5</t>
        </is>
      </c>
    </row>
    <row r="646">
      <c r="A646" s="4" t="inlineStr">
        <is>
          <t xml:space="preserve">BQ</t>
        </is>
      </c>
      <c r="B646" s="0" t="inlineStr">
        <is>
          <t xml:space="preserve">Banque Fictive</t>
        </is>
      </c>
      <c r="C646" s="0" t="inlineStr">
        <is>
          <t xml:space="preserve">BQ00103</t>
        </is>
      </c>
      <c r="D646" s="10">
        <v>45540</v>
      </c>
      <c r="E646" s="4" t="inlineStr">
        <is>
          <t xml:space="preserve">411000</t>
        </is>
      </c>
      <c r="F646" s="0" t="inlineStr">
        <is>
          <t xml:space="preserve">Clients</t>
        </is>
      </c>
      <c r="G646" s="0" t="inlineStr">
        <is>
          <t xml:space="preserve">ENC-FA2024-0038</t>
        </is>
      </c>
      <c r="H646" s="0" t="inlineStr">
        <is>
          <t xml:space="preserve">Reglement client Coworking Atelier 9 FA2024-0038</t>
        </is>
      </c>
      <c r="I646" s="8">
        <v>0</v>
      </c>
      <c r="J646" s="8">
        <v>20982.01</v>
      </c>
      <c r="K646" s="0" t="inlineStr">
        <is>
          <t xml:space="preserve">AAQ</t>
        </is>
      </c>
      <c r="L646" s="0" t="inlineStr">
        <is>
          <t xml:space="preserve">Coworking Atelier 9</t>
        </is>
      </c>
      <c r="M646" s="8">
        <f>I646-J646</f>
      </c>
      <c r="N646" s="0" t="inlineStr">
        <is>
          <t xml:space="preserve">2024-09</t>
        </is>
      </c>
      <c r="O646" s="0">
        <f>INDEX(Journaux!$E$5:$E$18,MATCH("2024|"&amp;A646,Journaux!$A$5:$A$18,0))</f>
      </c>
      <c r="P646" s="0">
        <f>INDEX(Comptes!$H$5:$H$42,MATCH(E646,Comptes!$A$5:$A$42,0))</f>
      </c>
      <c r="Q646" s="0" t="inlineStr">
        <is>
          <t xml:space="preserve">4</t>
        </is>
      </c>
      <c r="R646" s="7" t="inlineStr">
        <is>
          <t xml:space="preserve">411000|C008</t>
        </is>
      </c>
    </row>
    <row r="647">
      <c r="A647" s="4" t="inlineStr">
        <is>
          <t xml:space="preserve">BQ</t>
        </is>
      </c>
      <c r="B647" s="0" t="inlineStr">
        <is>
          <t xml:space="preserve">Banque Fictive</t>
        </is>
      </c>
      <c r="C647" s="0" t="inlineStr">
        <is>
          <t xml:space="preserve">BQ00100</t>
        </is>
      </c>
      <c r="D647" s="10">
        <v>45541</v>
      </c>
      <c r="E647" s="4" t="inlineStr">
        <is>
          <t xml:space="preserve">512000</t>
        </is>
      </c>
      <c r="F647" s="0" t="inlineStr">
        <is>
          <t xml:space="preserve">Banque Fictive</t>
        </is>
      </c>
      <c r="G647" s="0" t="inlineStr">
        <is>
          <t xml:space="preserve">ENC-FA2024-0035</t>
        </is>
      </c>
      <c r="H647" s="0" t="inlineStr">
        <is>
          <t xml:space="preserve">Reglement client Coworking Atelier 9 FA2024-0035</t>
        </is>
      </c>
      <c r="I647" s="8">
        <v>52482.95</v>
      </c>
      <c r="J647" s="8">
        <v>0</v>
      </c>
      <c r="K647" s="0"/>
      <c r="L647" s="0"/>
      <c r="M647" s="8">
        <f>I647-J647</f>
      </c>
      <c r="N647" s="0" t="inlineStr">
        <is>
          <t xml:space="preserve">2024-09</t>
        </is>
      </c>
      <c r="O647" s="0">
        <f>INDEX(Journaux!$E$5:$E$18,MATCH("2024|"&amp;A647,Journaux!$A$5:$A$18,0))</f>
      </c>
      <c r="P647" s="0">
        <f>INDEX(Comptes!$H$5:$H$42,MATCH(E647,Comptes!$A$5:$A$42,0))</f>
      </c>
      <c r="Q647" s="0" t="inlineStr">
        <is>
          <t xml:space="preserve">5</t>
        </is>
      </c>
    </row>
    <row r="648">
      <c r="A648" s="4" t="inlineStr">
        <is>
          <t xml:space="preserve">BQ</t>
        </is>
      </c>
      <c r="B648" s="0" t="inlineStr">
        <is>
          <t xml:space="preserve">Banque Fictive</t>
        </is>
      </c>
      <c r="C648" s="0" t="inlineStr">
        <is>
          <t xml:space="preserve">BQ00100</t>
        </is>
      </c>
      <c r="D648" s="10">
        <v>45541</v>
      </c>
      <c r="E648" s="4" t="inlineStr">
        <is>
          <t xml:space="preserve">411000</t>
        </is>
      </c>
      <c r="F648" s="0" t="inlineStr">
        <is>
          <t xml:space="preserve">Clients</t>
        </is>
      </c>
      <c r="G648" s="0" t="inlineStr">
        <is>
          <t xml:space="preserve">ENC-FA2024-0035</t>
        </is>
      </c>
      <c r="H648" s="0" t="inlineStr">
        <is>
          <t xml:space="preserve">Reglement client Coworking Atelier 9 FA2024-0035</t>
        </is>
      </c>
      <c r="I648" s="8">
        <v>0</v>
      </c>
      <c r="J648" s="8">
        <v>52482.95</v>
      </c>
      <c r="K648" s="0" t="inlineStr">
        <is>
          <t xml:space="preserve">AAN</t>
        </is>
      </c>
      <c r="L648" s="0" t="inlineStr">
        <is>
          <t xml:space="preserve">Coworking Atelier 9</t>
        </is>
      </c>
      <c r="M648" s="8">
        <f>I648-J648</f>
      </c>
      <c r="N648" s="0" t="inlineStr">
        <is>
          <t xml:space="preserve">2024-09</t>
        </is>
      </c>
      <c r="O648" s="0">
        <f>INDEX(Journaux!$E$5:$E$18,MATCH("2024|"&amp;A648,Journaux!$A$5:$A$18,0))</f>
      </c>
      <c r="P648" s="0">
        <f>INDEX(Comptes!$H$5:$H$42,MATCH(E648,Comptes!$A$5:$A$42,0))</f>
      </c>
      <c r="Q648" s="0" t="inlineStr">
        <is>
          <t xml:space="preserve">4</t>
        </is>
      </c>
      <c r="R648" s="7" t="inlineStr">
        <is>
          <t xml:space="preserve">411000|C008</t>
        </is>
      </c>
    </row>
    <row r="649">
      <c r="A649" s="4" t="inlineStr">
        <is>
          <t xml:space="preserve">VT</t>
        </is>
      </c>
      <c r="B649" s="0" t="inlineStr">
        <is>
          <t xml:space="preserve">Journal des ventes</t>
        </is>
      </c>
      <c r="C649" s="0" t="inlineStr">
        <is>
          <t xml:space="preserve">VT00044</t>
        </is>
      </c>
      <c r="D649" s="10">
        <v>45544</v>
      </c>
      <c r="E649" s="4" t="inlineStr">
        <is>
          <t xml:space="preserve">411000</t>
        </is>
      </c>
      <c r="F649" s="0" t="inlineStr">
        <is>
          <t xml:space="preserve">Clients</t>
        </is>
      </c>
      <c r="G649" s="0" t="inlineStr">
        <is>
          <t xml:space="preserve">FA2024-0044</t>
        </is>
      </c>
      <c r="H649" s="0" t="inlineStr">
        <is>
          <t xml:space="preserve">Facture FA2024-0044 Cabinet Varenne Associes</t>
        </is>
      </c>
      <c r="I649" s="8">
        <v>51291.46</v>
      </c>
      <c r="J649" s="8">
        <v>0</v>
      </c>
      <c r="K649" s="0" t="inlineStr">
        <is>
          <t xml:space="preserve">AAW</t>
        </is>
      </c>
      <c r="L649" s="0" t="inlineStr">
        <is>
          <t xml:space="preserve">Cabinet Varenne Associes</t>
        </is>
      </c>
      <c r="M649" s="8">
        <f>I649-J649</f>
      </c>
      <c r="N649" s="0" t="inlineStr">
        <is>
          <t xml:space="preserve">2024-09</t>
        </is>
      </c>
      <c r="O649" s="0">
        <f>INDEX(Journaux!$E$5:$E$18,MATCH("2024|"&amp;A649,Journaux!$A$5:$A$18,0))</f>
      </c>
      <c r="P649" s="0">
        <f>INDEX(Comptes!$H$5:$H$42,MATCH(E649,Comptes!$A$5:$A$42,0))</f>
      </c>
      <c r="Q649" s="0" t="inlineStr">
        <is>
          <t xml:space="preserve">4</t>
        </is>
      </c>
      <c r="R649" s="7" t="inlineStr">
        <is>
          <t xml:space="preserve">411000|C004</t>
        </is>
      </c>
    </row>
    <row r="650">
      <c r="A650" s="4" t="inlineStr">
        <is>
          <t xml:space="preserve">VT</t>
        </is>
      </c>
      <c r="B650" s="0" t="inlineStr">
        <is>
          <t xml:space="preserve">Journal des ventes</t>
        </is>
      </c>
      <c r="C650" s="0" t="inlineStr">
        <is>
          <t xml:space="preserve">VT00044</t>
        </is>
      </c>
      <c r="D650" s="10">
        <v>45544</v>
      </c>
      <c r="E650" s="4" t="inlineStr">
        <is>
          <t xml:space="preserve">701000</t>
        </is>
      </c>
      <c r="F650" s="0" t="inlineStr">
        <is>
          <t xml:space="preserve">Ventes de produits finis</t>
        </is>
      </c>
      <c r="G650" s="0" t="inlineStr">
        <is>
          <t xml:space="preserve">FA2024-0044</t>
        </is>
      </c>
      <c r="H650" s="0" t="inlineStr">
        <is>
          <t xml:space="preserve">Facture FA2024-0044 Cabinet Varenne Associes</t>
        </is>
      </c>
      <c r="I650" s="8">
        <v>0</v>
      </c>
      <c r="J650" s="8">
        <v>42742.88</v>
      </c>
      <c r="K650" s="0"/>
      <c r="L650" s="0"/>
      <c r="M650" s="8">
        <f>I650-J650</f>
      </c>
      <c r="N650" s="0" t="inlineStr">
        <is>
          <t xml:space="preserve">2024-09</t>
        </is>
      </c>
      <c r="O650" s="0">
        <f>INDEX(Journaux!$E$5:$E$18,MATCH("2024|"&amp;A650,Journaux!$A$5:$A$18,0))</f>
      </c>
      <c r="P650" s="0">
        <f>INDEX(Comptes!$H$5:$H$42,MATCH(E650,Comptes!$A$5:$A$42,0))</f>
      </c>
      <c r="Q650" s="0" t="inlineStr">
        <is>
          <t xml:space="preserve">7</t>
        </is>
      </c>
    </row>
    <row r="651">
      <c r="A651" s="4" t="inlineStr">
        <is>
          <t xml:space="preserve">VT</t>
        </is>
      </c>
      <c r="B651" s="0" t="inlineStr">
        <is>
          <t xml:space="preserve">Journal des ventes</t>
        </is>
      </c>
      <c r="C651" s="0" t="inlineStr">
        <is>
          <t xml:space="preserve">VT00044</t>
        </is>
      </c>
      <c r="D651" s="10">
        <v>45544</v>
      </c>
      <c r="E651" s="4" t="inlineStr">
        <is>
          <t xml:space="preserve">445710</t>
        </is>
      </c>
      <c r="F651" s="0" t="inlineStr">
        <is>
          <t xml:space="preserve">TVA collectee</t>
        </is>
      </c>
      <c r="G651" s="0" t="inlineStr">
        <is>
          <t xml:space="preserve">FA2024-0044</t>
        </is>
      </c>
      <c r="H651" s="0" t="inlineStr">
        <is>
          <t xml:space="preserve">Facture FA2024-0044 Cabinet Varenne Associes</t>
        </is>
      </c>
      <c r="I651" s="8">
        <v>0</v>
      </c>
      <c r="J651" s="8">
        <v>8548.58</v>
      </c>
      <c r="K651" s="0"/>
      <c r="L651" s="0"/>
      <c r="M651" s="8">
        <f>I651-J651</f>
      </c>
      <c r="N651" s="0" t="inlineStr">
        <is>
          <t xml:space="preserve">2024-09</t>
        </is>
      </c>
      <c r="O651" s="0">
        <f>INDEX(Journaux!$E$5:$E$18,MATCH("2024|"&amp;A651,Journaux!$A$5:$A$18,0))</f>
      </c>
      <c r="P651" s="0">
        <f>INDEX(Comptes!$H$5:$H$42,MATCH(E651,Comptes!$A$5:$A$42,0))</f>
      </c>
      <c r="Q651" s="0" t="inlineStr">
        <is>
          <t xml:space="preserve">4</t>
        </is>
      </c>
    </row>
    <row r="652">
      <c r="A652" s="4" t="inlineStr">
        <is>
          <t xml:space="preserve">BQ</t>
        </is>
      </c>
      <c r="B652" s="0" t="inlineStr">
        <is>
          <t xml:space="preserve">Banque Fictive</t>
        </is>
      </c>
      <c r="C652" s="0" t="inlineStr">
        <is>
          <t xml:space="preserve">BQ00026</t>
        </is>
      </c>
      <c r="D652" s="10">
        <v>45545</v>
      </c>
      <c r="E652" s="4" t="inlineStr">
        <is>
          <t xml:space="preserve">164000</t>
        </is>
      </c>
      <c r="F652" s="0" t="inlineStr">
        <is>
          <t xml:space="preserve">Emprunts aupres des etablissements de credit</t>
        </is>
      </c>
      <c r="G652" s="0" t="inlineStr">
        <is>
          <t xml:space="preserve">ECH202409</t>
        </is>
      </c>
      <c r="H652" s="0" t="inlineStr">
        <is>
          <t xml:space="preserve">Echeance emprunt 09/2024</t>
        </is>
      </c>
      <c r="I652" s="8">
        <v>2000</v>
      </c>
      <c r="J652" s="8">
        <v>0</v>
      </c>
      <c r="K652" s="0"/>
      <c r="L652" s="0"/>
      <c r="M652" s="8">
        <f>I652-J652</f>
      </c>
      <c r="N652" s="0" t="inlineStr">
        <is>
          <t xml:space="preserve">2024-09</t>
        </is>
      </c>
      <c r="O652" s="0">
        <f>INDEX(Journaux!$E$5:$E$18,MATCH("2024|"&amp;A652,Journaux!$A$5:$A$18,0))</f>
      </c>
      <c r="P652" s="0">
        <f>INDEX(Comptes!$H$5:$H$42,MATCH(E652,Comptes!$A$5:$A$42,0))</f>
      </c>
      <c r="Q652" s="0" t="inlineStr">
        <is>
          <t xml:space="preserve">1</t>
        </is>
      </c>
    </row>
    <row r="653">
      <c r="A653" s="4" t="inlineStr">
        <is>
          <t xml:space="preserve">BQ</t>
        </is>
      </c>
      <c r="B653" s="0" t="inlineStr">
        <is>
          <t xml:space="preserve">Banque Fictive</t>
        </is>
      </c>
      <c r="C653" s="0" t="inlineStr">
        <is>
          <t xml:space="preserve">BQ00026</t>
        </is>
      </c>
      <c r="D653" s="10">
        <v>45545</v>
      </c>
      <c r="E653" s="4" t="inlineStr">
        <is>
          <t xml:space="preserve">661100</t>
        </is>
      </c>
      <c r="F653" s="0" t="inlineStr">
        <is>
          <t xml:space="preserve">Interets des emprunts</t>
        </is>
      </c>
      <c r="G653" s="0" t="inlineStr">
        <is>
          <t xml:space="preserve">ECH202409</t>
        </is>
      </c>
      <c r="H653" s="0" t="inlineStr">
        <is>
          <t xml:space="preserve">Echeance emprunt 09/2024</t>
        </is>
      </c>
      <c r="I653" s="8">
        <v>246.67</v>
      </c>
      <c r="J653" s="8">
        <v>0</v>
      </c>
      <c r="K653" s="0"/>
      <c r="L653" s="0"/>
      <c r="M653" s="8">
        <f>I653-J653</f>
      </c>
      <c r="N653" s="0" t="inlineStr">
        <is>
          <t xml:space="preserve">2024-09</t>
        </is>
      </c>
      <c r="O653" s="0">
        <f>INDEX(Journaux!$E$5:$E$18,MATCH("2024|"&amp;A653,Journaux!$A$5:$A$18,0))</f>
      </c>
      <c r="P653" s="0">
        <f>INDEX(Comptes!$H$5:$H$42,MATCH(E653,Comptes!$A$5:$A$42,0))</f>
      </c>
      <c r="Q653" s="0" t="inlineStr">
        <is>
          <t xml:space="preserve">6</t>
        </is>
      </c>
    </row>
    <row r="654">
      <c r="A654" s="4" t="inlineStr">
        <is>
          <t xml:space="preserve">BQ</t>
        </is>
      </c>
      <c r="B654" s="0" t="inlineStr">
        <is>
          <t xml:space="preserve">Banque Fictive</t>
        </is>
      </c>
      <c r="C654" s="0" t="inlineStr">
        <is>
          <t xml:space="preserve">BQ00026</t>
        </is>
      </c>
      <c r="D654" s="10">
        <v>45545</v>
      </c>
      <c r="E654" s="4" t="inlineStr">
        <is>
          <t xml:space="preserve">512000</t>
        </is>
      </c>
      <c r="F654" s="0" t="inlineStr">
        <is>
          <t xml:space="preserve">Banque Fictive</t>
        </is>
      </c>
      <c r="G654" s="0" t="inlineStr">
        <is>
          <t xml:space="preserve">ECH202409</t>
        </is>
      </c>
      <c r="H654" s="0" t="inlineStr">
        <is>
          <t xml:space="preserve">Echeance emprunt 09/2024</t>
        </is>
      </c>
      <c r="I654" s="8">
        <v>0</v>
      </c>
      <c r="J654" s="8">
        <v>2246.67</v>
      </c>
      <c r="K654" s="0"/>
      <c r="L654" s="0"/>
      <c r="M654" s="8">
        <f>I654-J654</f>
      </c>
      <c r="N654" s="0" t="inlineStr">
        <is>
          <t xml:space="preserve">2024-09</t>
        </is>
      </c>
      <c r="O654" s="0">
        <f>INDEX(Journaux!$E$5:$E$18,MATCH("2024|"&amp;A654,Journaux!$A$5:$A$18,0))</f>
      </c>
      <c r="P654" s="0">
        <f>INDEX(Comptes!$H$5:$H$42,MATCH(E654,Comptes!$A$5:$A$42,0))</f>
      </c>
      <c r="Q654" s="0" t="inlineStr">
        <is>
          <t xml:space="preserve">5</t>
        </is>
      </c>
    </row>
    <row r="655">
      <c r="A655" s="4" t="inlineStr">
        <is>
          <t xml:space="preserve">VT</t>
        </is>
      </c>
      <c r="B655" s="0" t="inlineStr">
        <is>
          <t xml:space="preserve">Journal des ventes</t>
        </is>
      </c>
      <c r="C655" s="0" t="inlineStr">
        <is>
          <t xml:space="preserve">VT00045</t>
        </is>
      </c>
      <c r="D655" s="10">
        <v>45545</v>
      </c>
      <c r="E655" s="4" t="inlineStr">
        <is>
          <t xml:space="preserve">411000</t>
        </is>
      </c>
      <c r="F655" s="0" t="inlineStr">
        <is>
          <t xml:space="preserve">Clients</t>
        </is>
      </c>
      <c r="G655" s="0" t="inlineStr">
        <is>
          <t xml:space="preserve">FA2024-0045</t>
        </is>
      </c>
      <c r="H655" s="0" t="inlineStr">
        <is>
          <t xml:space="preserve">Facture FA2024-0045 Residence Bel Air</t>
        </is>
      </c>
      <c r="I655" s="8">
        <v>48949.72</v>
      </c>
      <c r="J655" s="8">
        <v>0</v>
      </c>
      <c r="K655" s="0" t="inlineStr">
        <is>
          <t xml:space="preserve">AAX</t>
        </is>
      </c>
      <c r="L655" s="0" t="inlineStr">
        <is>
          <t xml:space="preserve">Residence Bel Air</t>
        </is>
      </c>
      <c r="M655" s="8">
        <f>I655-J655</f>
      </c>
      <c r="N655" s="0" t="inlineStr">
        <is>
          <t xml:space="preserve">2024-09</t>
        </is>
      </c>
      <c r="O655" s="0">
        <f>INDEX(Journaux!$E$5:$E$18,MATCH("2024|"&amp;A655,Journaux!$A$5:$A$18,0))</f>
      </c>
      <c r="P655" s="0">
        <f>INDEX(Comptes!$H$5:$H$42,MATCH(E655,Comptes!$A$5:$A$42,0))</f>
      </c>
      <c r="Q655" s="0" t="inlineStr">
        <is>
          <t xml:space="preserve">4</t>
        </is>
      </c>
      <c r="R655" s="7" t="inlineStr">
        <is>
          <t xml:space="preserve">411000|C003</t>
        </is>
      </c>
    </row>
    <row r="656">
      <c r="A656" s="4" t="inlineStr">
        <is>
          <t xml:space="preserve">VT</t>
        </is>
      </c>
      <c r="B656" s="0" t="inlineStr">
        <is>
          <t xml:space="preserve">Journal des ventes</t>
        </is>
      </c>
      <c r="C656" s="0" t="inlineStr">
        <is>
          <t xml:space="preserve">VT00045</t>
        </is>
      </c>
      <c r="D656" s="10">
        <v>45545</v>
      </c>
      <c r="E656" s="4" t="inlineStr">
        <is>
          <t xml:space="preserve">701000</t>
        </is>
      </c>
      <c r="F656" s="0" t="inlineStr">
        <is>
          <t xml:space="preserve">Ventes de produits finis</t>
        </is>
      </c>
      <c r="G656" s="0" t="inlineStr">
        <is>
          <t xml:space="preserve">FA2024-0045</t>
        </is>
      </c>
      <c r="H656" s="0" t="inlineStr">
        <is>
          <t xml:space="preserve">Facture FA2024-0045 Residence Bel Air</t>
        </is>
      </c>
      <c r="I656" s="8">
        <v>0</v>
      </c>
      <c r="J656" s="8">
        <v>40791.43</v>
      </c>
      <c r="K656" s="0"/>
      <c r="L656" s="0"/>
      <c r="M656" s="8">
        <f>I656-J656</f>
      </c>
      <c r="N656" s="0" t="inlineStr">
        <is>
          <t xml:space="preserve">2024-09</t>
        </is>
      </c>
      <c r="O656" s="0">
        <f>INDEX(Journaux!$E$5:$E$18,MATCH("2024|"&amp;A656,Journaux!$A$5:$A$18,0))</f>
      </c>
      <c r="P656" s="0">
        <f>INDEX(Comptes!$H$5:$H$42,MATCH(E656,Comptes!$A$5:$A$42,0))</f>
      </c>
      <c r="Q656" s="0" t="inlineStr">
        <is>
          <t xml:space="preserve">7</t>
        </is>
      </c>
    </row>
    <row r="657">
      <c r="A657" s="4" t="inlineStr">
        <is>
          <t xml:space="preserve">VT</t>
        </is>
      </c>
      <c r="B657" s="0" t="inlineStr">
        <is>
          <t xml:space="preserve">Journal des ventes</t>
        </is>
      </c>
      <c r="C657" s="0" t="inlineStr">
        <is>
          <t xml:space="preserve">VT00045</t>
        </is>
      </c>
      <c r="D657" s="10">
        <v>45545</v>
      </c>
      <c r="E657" s="4" t="inlineStr">
        <is>
          <t xml:space="preserve">445710</t>
        </is>
      </c>
      <c r="F657" s="0" t="inlineStr">
        <is>
          <t xml:space="preserve">TVA collectee</t>
        </is>
      </c>
      <c r="G657" s="0" t="inlineStr">
        <is>
          <t xml:space="preserve">FA2024-0045</t>
        </is>
      </c>
      <c r="H657" s="0" t="inlineStr">
        <is>
          <t xml:space="preserve">Facture FA2024-0045 Residence Bel Air</t>
        </is>
      </c>
      <c r="I657" s="8">
        <v>0</v>
      </c>
      <c r="J657" s="8">
        <v>8158.29</v>
      </c>
      <c r="K657" s="0"/>
      <c r="L657" s="0"/>
      <c r="M657" s="8">
        <f>I657-J657</f>
      </c>
      <c r="N657" s="0" t="inlineStr">
        <is>
          <t xml:space="preserve">2024-09</t>
        </is>
      </c>
      <c r="O657" s="0">
        <f>INDEX(Journaux!$E$5:$E$18,MATCH("2024|"&amp;A657,Journaux!$A$5:$A$18,0))</f>
      </c>
      <c r="P657" s="0">
        <f>INDEX(Comptes!$H$5:$H$42,MATCH(E657,Comptes!$A$5:$A$42,0))</f>
      </c>
      <c r="Q657" s="0" t="inlineStr">
        <is>
          <t xml:space="preserve">4</t>
        </is>
      </c>
    </row>
    <row r="658">
      <c r="A658" s="4" t="inlineStr">
        <is>
          <t xml:space="preserve">BQ</t>
        </is>
      </c>
      <c r="B658" s="0" t="inlineStr">
        <is>
          <t xml:space="preserve">Banque Fictive</t>
        </is>
      </c>
      <c r="C658" s="0" t="inlineStr">
        <is>
          <t xml:space="preserve">BQ00107</t>
        </is>
      </c>
      <c r="D658" s="10">
        <v>45547</v>
      </c>
      <c r="E658" s="4" t="inlineStr">
        <is>
          <t xml:space="preserve">512000</t>
        </is>
      </c>
      <c r="F658" s="0" t="inlineStr">
        <is>
          <t xml:space="preserve">Banque Fictive</t>
        </is>
      </c>
      <c r="G658" s="0" t="inlineStr">
        <is>
          <t xml:space="preserve">ENC-FA2024-0042</t>
        </is>
      </c>
      <c r="H658" s="0" t="inlineStr">
        <is>
          <t xml:space="preserve">Reglement client Residence Bel Air FA2024-0042</t>
        </is>
      </c>
      <c r="I658" s="8">
        <v>28615.24</v>
      </c>
      <c r="J658" s="8">
        <v>0</v>
      </c>
      <c r="K658" s="0"/>
      <c r="L658" s="0"/>
      <c r="M658" s="8">
        <f>I658-J658</f>
      </c>
      <c r="N658" s="0" t="inlineStr">
        <is>
          <t xml:space="preserve">2024-09</t>
        </is>
      </c>
      <c r="O658" s="0">
        <f>INDEX(Journaux!$E$5:$E$18,MATCH("2024|"&amp;A658,Journaux!$A$5:$A$18,0))</f>
      </c>
      <c r="P658" s="0">
        <f>INDEX(Comptes!$H$5:$H$42,MATCH(E658,Comptes!$A$5:$A$42,0))</f>
      </c>
      <c r="Q658" s="0" t="inlineStr">
        <is>
          <t xml:space="preserve">5</t>
        </is>
      </c>
    </row>
    <row r="659">
      <c r="A659" s="4" t="inlineStr">
        <is>
          <t xml:space="preserve">BQ</t>
        </is>
      </c>
      <c r="B659" s="0" t="inlineStr">
        <is>
          <t xml:space="preserve">Banque Fictive</t>
        </is>
      </c>
      <c r="C659" s="0" t="inlineStr">
        <is>
          <t xml:space="preserve">BQ00107</t>
        </is>
      </c>
      <c r="D659" s="10">
        <v>45547</v>
      </c>
      <c r="E659" s="4" t="inlineStr">
        <is>
          <t xml:space="preserve">411000</t>
        </is>
      </c>
      <c r="F659" s="0" t="inlineStr">
        <is>
          <t xml:space="preserve">Clients</t>
        </is>
      </c>
      <c r="G659" s="0" t="inlineStr">
        <is>
          <t xml:space="preserve">ENC-FA2024-0042</t>
        </is>
      </c>
      <c r="H659" s="0" t="inlineStr">
        <is>
          <t xml:space="preserve">Reglement client Residence Bel Air FA2024-0042</t>
        </is>
      </c>
      <c r="I659" s="8">
        <v>0</v>
      </c>
      <c r="J659" s="8">
        <v>28615.24</v>
      </c>
      <c r="K659" s="0" t="inlineStr">
        <is>
          <t xml:space="preserve">AAU</t>
        </is>
      </c>
      <c r="L659" s="0" t="inlineStr">
        <is>
          <t xml:space="preserve">Residence Bel Air</t>
        </is>
      </c>
      <c r="M659" s="8">
        <f>I659-J659</f>
      </c>
      <c r="N659" s="0" t="inlineStr">
        <is>
          <t xml:space="preserve">2024-09</t>
        </is>
      </c>
      <c r="O659" s="0">
        <f>INDEX(Journaux!$E$5:$E$18,MATCH("2024|"&amp;A659,Journaux!$A$5:$A$18,0))</f>
      </c>
      <c r="P659" s="0">
        <f>INDEX(Comptes!$H$5:$H$42,MATCH(E659,Comptes!$A$5:$A$42,0))</f>
      </c>
      <c r="Q659" s="0" t="inlineStr">
        <is>
          <t xml:space="preserve">4</t>
        </is>
      </c>
      <c r="R659" s="7" t="inlineStr">
        <is>
          <t xml:space="preserve">411000|C003</t>
        </is>
      </c>
    </row>
    <row r="660">
      <c r="A660" s="4" t="inlineStr">
        <is>
          <t xml:space="preserve">BQ</t>
        </is>
      </c>
      <c r="B660" s="0" t="inlineStr">
        <is>
          <t xml:space="preserve">Banque Fictive</t>
        </is>
      </c>
      <c r="C660" s="0" t="inlineStr">
        <is>
          <t xml:space="preserve">BQ00163</t>
        </is>
      </c>
      <c r="D660" s="10">
        <v>45548</v>
      </c>
      <c r="E660" s="4" t="inlineStr">
        <is>
          <t xml:space="preserve">401000</t>
        </is>
      </c>
      <c r="F660" s="0" t="inlineStr">
        <is>
          <t xml:space="preserve">Fournisseurs</t>
        </is>
      </c>
      <c r="G660" s="0" t="inlineStr">
        <is>
          <t xml:space="preserve">DEC-F001-2024071</t>
        </is>
      </c>
      <c r="H660" s="0" t="inlineStr">
        <is>
          <t xml:space="preserve">Reglement fournisseur Scierie du Nord F001-2024071</t>
        </is>
      </c>
      <c r="I660" s="8">
        <v>35631.97</v>
      </c>
      <c r="J660" s="8">
        <v>0</v>
      </c>
      <c r="K660" s="0" t="inlineStr">
        <is>
          <t xml:space="preserve">ACY</t>
        </is>
      </c>
      <c r="L660" s="0" t="inlineStr">
        <is>
          <t xml:space="preserve">Scierie du Nord</t>
        </is>
      </c>
      <c r="M660" s="8">
        <f>I660-J660</f>
      </c>
      <c r="N660" s="0" t="inlineStr">
        <is>
          <t xml:space="preserve">2024-09</t>
        </is>
      </c>
      <c r="O660" s="0">
        <f>INDEX(Journaux!$E$5:$E$18,MATCH("2024|"&amp;A660,Journaux!$A$5:$A$18,0))</f>
      </c>
      <c r="P660" s="0">
        <f>INDEX(Comptes!$H$5:$H$42,MATCH(E660,Comptes!$A$5:$A$42,0))</f>
      </c>
      <c r="Q660" s="0" t="inlineStr">
        <is>
          <t xml:space="preserve">4</t>
        </is>
      </c>
      <c r="R660" s="7" t="inlineStr">
        <is>
          <t xml:space="preserve">401000|F001</t>
        </is>
      </c>
    </row>
    <row r="661">
      <c r="A661" s="4" t="inlineStr">
        <is>
          <t xml:space="preserve">BQ</t>
        </is>
      </c>
      <c r="B661" s="0" t="inlineStr">
        <is>
          <t xml:space="preserve">Banque Fictive</t>
        </is>
      </c>
      <c r="C661" s="0" t="inlineStr">
        <is>
          <t xml:space="preserve">BQ00163</t>
        </is>
      </c>
      <c r="D661" s="10">
        <v>45548</v>
      </c>
      <c r="E661" s="4" t="inlineStr">
        <is>
          <t xml:space="preserve">512000</t>
        </is>
      </c>
      <c r="F661" s="0" t="inlineStr">
        <is>
          <t xml:space="preserve">Banque Fictive</t>
        </is>
      </c>
      <c r="G661" s="0" t="inlineStr">
        <is>
          <t xml:space="preserve">DEC-F001-2024071</t>
        </is>
      </c>
      <c r="H661" s="0" t="inlineStr">
        <is>
          <t xml:space="preserve">Reglement fournisseur Scierie du Nord F001-2024071</t>
        </is>
      </c>
      <c r="I661" s="8">
        <v>0</v>
      </c>
      <c r="J661" s="8">
        <v>35631.97</v>
      </c>
      <c r="K661" s="0"/>
      <c r="L661" s="0"/>
      <c r="M661" s="8">
        <f>I661-J661</f>
      </c>
      <c r="N661" s="0" t="inlineStr">
        <is>
          <t xml:space="preserve">2024-09</t>
        </is>
      </c>
      <c r="O661" s="0">
        <f>INDEX(Journaux!$E$5:$E$18,MATCH("2024|"&amp;A661,Journaux!$A$5:$A$18,0))</f>
      </c>
      <c r="P661" s="0">
        <f>INDEX(Comptes!$H$5:$H$42,MATCH(E661,Comptes!$A$5:$A$42,0))</f>
      </c>
      <c r="Q661" s="0" t="inlineStr">
        <is>
          <t xml:space="preserve">5</t>
        </is>
      </c>
    </row>
    <row r="662">
      <c r="A662" s="4" t="inlineStr">
        <is>
          <t xml:space="preserve">BQ</t>
        </is>
      </c>
      <c r="B662" s="0" t="inlineStr">
        <is>
          <t xml:space="preserve">Banque Fictive</t>
        </is>
      </c>
      <c r="C662" s="0" t="inlineStr">
        <is>
          <t xml:space="preserve">BQ00053</t>
        </is>
      </c>
      <c r="D662" s="10">
        <v>45550</v>
      </c>
      <c r="E662" s="4" t="inlineStr">
        <is>
          <t xml:space="preserve">431000</t>
        </is>
      </c>
      <c r="F662" s="0" t="inlineStr">
        <is>
          <t xml:space="preserve">Securite sociale</t>
        </is>
      </c>
      <c r="G662" s="0" t="inlineStr">
        <is>
          <t xml:space="preserve">URSSAF202408</t>
        </is>
      </c>
      <c r="H662" s="0" t="inlineStr">
        <is>
          <t xml:space="preserve">Reglement URSSAF 08/2024</t>
        </is>
      </c>
      <c r="I662" s="8">
        <v>32667.31</v>
      </c>
      <c r="J662" s="8">
        <v>0</v>
      </c>
      <c r="K662" s="0"/>
      <c r="L662" s="0"/>
      <c r="M662" s="8">
        <f>I662-J662</f>
      </c>
      <c r="N662" s="0" t="inlineStr">
        <is>
          <t xml:space="preserve">2024-09</t>
        </is>
      </c>
      <c r="O662" s="0">
        <f>INDEX(Journaux!$E$5:$E$18,MATCH("2024|"&amp;A662,Journaux!$A$5:$A$18,0))</f>
      </c>
      <c r="P662" s="0">
        <f>INDEX(Comptes!$H$5:$H$42,MATCH(E662,Comptes!$A$5:$A$42,0))</f>
      </c>
      <c r="Q662" s="0" t="inlineStr">
        <is>
          <t xml:space="preserve">4</t>
        </is>
      </c>
    </row>
    <row r="663">
      <c r="A663" s="4" t="inlineStr">
        <is>
          <t xml:space="preserve">BQ</t>
        </is>
      </c>
      <c r="B663" s="0" t="inlineStr">
        <is>
          <t xml:space="preserve">Banque Fictive</t>
        </is>
      </c>
      <c r="C663" s="0" t="inlineStr">
        <is>
          <t xml:space="preserve">BQ00053</t>
        </is>
      </c>
      <c r="D663" s="10">
        <v>45550</v>
      </c>
      <c r="E663" s="4" t="inlineStr">
        <is>
          <t xml:space="preserve">512000</t>
        </is>
      </c>
      <c r="F663" s="0" t="inlineStr">
        <is>
          <t xml:space="preserve">Banque Fictive</t>
        </is>
      </c>
      <c r="G663" s="0" t="inlineStr">
        <is>
          <t xml:space="preserve">URSSAF202408</t>
        </is>
      </c>
      <c r="H663" s="0" t="inlineStr">
        <is>
          <t xml:space="preserve">Reglement URSSAF 08/2024</t>
        </is>
      </c>
      <c r="I663" s="8">
        <v>0</v>
      </c>
      <c r="J663" s="8">
        <v>32667.31</v>
      </c>
      <c r="K663" s="0"/>
      <c r="L663" s="0"/>
      <c r="M663" s="8">
        <f>I663-J663</f>
      </c>
      <c r="N663" s="0" t="inlineStr">
        <is>
          <t xml:space="preserve">2024-09</t>
        </is>
      </c>
      <c r="O663" s="0">
        <f>INDEX(Journaux!$E$5:$E$18,MATCH("2024|"&amp;A663,Journaux!$A$5:$A$18,0))</f>
      </c>
      <c r="P663" s="0">
        <f>INDEX(Comptes!$H$5:$H$42,MATCH(E663,Comptes!$A$5:$A$42,0))</f>
      </c>
      <c r="Q663" s="0" t="inlineStr">
        <is>
          <t xml:space="preserve">5</t>
        </is>
      </c>
    </row>
    <row r="664">
      <c r="A664" s="4" t="inlineStr">
        <is>
          <t xml:space="preserve">BQ</t>
        </is>
      </c>
      <c r="B664" s="0" t="inlineStr">
        <is>
          <t xml:space="preserve">Banque Fictive</t>
        </is>
      </c>
      <c r="C664" s="0" t="inlineStr">
        <is>
          <t xml:space="preserve">BQ00054</t>
        </is>
      </c>
      <c r="D664" s="10">
        <v>45555</v>
      </c>
      <c r="E664" s="4" t="inlineStr">
        <is>
          <t xml:space="preserve">445510</t>
        </is>
      </c>
      <c r="F664" s="0" t="inlineStr">
        <is>
          <t xml:space="preserve">TVA a decaisser</t>
        </is>
      </c>
      <c r="G664" s="0" t="inlineStr">
        <is>
          <t xml:space="preserve">TVA202408</t>
        </is>
      </c>
      <c r="H664" s="0" t="inlineStr">
        <is>
          <t xml:space="preserve">Reglement TVA 08/2024</t>
        </is>
      </c>
      <c r="I664" s="8">
        <v>11101.03</v>
      </c>
      <c r="J664" s="8">
        <v>0</v>
      </c>
      <c r="K664" s="0"/>
      <c r="L664" s="0"/>
      <c r="M664" s="8">
        <f>I664-J664</f>
      </c>
      <c r="N664" s="0" t="inlineStr">
        <is>
          <t xml:space="preserve">2024-09</t>
        </is>
      </c>
      <c r="O664" s="0">
        <f>INDEX(Journaux!$E$5:$E$18,MATCH("2024|"&amp;A664,Journaux!$A$5:$A$18,0))</f>
      </c>
      <c r="P664" s="0">
        <f>INDEX(Comptes!$H$5:$H$42,MATCH(E664,Comptes!$A$5:$A$42,0))</f>
      </c>
      <c r="Q664" s="0" t="inlineStr">
        <is>
          <t xml:space="preserve">4</t>
        </is>
      </c>
    </row>
    <row r="665">
      <c r="A665" s="4" t="inlineStr">
        <is>
          <t xml:space="preserve">BQ</t>
        </is>
      </c>
      <c r="B665" s="0" t="inlineStr">
        <is>
          <t xml:space="preserve">Banque Fictive</t>
        </is>
      </c>
      <c r="C665" s="0" t="inlineStr">
        <is>
          <t xml:space="preserve">BQ00054</t>
        </is>
      </c>
      <c r="D665" s="10">
        <v>45555</v>
      </c>
      <c r="E665" s="4" t="inlineStr">
        <is>
          <t xml:space="preserve">512000</t>
        </is>
      </c>
      <c r="F665" s="0" t="inlineStr">
        <is>
          <t xml:space="preserve">Banque Fictive</t>
        </is>
      </c>
      <c r="G665" s="0" t="inlineStr">
        <is>
          <t xml:space="preserve">TVA202408</t>
        </is>
      </c>
      <c r="H665" s="0" t="inlineStr">
        <is>
          <t xml:space="preserve">Reglement TVA 08/2024</t>
        </is>
      </c>
      <c r="I665" s="8">
        <v>0</v>
      </c>
      <c r="J665" s="8">
        <v>11101.03</v>
      </c>
      <c r="K665" s="0"/>
      <c r="L665" s="0"/>
      <c r="M665" s="8">
        <f>I665-J665</f>
      </c>
      <c r="N665" s="0" t="inlineStr">
        <is>
          <t xml:space="preserve">2024-09</t>
        </is>
      </c>
      <c r="O665" s="0">
        <f>INDEX(Journaux!$E$5:$E$18,MATCH("2024|"&amp;A665,Journaux!$A$5:$A$18,0))</f>
      </c>
      <c r="P665" s="0">
        <f>INDEX(Comptes!$H$5:$H$42,MATCH(E665,Comptes!$A$5:$A$42,0))</f>
      </c>
      <c r="Q665" s="0" t="inlineStr">
        <is>
          <t xml:space="preserve">5</t>
        </is>
      </c>
    </row>
    <row r="666">
      <c r="A666" s="4" t="inlineStr">
        <is>
          <t xml:space="preserve">VT</t>
        </is>
      </c>
      <c r="B666" s="0" t="inlineStr">
        <is>
          <t xml:space="preserve">Journal des ventes</t>
        </is>
      </c>
      <c r="C666" s="0" t="inlineStr">
        <is>
          <t xml:space="preserve">VT00043</t>
        </is>
      </c>
      <c r="D666" s="10">
        <v>45558</v>
      </c>
      <c r="E666" s="4" t="inlineStr">
        <is>
          <t xml:space="preserve">411000</t>
        </is>
      </c>
      <c r="F666" s="0" t="inlineStr">
        <is>
          <t xml:space="preserve">Clients</t>
        </is>
      </c>
      <c r="G666" s="0" t="inlineStr">
        <is>
          <t xml:space="preserve">FA2024-0043</t>
        </is>
      </c>
      <c r="H666" s="0" t="inlineStr">
        <is>
          <t xml:space="preserve">Facture FA2024-0043 Cabinet Varenne Associes</t>
        </is>
      </c>
      <c r="I666" s="8">
        <v>44967.01</v>
      </c>
      <c r="J666" s="8">
        <v>0</v>
      </c>
      <c r="K666" s="0" t="inlineStr">
        <is>
          <t xml:space="preserve">AAV</t>
        </is>
      </c>
      <c r="L666" s="0" t="inlineStr">
        <is>
          <t xml:space="preserve">Cabinet Varenne Associes</t>
        </is>
      </c>
      <c r="M666" s="8">
        <f>I666-J666</f>
      </c>
      <c r="N666" s="0" t="inlineStr">
        <is>
          <t xml:space="preserve">2024-09</t>
        </is>
      </c>
      <c r="O666" s="0">
        <f>INDEX(Journaux!$E$5:$E$18,MATCH("2024|"&amp;A666,Journaux!$A$5:$A$18,0))</f>
      </c>
      <c r="P666" s="0">
        <f>INDEX(Comptes!$H$5:$H$42,MATCH(E666,Comptes!$A$5:$A$42,0))</f>
      </c>
      <c r="Q666" s="0" t="inlineStr">
        <is>
          <t xml:space="preserve">4</t>
        </is>
      </c>
      <c r="R666" s="7" t="inlineStr">
        <is>
          <t xml:space="preserve">411000|C004</t>
        </is>
      </c>
    </row>
    <row r="667">
      <c r="A667" s="4" t="inlineStr">
        <is>
          <t xml:space="preserve">VT</t>
        </is>
      </c>
      <c r="B667" s="0" t="inlineStr">
        <is>
          <t xml:space="preserve">Journal des ventes</t>
        </is>
      </c>
      <c r="C667" s="0" t="inlineStr">
        <is>
          <t xml:space="preserve">VT00043</t>
        </is>
      </c>
      <c r="D667" s="10">
        <v>45558</v>
      </c>
      <c r="E667" s="4" t="inlineStr">
        <is>
          <t xml:space="preserve">701000</t>
        </is>
      </c>
      <c r="F667" s="0" t="inlineStr">
        <is>
          <t xml:space="preserve">Ventes de produits finis</t>
        </is>
      </c>
      <c r="G667" s="0" t="inlineStr">
        <is>
          <t xml:space="preserve">FA2024-0043</t>
        </is>
      </c>
      <c r="H667" s="0" t="inlineStr">
        <is>
          <t xml:space="preserve">Facture FA2024-0043 Cabinet Varenne Associes</t>
        </is>
      </c>
      <c r="I667" s="8">
        <v>0</v>
      </c>
      <c r="J667" s="8">
        <v>37472.51</v>
      </c>
      <c r="K667" s="0"/>
      <c r="L667" s="0"/>
      <c r="M667" s="8">
        <f>I667-J667</f>
      </c>
      <c r="N667" s="0" t="inlineStr">
        <is>
          <t xml:space="preserve">2024-09</t>
        </is>
      </c>
      <c r="O667" s="0">
        <f>INDEX(Journaux!$E$5:$E$18,MATCH("2024|"&amp;A667,Journaux!$A$5:$A$18,0))</f>
      </c>
      <c r="P667" s="0">
        <f>INDEX(Comptes!$H$5:$H$42,MATCH(E667,Comptes!$A$5:$A$42,0))</f>
      </c>
      <c r="Q667" s="0" t="inlineStr">
        <is>
          <t xml:space="preserve">7</t>
        </is>
      </c>
    </row>
    <row r="668">
      <c r="A668" s="4" t="inlineStr">
        <is>
          <t xml:space="preserve">VT</t>
        </is>
      </c>
      <c r="B668" s="0" t="inlineStr">
        <is>
          <t xml:space="preserve">Journal des ventes</t>
        </is>
      </c>
      <c r="C668" s="0" t="inlineStr">
        <is>
          <t xml:space="preserve">VT00043</t>
        </is>
      </c>
      <c r="D668" s="10">
        <v>45558</v>
      </c>
      <c r="E668" s="4" t="inlineStr">
        <is>
          <t xml:space="preserve">445710</t>
        </is>
      </c>
      <c r="F668" s="0" t="inlineStr">
        <is>
          <t xml:space="preserve">TVA collectee</t>
        </is>
      </c>
      <c r="G668" s="0" t="inlineStr">
        <is>
          <t xml:space="preserve">FA2024-0043</t>
        </is>
      </c>
      <c r="H668" s="0" t="inlineStr">
        <is>
          <t xml:space="preserve">Facture FA2024-0043 Cabinet Varenne Associes</t>
        </is>
      </c>
      <c r="I668" s="8">
        <v>0</v>
      </c>
      <c r="J668" s="8">
        <v>7494.5</v>
      </c>
      <c r="K668" s="0"/>
      <c r="L668" s="0"/>
      <c r="M668" s="8">
        <f>I668-J668</f>
      </c>
      <c r="N668" s="0" t="inlineStr">
        <is>
          <t xml:space="preserve">2024-09</t>
        </is>
      </c>
      <c r="O668" s="0">
        <f>INDEX(Journaux!$E$5:$E$18,MATCH("2024|"&amp;A668,Journaux!$A$5:$A$18,0))</f>
      </c>
      <c r="P668" s="0">
        <f>INDEX(Comptes!$H$5:$H$42,MATCH(E668,Comptes!$A$5:$A$42,0))</f>
      </c>
      <c r="Q668" s="0" t="inlineStr">
        <is>
          <t xml:space="preserve">4</t>
        </is>
      </c>
    </row>
    <row r="669">
      <c r="A669" s="4" t="inlineStr">
        <is>
          <t xml:space="preserve">BQ</t>
        </is>
      </c>
      <c r="B669" s="0" t="inlineStr">
        <is>
          <t xml:space="preserve">Banque Fictive</t>
        </is>
      </c>
      <c r="C669" s="0" t="inlineStr">
        <is>
          <t xml:space="preserve">BQ00025</t>
        </is>
      </c>
      <c r="D669" s="10">
        <v>45565</v>
      </c>
      <c r="E669" s="4" t="inlineStr">
        <is>
          <t xml:space="preserve">421000</t>
        </is>
      </c>
      <c r="F669" s="0" t="inlineStr">
        <is>
          <t xml:space="preserve">Personnel remunerations dues</t>
        </is>
      </c>
      <c r="G669" s="0" t="inlineStr">
        <is>
          <t xml:space="preserve">VIRSAL202409</t>
        </is>
      </c>
      <c r="H669" s="0" t="inlineStr">
        <is>
          <t xml:space="preserve">Virement salaires 09/2024</t>
        </is>
      </c>
      <c r="I669" s="8">
        <v>41175.33</v>
      </c>
      <c r="J669" s="8">
        <v>0</v>
      </c>
      <c r="K669" s="0"/>
      <c r="L669" s="0"/>
      <c r="M669" s="8">
        <f>I669-J669</f>
      </c>
      <c r="N669" s="0" t="inlineStr">
        <is>
          <t xml:space="preserve">2024-09</t>
        </is>
      </c>
      <c r="O669" s="0">
        <f>INDEX(Journaux!$E$5:$E$18,MATCH("2024|"&amp;A669,Journaux!$A$5:$A$18,0))</f>
      </c>
      <c r="P669" s="0">
        <f>INDEX(Comptes!$H$5:$H$42,MATCH(E669,Comptes!$A$5:$A$42,0))</f>
      </c>
      <c r="Q669" s="0" t="inlineStr">
        <is>
          <t xml:space="preserve">4</t>
        </is>
      </c>
    </row>
    <row r="670">
      <c r="A670" s="4" t="inlineStr">
        <is>
          <t xml:space="preserve">BQ</t>
        </is>
      </c>
      <c r="B670" s="0" t="inlineStr">
        <is>
          <t xml:space="preserve">Banque Fictive</t>
        </is>
      </c>
      <c r="C670" s="0" t="inlineStr">
        <is>
          <t xml:space="preserve">BQ00025</t>
        </is>
      </c>
      <c r="D670" s="10">
        <v>45565</v>
      </c>
      <c r="E670" s="4" t="inlineStr">
        <is>
          <t xml:space="preserve">512000</t>
        </is>
      </c>
      <c r="F670" s="0" t="inlineStr">
        <is>
          <t xml:space="preserve">Banque Fictive</t>
        </is>
      </c>
      <c r="G670" s="0" t="inlineStr">
        <is>
          <t xml:space="preserve">VIRSAL202409</t>
        </is>
      </c>
      <c r="H670" s="0" t="inlineStr">
        <is>
          <t xml:space="preserve">Virement salaires 09/2024</t>
        </is>
      </c>
      <c r="I670" s="8">
        <v>0</v>
      </c>
      <c r="J670" s="8">
        <v>41175.33</v>
      </c>
      <c r="K670" s="0"/>
      <c r="L670" s="0"/>
      <c r="M670" s="8">
        <f>I670-J670</f>
      </c>
      <c r="N670" s="0" t="inlineStr">
        <is>
          <t xml:space="preserve">2024-09</t>
        </is>
      </c>
      <c r="O670" s="0">
        <f>INDEX(Journaux!$E$5:$E$18,MATCH("2024|"&amp;A670,Journaux!$A$5:$A$18,0))</f>
      </c>
      <c r="P670" s="0">
        <f>INDEX(Comptes!$H$5:$H$42,MATCH(E670,Comptes!$A$5:$A$42,0))</f>
      </c>
      <c r="Q670" s="0" t="inlineStr">
        <is>
          <t xml:space="preserve">5</t>
        </is>
      </c>
    </row>
    <row r="671">
      <c r="A671" s="4" t="inlineStr">
        <is>
          <t xml:space="preserve">BQ</t>
        </is>
      </c>
      <c r="B671" s="0" t="inlineStr">
        <is>
          <t xml:space="preserve">Banque Fictive</t>
        </is>
      </c>
      <c r="C671" s="0" t="inlineStr">
        <is>
          <t xml:space="preserve">BQ00027</t>
        </is>
      </c>
      <c r="D671" s="10">
        <v>45565</v>
      </c>
      <c r="E671" s="4" t="inlineStr">
        <is>
          <t xml:space="preserve">627000</t>
        </is>
      </c>
      <c r="F671" s="0" t="inlineStr">
        <is>
          <t xml:space="preserve">Services bancaires</t>
        </is>
      </c>
      <c r="G671" s="0" t="inlineStr">
        <is>
          <t xml:space="preserve">FRB202409</t>
        </is>
      </c>
      <c r="H671" s="0" t="inlineStr">
        <is>
          <t xml:space="preserve">Frais bancaires 09/2024</t>
        </is>
      </c>
      <c r="I671" s="8">
        <v>85</v>
      </c>
      <c r="J671" s="8">
        <v>0</v>
      </c>
      <c r="K671" s="0"/>
      <c r="L671" s="0"/>
      <c r="M671" s="8">
        <f>I671-J671</f>
      </c>
      <c r="N671" s="0" t="inlineStr">
        <is>
          <t xml:space="preserve">2024-09</t>
        </is>
      </c>
      <c r="O671" s="0">
        <f>INDEX(Journaux!$E$5:$E$18,MATCH("2024|"&amp;A671,Journaux!$A$5:$A$18,0))</f>
      </c>
      <c r="P671" s="0">
        <f>INDEX(Comptes!$H$5:$H$42,MATCH(E671,Comptes!$A$5:$A$42,0))</f>
      </c>
      <c r="Q671" s="0" t="inlineStr">
        <is>
          <t xml:space="preserve">6</t>
        </is>
      </c>
    </row>
    <row r="672">
      <c r="A672" s="4" t="inlineStr">
        <is>
          <t xml:space="preserve">BQ</t>
        </is>
      </c>
      <c r="B672" s="0" t="inlineStr">
        <is>
          <t xml:space="preserve">Banque Fictive</t>
        </is>
      </c>
      <c r="C672" s="0" t="inlineStr">
        <is>
          <t xml:space="preserve">BQ00027</t>
        </is>
      </c>
      <c r="D672" s="10">
        <v>45565</v>
      </c>
      <c r="E672" s="4" t="inlineStr">
        <is>
          <t xml:space="preserve">512000</t>
        </is>
      </c>
      <c r="F672" s="0" t="inlineStr">
        <is>
          <t xml:space="preserve">Banque Fictive</t>
        </is>
      </c>
      <c r="G672" s="0" t="inlineStr">
        <is>
          <t xml:space="preserve">FRB202409</t>
        </is>
      </c>
      <c r="H672" s="0" t="inlineStr">
        <is>
          <t xml:space="preserve">Frais bancaires 09/2024</t>
        </is>
      </c>
      <c r="I672" s="8">
        <v>0</v>
      </c>
      <c r="J672" s="8">
        <v>85</v>
      </c>
      <c r="K672" s="0"/>
      <c r="L672" s="0"/>
      <c r="M672" s="8">
        <f>I672-J672</f>
      </c>
      <c r="N672" s="0" t="inlineStr">
        <is>
          <t xml:space="preserve">2024-09</t>
        </is>
      </c>
      <c r="O672" s="0">
        <f>INDEX(Journaux!$E$5:$E$18,MATCH("2024|"&amp;A672,Journaux!$A$5:$A$18,0))</f>
      </c>
      <c r="P672" s="0">
        <f>INDEX(Comptes!$H$5:$H$42,MATCH(E672,Comptes!$A$5:$A$42,0))</f>
      </c>
      <c r="Q672" s="0" t="inlineStr">
        <is>
          <t xml:space="preserve">5</t>
        </is>
      </c>
    </row>
    <row r="673">
      <c r="A673" s="4" t="inlineStr">
        <is>
          <t xml:space="preserve">OD</t>
        </is>
      </c>
      <c r="B673" s="0" t="inlineStr">
        <is>
          <t xml:space="preserve">Operations diverses</t>
        </is>
      </c>
      <c r="C673" s="0" t="inlineStr">
        <is>
          <t xml:space="preserve">OD00009</t>
        </is>
      </c>
      <c r="D673" s="10">
        <v>45565</v>
      </c>
      <c r="E673" s="4" t="inlineStr">
        <is>
          <t xml:space="preserve">445710</t>
        </is>
      </c>
      <c r="F673" s="0" t="inlineStr">
        <is>
          <t xml:space="preserve">TVA collectee</t>
        </is>
      </c>
      <c r="G673" s="0" t="inlineStr">
        <is>
          <t xml:space="preserve">CA3-202409</t>
        </is>
      </c>
      <c r="H673" s="0" t="inlineStr">
        <is>
          <t xml:space="preserve">Declaration TVA 09/2024</t>
        </is>
      </c>
      <c r="I673" s="8">
        <v>35000.01</v>
      </c>
      <c r="J673" s="8">
        <v>0</v>
      </c>
      <c r="K673" s="0"/>
      <c r="L673" s="0"/>
      <c r="M673" s="8">
        <f>I673-J673</f>
      </c>
      <c r="N673" s="0" t="inlineStr">
        <is>
          <t xml:space="preserve">2024-09</t>
        </is>
      </c>
      <c r="O673" s="0">
        <f>INDEX(Journaux!$E$5:$E$18,MATCH("2024|"&amp;A673,Journaux!$A$5:$A$18,0))</f>
      </c>
      <c r="P673" s="0">
        <f>INDEX(Comptes!$H$5:$H$42,MATCH(E673,Comptes!$A$5:$A$42,0))</f>
      </c>
      <c r="Q673" s="0" t="inlineStr">
        <is>
          <t xml:space="preserve">4</t>
        </is>
      </c>
    </row>
    <row r="674">
      <c r="A674" s="4" t="inlineStr">
        <is>
          <t xml:space="preserve">OD</t>
        </is>
      </c>
      <c r="B674" s="0" t="inlineStr">
        <is>
          <t xml:space="preserve">Operations diverses</t>
        </is>
      </c>
      <c r="C674" s="0" t="inlineStr">
        <is>
          <t xml:space="preserve">OD00009</t>
        </is>
      </c>
      <c r="D674" s="10">
        <v>45565</v>
      </c>
      <c r="E674" s="4" t="inlineStr">
        <is>
          <t xml:space="preserve">445660</t>
        </is>
      </c>
      <c r="F674" s="0" t="inlineStr">
        <is>
          <t xml:space="preserve">TVA deductible sur ABS</t>
        </is>
      </c>
      <c r="G674" s="0" t="inlineStr">
        <is>
          <t xml:space="preserve">CA3-202409</t>
        </is>
      </c>
      <c r="H674" s="0" t="inlineStr">
        <is>
          <t xml:space="preserve">Declaration TVA 09/2024</t>
        </is>
      </c>
      <c r="I674" s="8">
        <v>0</v>
      </c>
      <c r="J674" s="8">
        <v>18413.83</v>
      </c>
      <c r="K674" s="0"/>
      <c r="L674" s="0"/>
      <c r="M674" s="8">
        <f>I674-J674</f>
      </c>
      <c r="N674" s="0" t="inlineStr">
        <is>
          <t xml:space="preserve">2024-09</t>
        </is>
      </c>
      <c r="O674" s="0">
        <f>INDEX(Journaux!$E$5:$E$18,MATCH("2024|"&amp;A674,Journaux!$A$5:$A$18,0))</f>
      </c>
      <c r="P674" s="0">
        <f>INDEX(Comptes!$H$5:$H$42,MATCH(E674,Comptes!$A$5:$A$42,0))</f>
      </c>
      <c r="Q674" s="0" t="inlineStr">
        <is>
          <t xml:space="preserve">4</t>
        </is>
      </c>
    </row>
    <row r="675">
      <c r="A675" s="4" t="inlineStr">
        <is>
          <t xml:space="preserve">OD</t>
        </is>
      </c>
      <c r="B675" s="0" t="inlineStr">
        <is>
          <t xml:space="preserve">Operations diverses</t>
        </is>
      </c>
      <c r="C675" s="0" t="inlineStr">
        <is>
          <t xml:space="preserve">OD00009</t>
        </is>
      </c>
      <c r="D675" s="10">
        <v>45565</v>
      </c>
      <c r="E675" s="4" t="inlineStr">
        <is>
          <t xml:space="preserve">445510</t>
        </is>
      </c>
      <c r="F675" s="0" t="inlineStr">
        <is>
          <t xml:space="preserve">TVA a decaisser</t>
        </is>
      </c>
      <c r="G675" s="0" t="inlineStr">
        <is>
          <t xml:space="preserve">CA3-202409</t>
        </is>
      </c>
      <c r="H675" s="0" t="inlineStr">
        <is>
          <t xml:space="preserve">Declaration TVA 09/2024</t>
        </is>
      </c>
      <c r="I675" s="8">
        <v>0</v>
      </c>
      <c r="J675" s="8">
        <v>16586.18</v>
      </c>
      <c r="K675" s="0"/>
      <c r="L675" s="0"/>
      <c r="M675" s="8">
        <f>I675-J675</f>
      </c>
      <c r="N675" s="0" t="inlineStr">
        <is>
          <t xml:space="preserve">2024-09</t>
        </is>
      </c>
      <c r="O675" s="0">
        <f>INDEX(Journaux!$E$5:$E$18,MATCH("2024|"&amp;A675,Journaux!$A$5:$A$18,0))</f>
      </c>
      <c r="P675" s="0">
        <f>INDEX(Comptes!$H$5:$H$42,MATCH(E675,Comptes!$A$5:$A$42,0))</f>
      </c>
      <c r="Q675" s="0" t="inlineStr">
        <is>
          <t xml:space="preserve">4</t>
        </is>
      </c>
    </row>
    <row r="676">
      <c r="A676" s="4" t="inlineStr">
        <is>
          <t xml:space="preserve">SA</t>
        </is>
      </c>
      <c r="B676" s="0" t="inlineStr">
        <is>
          <t xml:space="preserve">Salaires</t>
        </is>
      </c>
      <c r="C676" s="0" t="inlineStr">
        <is>
          <t xml:space="preserve">SA00009</t>
        </is>
      </c>
      <c r="D676" s="10">
        <v>45565</v>
      </c>
      <c r="E676" s="4" t="inlineStr">
        <is>
          <t xml:space="preserve">641000</t>
        </is>
      </c>
      <c r="F676" s="0" t="inlineStr">
        <is>
          <t xml:space="preserve">Remunerations du personnel</t>
        </is>
      </c>
      <c r="G676" s="0" t="inlineStr">
        <is>
          <t xml:space="preserve">PAIE202409</t>
        </is>
      </c>
      <c r="H676" s="0" t="inlineStr">
        <is>
          <t xml:space="preserve">Paie 09/2024</t>
        </is>
      </c>
      <c r="I676" s="8">
        <v>52788.88</v>
      </c>
      <c r="J676" s="8">
        <v>0</v>
      </c>
      <c r="K676" s="0"/>
      <c r="L676" s="0"/>
      <c r="M676" s="8">
        <f>I676-J676</f>
      </c>
      <c r="N676" s="0" t="inlineStr">
        <is>
          <t xml:space="preserve">2024-09</t>
        </is>
      </c>
      <c r="O676" s="0">
        <f>INDEX(Journaux!$E$5:$E$18,MATCH("2024|"&amp;A676,Journaux!$A$5:$A$18,0))</f>
      </c>
      <c r="P676" s="0">
        <f>INDEX(Comptes!$H$5:$H$42,MATCH(E676,Comptes!$A$5:$A$42,0))</f>
      </c>
      <c r="Q676" s="0" t="inlineStr">
        <is>
          <t xml:space="preserve">6</t>
        </is>
      </c>
    </row>
    <row r="677">
      <c r="A677" s="4" t="inlineStr">
        <is>
          <t xml:space="preserve">SA</t>
        </is>
      </c>
      <c r="B677" s="0" t="inlineStr">
        <is>
          <t xml:space="preserve">Salaires</t>
        </is>
      </c>
      <c r="C677" s="0" t="inlineStr">
        <is>
          <t xml:space="preserve">SA00009</t>
        </is>
      </c>
      <c r="D677" s="10">
        <v>45565</v>
      </c>
      <c r="E677" s="4" t="inlineStr">
        <is>
          <t xml:space="preserve">645100</t>
        </is>
      </c>
      <c r="F677" s="0" t="inlineStr">
        <is>
          <t xml:space="preserve">Cotisations URSSAF</t>
        </is>
      </c>
      <c r="G677" s="0" t="inlineStr">
        <is>
          <t xml:space="preserve">PAIE202409</t>
        </is>
      </c>
      <c r="H677" s="0" t="inlineStr">
        <is>
          <t xml:space="preserve">Paie 09/2024</t>
        </is>
      </c>
      <c r="I677" s="8">
        <v>22171.33</v>
      </c>
      <c r="J677" s="8">
        <v>0</v>
      </c>
      <c r="K677" s="0"/>
      <c r="L677" s="0"/>
      <c r="M677" s="8">
        <f>I677-J677</f>
      </c>
      <c r="N677" s="0" t="inlineStr">
        <is>
          <t xml:space="preserve">2024-09</t>
        </is>
      </c>
      <c r="O677" s="0">
        <f>INDEX(Journaux!$E$5:$E$18,MATCH("2024|"&amp;A677,Journaux!$A$5:$A$18,0))</f>
      </c>
      <c r="P677" s="0">
        <f>INDEX(Comptes!$H$5:$H$42,MATCH(E677,Comptes!$A$5:$A$42,0))</f>
      </c>
      <c r="Q677" s="0" t="inlineStr">
        <is>
          <t xml:space="preserve">6</t>
        </is>
      </c>
    </row>
    <row r="678">
      <c r="A678" s="4" t="inlineStr">
        <is>
          <t xml:space="preserve">SA</t>
        </is>
      </c>
      <c r="B678" s="0" t="inlineStr">
        <is>
          <t xml:space="preserve">Salaires</t>
        </is>
      </c>
      <c r="C678" s="0" t="inlineStr">
        <is>
          <t xml:space="preserve">SA00009</t>
        </is>
      </c>
      <c r="D678" s="10">
        <v>45565</v>
      </c>
      <c r="E678" s="4" t="inlineStr">
        <is>
          <t xml:space="preserve">421000</t>
        </is>
      </c>
      <c r="F678" s="0" t="inlineStr">
        <is>
          <t xml:space="preserve">Personnel remunerations dues</t>
        </is>
      </c>
      <c r="G678" s="0" t="inlineStr">
        <is>
          <t xml:space="preserve">PAIE202409</t>
        </is>
      </c>
      <c r="H678" s="0" t="inlineStr">
        <is>
          <t xml:space="preserve">Paie 09/2024</t>
        </is>
      </c>
      <c r="I678" s="8">
        <v>0</v>
      </c>
      <c r="J678" s="8">
        <v>41175.33</v>
      </c>
      <c r="K678" s="0"/>
      <c r="L678" s="0"/>
      <c r="M678" s="8">
        <f>I678-J678</f>
      </c>
      <c r="N678" s="0" t="inlineStr">
        <is>
          <t xml:space="preserve">2024-09</t>
        </is>
      </c>
      <c r="O678" s="0">
        <f>INDEX(Journaux!$E$5:$E$18,MATCH("2024|"&amp;A678,Journaux!$A$5:$A$18,0))</f>
      </c>
      <c r="P678" s="0">
        <f>INDEX(Comptes!$H$5:$H$42,MATCH(E678,Comptes!$A$5:$A$42,0))</f>
      </c>
      <c r="Q678" s="0" t="inlineStr">
        <is>
          <t xml:space="preserve">4</t>
        </is>
      </c>
    </row>
    <row r="679">
      <c r="A679" s="4" t="inlineStr">
        <is>
          <t xml:space="preserve">SA</t>
        </is>
      </c>
      <c r="B679" s="0" t="inlineStr">
        <is>
          <t xml:space="preserve">Salaires</t>
        </is>
      </c>
      <c r="C679" s="0" t="inlineStr">
        <is>
          <t xml:space="preserve">SA00009</t>
        </is>
      </c>
      <c r="D679" s="10">
        <v>45565</v>
      </c>
      <c r="E679" s="4" t="inlineStr">
        <is>
          <t xml:space="preserve">431000</t>
        </is>
      </c>
      <c r="F679" s="0" t="inlineStr">
        <is>
          <t xml:space="preserve">Securite sociale</t>
        </is>
      </c>
      <c r="G679" s="0" t="inlineStr">
        <is>
          <t xml:space="preserve">PAIE202409</t>
        </is>
      </c>
      <c r="H679" s="0" t="inlineStr">
        <is>
          <t xml:space="preserve">Paie 09/2024</t>
        </is>
      </c>
      <c r="I679" s="8">
        <v>0</v>
      </c>
      <c r="J679" s="8">
        <v>33784.88</v>
      </c>
      <c r="K679" s="0"/>
      <c r="L679" s="0"/>
      <c r="M679" s="8">
        <f>I679-J679</f>
      </c>
      <c r="N679" s="0" t="inlineStr">
        <is>
          <t xml:space="preserve">2024-09</t>
        </is>
      </c>
      <c r="O679" s="0">
        <f>INDEX(Journaux!$E$5:$E$18,MATCH("2024|"&amp;A679,Journaux!$A$5:$A$18,0))</f>
      </c>
      <c r="P679" s="0">
        <f>INDEX(Comptes!$H$5:$H$42,MATCH(E679,Comptes!$A$5:$A$42,0))</f>
      </c>
      <c r="Q679" s="0" t="inlineStr">
        <is>
          <t xml:space="preserve">4</t>
        </is>
      </c>
    </row>
    <row r="680">
      <c r="A680" s="4" t="inlineStr">
        <is>
          <t xml:space="preserve">VT</t>
        </is>
      </c>
      <c r="B680" s="0" t="inlineStr">
        <is>
          <t xml:space="preserve">Journal des ventes</t>
        </is>
      </c>
      <c r="C680" s="0" t="inlineStr">
        <is>
          <t xml:space="preserve">VT00046</t>
        </is>
      </c>
      <c r="D680" s="10">
        <v>45565</v>
      </c>
      <c r="E680" s="4" t="inlineStr">
        <is>
          <t xml:space="preserve">411000</t>
        </is>
      </c>
      <c r="F680" s="0" t="inlineStr">
        <is>
          <t xml:space="preserve">Clients</t>
        </is>
      </c>
      <c r="G680" s="0" t="inlineStr">
        <is>
          <t xml:space="preserve">FA2024-0046</t>
        </is>
      </c>
      <c r="H680" s="0" t="inlineStr">
        <is>
          <t xml:space="preserve">Facture FA2024-0046 Clinique du Parc</t>
        </is>
      </c>
      <c r="I680" s="8">
        <v>64791.82</v>
      </c>
      <c r="J680" s="8">
        <v>0</v>
      </c>
      <c r="K680" s="0" t="inlineStr">
        <is>
          <t xml:space="preserve">AAY</t>
        </is>
      </c>
      <c r="L680" s="0" t="inlineStr">
        <is>
          <t xml:space="preserve">Clinique du Parc</t>
        </is>
      </c>
      <c r="M680" s="8">
        <f>I680-J680</f>
      </c>
      <c r="N680" s="0" t="inlineStr">
        <is>
          <t xml:space="preserve">2024-09</t>
        </is>
      </c>
      <c r="O680" s="0">
        <f>INDEX(Journaux!$E$5:$E$18,MATCH("2024|"&amp;A680,Journaux!$A$5:$A$18,0))</f>
      </c>
      <c r="P680" s="0">
        <f>INDEX(Comptes!$H$5:$H$42,MATCH(E680,Comptes!$A$5:$A$42,0))</f>
      </c>
      <c r="Q680" s="0" t="inlineStr">
        <is>
          <t xml:space="preserve">4</t>
        </is>
      </c>
      <c r="R680" s="7" t="inlineStr">
        <is>
          <t xml:space="preserve">411000|C006</t>
        </is>
      </c>
    </row>
    <row r="681">
      <c r="A681" s="4" t="inlineStr">
        <is>
          <t xml:space="preserve">VT</t>
        </is>
      </c>
      <c r="B681" s="0" t="inlineStr">
        <is>
          <t xml:space="preserve">Journal des ventes</t>
        </is>
      </c>
      <c r="C681" s="0" t="inlineStr">
        <is>
          <t xml:space="preserve">VT00046</t>
        </is>
      </c>
      <c r="D681" s="10">
        <v>45565</v>
      </c>
      <c r="E681" s="4" t="inlineStr">
        <is>
          <t xml:space="preserve">701000</t>
        </is>
      </c>
      <c r="F681" s="0" t="inlineStr">
        <is>
          <t xml:space="preserve">Ventes de produits finis</t>
        </is>
      </c>
      <c r="G681" s="0" t="inlineStr">
        <is>
          <t xml:space="preserve">FA2024-0046</t>
        </is>
      </c>
      <c r="H681" s="0" t="inlineStr">
        <is>
          <t xml:space="preserve">Facture FA2024-0046 Clinique du Parc</t>
        </is>
      </c>
      <c r="I681" s="8">
        <v>0</v>
      </c>
      <c r="J681" s="8">
        <v>53993.18</v>
      </c>
      <c r="K681" s="0"/>
      <c r="L681" s="0"/>
      <c r="M681" s="8">
        <f>I681-J681</f>
      </c>
      <c r="N681" s="0" t="inlineStr">
        <is>
          <t xml:space="preserve">2024-09</t>
        </is>
      </c>
      <c r="O681" s="0">
        <f>INDEX(Journaux!$E$5:$E$18,MATCH("2024|"&amp;A681,Journaux!$A$5:$A$18,0))</f>
      </c>
      <c r="P681" s="0">
        <f>INDEX(Comptes!$H$5:$H$42,MATCH(E681,Comptes!$A$5:$A$42,0))</f>
      </c>
      <c r="Q681" s="0" t="inlineStr">
        <is>
          <t xml:space="preserve">7</t>
        </is>
      </c>
    </row>
    <row r="682">
      <c r="A682" s="4" t="inlineStr">
        <is>
          <t xml:space="preserve">VT</t>
        </is>
      </c>
      <c r="B682" s="0" t="inlineStr">
        <is>
          <t xml:space="preserve">Journal des ventes</t>
        </is>
      </c>
      <c r="C682" s="0" t="inlineStr">
        <is>
          <t xml:space="preserve">VT00046</t>
        </is>
      </c>
      <c r="D682" s="10">
        <v>45565</v>
      </c>
      <c r="E682" s="4" t="inlineStr">
        <is>
          <t xml:space="preserve">445710</t>
        </is>
      </c>
      <c r="F682" s="0" t="inlineStr">
        <is>
          <t xml:space="preserve">TVA collectee</t>
        </is>
      </c>
      <c r="G682" s="0" t="inlineStr">
        <is>
          <t xml:space="preserve">FA2024-0046</t>
        </is>
      </c>
      <c r="H682" s="0" t="inlineStr">
        <is>
          <t xml:space="preserve">Facture FA2024-0046 Clinique du Parc</t>
        </is>
      </c>
      <c r="I682" s="8">
        <v>0</v>
      </c>
      <c r="J682" s="8">
        <v>10798.64</v>
      </c>
      <c r="K682" s="0"/>
      <c r="L682" s="0"/>
      <c r="M682" s="8">
        <f>I682-J682</f>
      </c>
      <c r="N682" s="0" t="inlineStr">
        <is>
          <t xml:space="preserve">2024-09</t>
        </is>
      </c>
      <c r="O682" s="0">
        <f>INDEX(Journaux!$E$5:$E$18,MATCH("2024|"&amp;A682,Journaux!$A$5:$A$18,0))</f>
      </c>
      <c r="P682" s="0">
        <f>INDEX(Comptes!$H$5:$H$42,MATCH(E682,Comptes!$A$5:$A$42,0))</f>
      </c>
      <c r="Q682" s="0" t="inlineStr">
        <is>
          <t xml:space="preserve">4</t>
        </is>
      </c>
    </row>
    <row r="683">
      <c r="A683" s="4" t="inlineStr">
        <is>
          <t xml:space="preserve">VT</t>
        </is>
      </c>
      <c r="B683" s="0" t="inlineStr">
        <is>
          <t xml:space="preserve">Journal des ventes</t>
        </is>
      </c>
      <c r="C683" s="0" t="inlineStr">
        <is>
          <t xml:space="preserve">VT00050</t>
        </is>
      </c>
      <c r="D683" s="10">
        <v>45569</v>
      </c>
      <c r="E683" s="4" t="inlineStr">
        <is>
          <t xml:space="preserve">411000</t>
        </is>
      </c>
      <c r="F683" s="0" t="inlineStr">
        <is>
          <t xml:space="preserve">Clients</t>
        </is>
      </c>
      <c r="G683" s="0" t="inlineStr">
        <is>
          <t xml:space="preserve">FA2024-0050</t>
        </is>
      </c>
      <c r="H683" s="0" t="inlineStr">
        <is>
          <t xml:space="preserve">Facture FA2024-0050 Restaurant Le Comptoir</t>
        </is>
      </c>
      <c r="I683" s="8">
        <v>36738.47</v>
      </c>
      <c r="J683" s="8">
        <v>0</v>
      </c>
      <c r="K683" s="0" t="inlineStr">
        <is>
          <t xml:space="preserve">ABC</t>
        </is>
      </c>
      <c r="L683" s="0" t="inlineStr">
        <is>
          <t xml:space="preserve">Restaurant Le Comptoir</t>
        </is>
      </c>
      <c r="M683" s="8">
        <f>I683-J683</f>
      </c>
      <c r="N683" s="0" t="inlineStr">
        <is>
          <t xml:space="preserve">2024-10</t>
        </is>
      </c>
      <c r="O683" s="0">
        <f>INDEX(Journaux!$E$5:$E$18,MATCH("2024|"&amp;A683,Journaux!$A$5:$A$18,0))</f>
      </c>
      <c r="P683" s="0">
        <f>INDEX(Comptes!$H$5:$H$42,MATCH(E683,Comptes!$A$5:$A$42,0))</f>
      </c>
      <c r="Q683" s="0" t="inlineStr">
        <is>
          <t xml:space="preserve">4</t>
        </is>
      </c>
      <c r="R683" s="7" t="inlineStr">
        <is>
          <t xml:space="preserve">411000|C005</t>
        </is>
      </c>
    </row>
    <row r="684">
      <c r="A684" s="4" t="inlineStr">
        <is>
          <t xml:space="preserve">VT</t>
        </is>
      </c>
      <c r="B684" s="0" t="inlineStr">
        <is>
          <t xml:space="preserve">Journal des ventes</t>
        </is>
      </c>
      <c r="C684" s="0" t="inlineStr">
        <is>
          <t xml:space="preserve">VT00050</t>
        </is>
      </c>
      <c r="D684" s="10">
        <v>45569</v>
      </c>
      <c r="E684" s="4" t="inlineStr">
        <is>
          <t xml:space="preserve">701000</t>
        </is>
      </c>
      <c r="F684" s="0" t="inlineStr">
        <is>
          <t xml:space="preserve">Ventes de produits finis</t>
        </is>
      </c>
      <c r="G684" s="0" t="inlineStr">
        <is>
          <t xml:space="preserve">FA2024-0050</t>
        </is>
      </c>
      <c r="H684" s="0" t="inlineStr">
        <is>
          <t xml:space="preserve">Facture FA2024-0050 Restaurant Le Comptoir</t>
        </is>
      </c>
      <c r="I684" s="8">
        <v>0</v>
      </c>
      <c r="J684" s="8">
        <v>30615.39</v>
      </c>
      <c r="K684" s="0"/>
      <c r="L684" s="0"/>
      <c r="M684" s="8">
        <f>I684-J684</f>
      </c>
      <c r="N684" s="0" t="inlineStr">
        <is>
          <t xml:space="preserve">2024-10</t>
        </is>
      </c>
      <c r="O684" s="0">
        <f>INDEX(Journaux!$E$5:$E$18,MATCH("2024|"&amp;A684,Journaux!$A$5:$A$18,0))</f>
      </c>
      <c r="P684" s="0">
        <f>INDEX(Comptes!$H$5:$H$42,MATCH(E684,Comptes!$A$5:$A$42,0))</f>
      </c>
      <c r="Q684" s="0" t="inlineStr">
        <is>
          <t xml:space="preserve">7</t>
        </is>
      </c>
    </row>
    <row r="685">
      <c r="A685" s="4" t="inlineStr">
        <is>
          <t xml:space="preserve">VT</t>
        </is>
      </c>
      <c r="B685" s="0" t="inlineStr">
        <is>
          <t xml:space="preserve">Journal des ventes</t>
        </is>
      </c>
      <c r="C685" s="0" t="inlineStr">
        <is>
          <t xml:space="preserve">VT00050</t>
        </is>
      </c>
      <c r="D685" s="10">
        <v>45569</v>
      </c>
      <c r="E685" s="4" t="inlineStr">
        <is>
          <t xml:space="preserve">445710</t>
        </is>
      </c>
      <c r="F685" s="0" t="inlineStr">
        <is>
          <t xml:space="preserve">TVA collectee</t>
        </is>
      </c>
      <c r="G685" s="0" t="inlineStr">
        <is>
          <t xml:space="preserve">FA2024-0050</t>
        </is>
      </c>
      <c r="H685" s="0" t="inlineStr">
        <is>
          <t xml:space="preserve">Facture FA2024-0050 Restaurant Le Comptoir</t>
        </is>
      </c>
      <c r="I685" s="8">
        <v>0</v>
      </c>
      <c r="J685" s="8">
        <v>6123.08</v>
      </c>
      <c r="K685" s="0"/>
      <c r="L685" s="0"/>
      <c r="M685" s="8">
        <f>I685-J685</f>
      </c>
      <c r="N685" s="0" t="inlineStr">
        <is>
          <t xml:space="preserve">2024-10</t>
        </is>
      </c>
      <c r="O685" s="0">
        <f>INDEX(Journaux!$E$5:$E$18,MATCH("2024|"&amp;A685,Journaux!$A$5:$A$18,0))</f>
      </c>
      <c r="P685" s="0">
        <f>INDEX(Comptes!$H$5:$H$42,MATCH(E685,Comptes!$A$5:$A$42,0))</f>
      </c>
      <c r="Q685" s="0" t="inlineStr">
        <is>
          <t xml:space="preserve">4</t>
        </is>
      </c>
    </row>
    <row r="686">
      <c r="A686" s="4" t="inlineStr">
        <is>
          <t xml:space="preserve">AC</t>
        </is>
      </c>
      <c r="B686" s="0" t="inlineStr">
        <is>
          <t xml:space="preserve">Journal des achats</t>
        </is>
      </c>
      <c r="C686" s="0" t="inlineStr">
        <is>
          <t xml:space="preserve">AC00058</t>
        </is>
      </c>
      <c r="D686" s="10">
        <v>45570</v>
      </c>
      <c r="E686" s="4" t="inlineStr">
        <is>
          <t xml:space="preserve">613200</t>
        </is>
      </c>
      <c r="F686" s="0" t="inlineStr">
        <is>
          <t xml:space="preserve">Locations immobilieres</t>
        </is>
      </c>
      <c r="G686" s="0" t="inlineStr">
        <is>
          <t xml:space="preserve">F004-202410</t>
        </is>
      </c>
      <c r="H686" s="0" t="inlineStr">
        <is>
          <t xml:space="preserve">Facture SCI Les Halles 2024-10</t>
        </is>
      </c>
      <c r="I686" s="8">
        <v>8500</v>
      </c>
      <c r="J686" s="8">
        <v>0</v>
      </c>
      <c r="K686" s="0"/>
      <c r="L686" s="0"/>
      <c r="M686" s="8">
        <f>I686-J686</f>
      </c>
      <c r="N686" s="0" t="inlineStr">
        <is>
          <t xml:space="preserve">2024-10</t>
        </is>
      </c>
      <c r="O686" s="0">
        <f>INDEX(Journaux!$E$5:$E$18,MATCH("2024|"&amp;A686,Journaux!$A$5:$A$18,0))</f>
      </c>
      <c r="P686" s="0">
        <f>INDEX(Comptes!$H$5:$H$42,MATCH(E686,Comptes!$A$5:$A$42,0))</f>
      </c>
      <c r="Q686" s="0" t="inlineStr">
        <is>
          <t xml:space="preserve">6</t>
        </is>
      </c>
    </row>
    <row r="687">
      <c r="A687" s="4" t="inlineStr">
        <is>
          <t xml:space="preserve">AC</t>
        </is>
      </c>
      <c r="B687" s="0" t="inlineStr">
        <is>
          <t xml:space="preserve">Journal des achats</t>
        </is>
      </c>
      <c r="C687" s="0" t="inlineStr">
        <is>
          <t xml:space="preserve">AC00058</t>
        </is>
      </c>
      <c r="D687" s="10">
        <v>45570</v>
      </c>
      <c r="E687" s="4" t="inlineStr">
        <is>
          <t xml:space="preserve">445660</t>
        </is>
      </c>
      <c r="F687" s="0" t="inlineStr">
        <is>
          <t xml:space="preserve">TVA deductible sur ABS</t>
        </is>
      </c>
      <c r="G687" s="0" t="inlineStr">
        <is>
          <t xml:space="preserve">F004-202410</t>
        </is>
      </c>
      <c r="H687" s="0" t="inlineStr">
        <is>
          <t xml:space="preserve">Facture SCI Les Halles 2024-10</t>
        </is>
      </c>
      <c r="I687" s="8">
        <v>1700</v>
      </c>
      <c r="J687" s="8">
        <v>0</v>
      </c>
      <c r="K687" s="0"/>
      <c r="L687" s="0"/>
      <c r="M687" s="8">
        <f>I687-J687</f>
      </c>
      <c r="N687" s="0" t="inlineStr">
        <is>
          <t xml:space="preserve">2024-10</t>
        </is>
      </c>
      <c r="O687" s="0">
        <f>INDEX(Journaux!$E$5:$E$18,MATCH("2024|"&amp;A687,Journaux!$A$5:$A$18,0))</f>
      </c>
      <c r="P687" s="0">
        <f>INDEX(Comptes!$H$5:$H$42,MATCH(E687,Comptes!$A$5:$A$42,0))</f>
      </c>
      <c r="Q687" s="0" t="inlineStr">
        <is>
          <t xml:space="preserve">4</t>
        </is>
      </c>
    </row>
    <row r="688">
      <c r="A688" s="4" t="inlineStr">
        <is>
          <t xml:space="preserve">AC</t>
        </is>
      </c>
      <c r="B688" s="0" t="inlineStr">
        <is>
          <t xml:space="preserve">Journal des achats</t>
        </is>
      </c>
      <c r="C688" s="0" t="inlineStr">
        <is>
          <t xml:space="preserve">AC00058</t>
        </is>
      </c>
      <c r="D688" s="10">
        <v>45570</v>
      </c>
      <c r="E688" s="4" t="inlineStr">
        <is>
          <t xml:space="preserve">401000</t>
        </is>
      </c>
      <c r="F688" s="0" t="inlineStr">
        <is>
          <t xml:space="preserve">Fournisseurs</t>
        </is>
      </c>
      <c r="G688" s="0" t="inlineStr">
        <is>
          <t xml:space="preserve">F004-202410</t>
        </is>
      </c>
      <c r="H688" s="0" t="inlineStr">
        <is>
          <t xml:space="preserve">Facture SCI Les Halles 2024-10</t>
        </is>
      </c>
      <c r="I688" s="8">
        <v>0</v>
      </c>
      <c r="J688" s="8">
        <v>10200</v>
      </c>
      <c r="K688" s="0" t="inlineStr">
        <is>
          <t xml:space="preserve">ADR</t>
        </is>
      </c>
      <c r="L688" s="0" t="inlineStr">
        <is>
          <t xml:space="preserve">SCI Les Halles</t>
        </is>
      </c>
      <c r="M688" s="8">
        <f>I688-J688</f>
      </c>
      <c r="N688" s="0" t="inlineStr">
        <is>
          <t xml:space="preserve">2024-10</t>
        </is>
      </c>
      <c r="O688" s="0">
        <f>INDEX(Journaux!$E$5:$E$18,MATCH("2024|"&amp;A688,Journaux!$A$5:$A$18,0))</f>
      </c>
      <c r="P688" s="0">
        <f>INDEX(Comptes!$H$5:$H$42,MATCH(E688,Comptes!$A$5:$A$42,0))</f>
      </c>
      <c r="Q688" s="0" t="inlineStr">
        <is>
          <t xml:space="preserve">4</t>
        </is>
      </c>
      <c r="R688" s="7" t="inlineStr">
        <is>
          <t xml:space="preserve">401000|F004</t>
        </is>
      </c>
    </row>
    <row r="689">
      <c r="A689" s="4" t="inlineStr">
        <is>
          <t xml:space="preserve">AC</t>
        </is>
      </c>
      <c r="B689" s="0" t="inlineStr">
        <is>
          <t xml:space="preserve">Journal des achats</t>
        </is>
      </c>
      <c r="C689" s="0" t="inlineStr">
        <is>
          <t xml:space="preserve">AC00059</t>
        </is>
      </c>
      <c r="D689" s="10">
        <v>45570</v>
      </c>
      <c r="E689" s="4" t="inlineStr">
        <is>
          <t xml:space="preserve">606100</t>
        </is>
      </c>
      <c r="F689" s="0" t="inlineStr">
        <is>
          <t xml:space="preserve">Fournitures non stockables energie</t>
        </is>
      </c>
      <c r="G689" s="0" t="inlineStr">
        <is>
          <t xml:space="preserve">F005-202410</t>
        </is>
      </c>
      <c r="H689" s="0" t="inlineStr">
        <is>
          <t xml:space="preserve">Facture Energie Plus 2024-10</t>
        </is>
      </c>
      <c r="I689" s="8">
        <v>2524.6</v>
      </c>
      <c r="J689" s="8">
        <v>0</v>
      </c>
      <c r="K689" s="0"/>
      <c r="L689" s="0"/>
      <c r="M689" s="8">
        <f>I689-J689</f>
      </c>
      <c r="N689" s="0" t="inlineStr">
        <is>
          <t xml:space="preserve">2024-10</t>
        </is>
      </c>
      <c r="O689" s="0">
        <f>INDEX(Journaux!$E$5:$E$18,MATCH("2024|"&amp;A689,Journaux!$A$5:$A$18,0))</f>
      </c>
      <c r="P689" s="0">
        <f>INDEX(Comptes!$H$5:$H$42,MATCH(E689,Comptes!$A$5:$A$42,0))</f>
      </c>
      <c r="Q689" s="0" t="inlineStr">
        <is>
          <t xml:space="preserve">6</t>
        </is>
      </c>
    </row>
    <row r="690">
      <c r="A690" s="4" t="inlineStr">
        <is>
          <t xml:space="preserve">AC</t>
        </is>
      </c>
      <c r="B690" s="0" t="inlineStr">
        <is>
          <t xml:space="preserve">Journal des achats</t>
        </is>
      </c>
      <c r="C690" s="0" t="inlineStr">
        <is>
          <t xml:space="preserve">AC00059</t>
        </is>
      </c>
      <c r="D690" s="10">
        <v>45570</v>
      </c>
      <c r="E690" s="4" t="inlineStr">
        <is>
          <t xml:space="preserve">445660</t>
        </is>
      </c>
      <c r="F690" s="0" t="inlineStr">
        <is>
          <t xml:space="preserve">TVA deductible sur ABS</t>
        </is>
      </c>
      <c r="G690" s="0" t="inlineStr">
        <is>
          <t xml:space="preserve">F005-202410</t>
        </is>
      </c>
      <c r="H690" s="0" t="inlineStr">
        <is>
          <t xml:space="preserve">Facture Energie Plus 2024-10</t>
        </is>
      </c>
      <c r="I690" s="8">
        <v>504.92</v>
      </c>
      <c r="J690" s="8">
        <v>0</v>
      </c>
      <c r="K690" s="0"/>
      <c r="L690" s="0"/>
      <c r="M690" s="8">
        <f>I690-J690</f>
      </c>
      <c r="N690" s="0" t="inlineStr">
        <is>
          <t xml:space="preserve">2024-10</t>
        </is>
      </c>
      <c r="O690" s="0">
        <f>INDEX(Journaux!$E$5:$E$18,MATCH("2024|"&amp;A690,Journaux!$A$5:$A$18,0))</f>
      </c>
      <c r="P690" s="0">
        <f>INDEX(Comptes!$H$5:$H$42,MATCH(E690,Comptes!$A$5:$A$42,0))</f>
      </c>
      <c r="Q690" s="0" t="inlineStr">
        <is>
          <t xml:space="preserve">4</t>
        </is>
      </c>
    </row>
    <row r="691">
      <c r="A691" s="4" t="inlineStr">
        <is>
          <t xml:space="preserve">AC</t>
        </is>
      </c>
      <c r="B691" s="0" t="inlineStr">
        <is>
          <t xml:space="preserve">Journal des achats</t>
        </is>
      </c>
      <c r="C691" s="0" t="inlineStr">
        <is>
          <t xml:space="preserve">AC00059</t>
        </is>
      </c>
      <c r="D691" s="10">
        <v>45570</v>
      </c>
      <c r="E691" s="4" t="inlineStr">
        <is>
          <t xml:space="preserve">401000</t>
        </is>
      </c>
      <c r="F691" s="0" t="inlineStr">
        <is>
          <t xml:space="preserve">Fournisseurs</t>
        </is>
      </c>
      <c r="G691" s="0" t="inlineStr">
        <is>
          <t xml:space="preserve">F005-202410</t>
        </is>
      </c>
      <c r="H691" s="0" t="inlineStr">
        <is>
          <t xml:space="preserve">Facture Energie Plus 2024-10</t>
        </is>
      </c>
      <c r="I691" s="8">
        <v>0</v>
      </c>
      <c r="J691" s="8">
        <v>3029.52</v>
      </c>
      <c r="K691" s="0" t="inlineStr">
        <is>
          <t xml:space="preserve">ADS</t>
        </is>
      </c>
      <c r="L691" s="0" t="inlineStr">
        <is>
          <t xml:space="preserve">Energie Plus</t>
        </is>
      </c>
      <c r="M691" s="8">
        <f>I691-J691</f>
      </c>
      <c r="N691" s="0" t="inlineStr">
        <is>
          <t xml:space="preserve">2024-10</t>
        </is>
      </c>
      <c r="O691" s="0">
        <f>INDEX(Journaux!$E$5:$E$18,MATCH("2024|"&amp;A691,Journaux!$A$5:$A$18,0))</f>
      </c>
      <c r="P691" s="0">
        <f>INDEX(Comptes!$H$5:$H$42,MATCH(E691,Comptes!$A$5:$A$42,0))</f>
      </c>
      <c r="Q691" s="0" t="inlineStr">
        <is>
          <t xml:space="preserve">4</t>
        </is>
      </c>
      <c r="R691" s="7" t="inlineStr">
        <is>
          <t xml:space="preserve">401000|F005</t>
        </is>
      </c>
    </row>
    <row r="692">
      <c r="A692" s="4" t="inlineStr">
        <is>
          <t xml:space="preserve">AC</t>
        </is>
      </c>
      <c r="B692" s="0" t="inlineStr">
        <is>
          <t xml:space="preserve">Journal des achats</t>
        </is>
      </c>
      <c r="C692" s="0" t="inlineStr">
        <is>
          <t xml:space="preserve">AC00060</t>
        </is>
      </c>
      <c r="D692" s="10">
        <v>45570</v>
      </c>
      <c r="E692" s="4" t="inlineStr">
        <is>
          <t xml:space="preserve">626000</t>
        </is>
      </c>
      <c r="F692" s="0" t="inlineStr">
        <is>
          <t xml:space="preserve">Frais postaux et telecommunications</t>
        </is>
      </c>
      <c r="G692" s="0" t="inlineStr">
        <is>
          <t xml:space="preserve">F008-202410</t>
        </is>
      </c>
      <c r="H692" s="0" t="inlineStr">
        <is>
          <t xml:space="preserve">Facture Telecom Pro 2024-10</t>
        </is>
      </c>
      <c r="I692" s="8">
        <v>480</v>
      </c>
      <c r="J692" s="8">
        <v>0</v>
      </c>
      <c r="K692" s="0"/>
      <c r="L692" s="0"/>
      <c r="M692" s="8">
        <f>I692-J692</f>
      </c>
      <c r="N692" s="0" t="inlineStr">
        <is>
          <t xml:space="preserve">2024-10</t>
        </is>
      </c>
      <c r="O692" s="0">
        <f>INDEX(Journaux!$E$5:$E$18,MATCH("2024|"&amp;A692,Journaux!$A$5:$A$18,0))</f>
      </c>
      <c r="P692" s="0">
        <f>INDEX(Comptes!$H$5:$H$42,MATCH(E692,Comptes!$A$5:$A$42,0))</f>
      </c>
      <c r="Q692" s="0" t="inlineStr">
        <is>
          <t xml:space="preserve">6</t>
        </is>
      </c>
    </row>
    <row r="693">
      <c r="A693" s="4" t="inlineStr">
        <is>
          <t xml:space="preserve">AC</t>
        </is>
      </c>
      <c r="B693" s="0" t="inlineStr">
        <is>
          <t xml:space="preserve">Journal des achats</t>
        </is>
      </c>
      <c r="C693" s="0" t="inlineStr">
        <is>
          <t xml:space="preserve">AC00060</t>
        </is>
      </c>
      <c r="D693" s="10">
        <v>45570</v>
      </c>
      <c r="E693" s="4" t="inlineStr">
        <is>
          <t xml:space="preserve">445660</t>
        </is>
      </c>
      <c r="F693" s="0" t="inlineStr">
        <is>
          <t xml:space="preserve">TVA deductible sur ABS</t>
        </is>
      </c>
      <c r="G693" s="0" t="inlineStr">
        <is>
          <t xml:space="preserve">F008-202410</t>
        </is>
      </c>
      <c r="H693" s="0" t="inlineStr">
        <is>
          <t xml:space="preserve">Facture Telecom Pro 2024-10</t>
        </is>
      </c>
      <c r="I693" s="8">
        <v>96</v>
      </c>
      <c r="J693" s="8">
        <v>0</v>
      </c>
      <c r="K693" s="0"/>
      <c r="L693" s="0"/>
      <c r="M693" s="8">
        <f>I693-J693</f>
      </c>
      <c r="N693" s="0" t="inlineStr">
        <is>
          <t xml:space="preserve">2024-10</t>
        </is>
      </c>
      <c r="O693" s="0">
        <f>INDEX(Journaux!$E$5:$E$18,MATCH("2024|"&amp;A693,Journaux!$A$5:$A$18,0))</f>
      </c>
      <c r="P693" s="0">
        <f>INDEX(Comptes!$H$5:$H$42,MATCH(E693,Comptes!$A$5:$A$42,0))</f>
      </c>
      <c r="Q693" s="0" t="inlineStr">
        <is>
          <t xml:space="preserve">4</t>
        </is>
      </c>
    </row>
    <row r="694">
      <c r="A694" s="4" t="inlineStr">
        <is>
          <t xml:space="preserve">AC</t>
        </is>
      </c>
      <c r="B694" s="0" t="inlineStr">
        <is>
          <t xml:space="preserve">Journal des achats</t>
        </is>
      </c>
      <c r="C694" s="0" t="inlineStr">
        <is>
          <t xml:space="preserve">AC00060</t>
        </is>
      </c>
      <c r="D694" s="10">
        <v>45570</v>
      </c>
      <c r="E694" s="4" t="inlineStr">
        <is>
          <t xml:space="preserve">401000</t>
        </is>
      </c>
      <c r="F694" s="0" t="inlineStr">
        <is>
          <t xml:space="preserve">Fournisseurs</t>
        </is>
      </c>
      <c r="G694" s="0" t="inlineStr">
        <is>
          <t xml:space="preserve">F008-202410</t>
        </is>
      </c>
      <c r="H694" s="0" t="inlineStr">
        <is>
          <t xml:space="preserve">Facture Telecom Pro 2024-10</t>
        </is>
      </c>
      <c r="I694" s="8">
        <v>0</v>
      </c>
      <c r="J694" s="8">
        <v>576</v>
      </c>
      <c r="K694" s="0" t="inlineStr">
        <is>
          <t xml:space="preserve">ADT</t>
        </is>
      </c>
      <c r="L694" s="0" t="inlineStr">
        <is>
          <t xml:space="preserve">Telecom Pro</t>
        </is>
      </c>
      <c r="M694" s="8">
        <f>I694-J694</f>
      </c>
      <c r="N694" s="0" t="inlineStr">
        <is>
          <t xml:space="preserve">2024-10</t>
        </is>
      </c>
      <c r="O694" s="0">
        <f>INDEX(Journaux!$E$5:$E$18,MATCH("2024|"&amp;A694,Journaux!$A$5:$A$18,0))</f>
      </c>
      <c r="P694" s="0">
        <f>INDEX(Comptes!$H$5:$H$42,MATCH(E694,Comptes!$A$5:$A$42,0))</f>
      </c>
      <c r="Q694" s="0" t="inlineStr">
        <is>
          <t xml:space="preserve">4</t>
        </is>
      </c>
      <c r="R694" s="7" t="inlineStr">
        <is>
          <t xml:space="preserve">401000|F008</t>
        </is>
      </c>
    </row>
    <row r="695">
      <c r="A695" s="4" t="inlineStr">
        <is>
          <t xml:space="preserve">AC</t>
        </is>
      </c>
      <c r="B695" s="0" t="inlineStr">
        <is>
          <t xml:space="preserve">Journal des achats</t>
        </is>
      </c>
      <c r="C695" s="0" t="inlineStr">
        <is>
          <t xml:space="preserve">AC00061</t>
        </is>
      </c>
      <c r="D695" s="10">
        <v>45570</v>
      </c>
      <c r="E695" s="4" t="inlineStr">
        <is>
          <t xml:space="preserve">616000</t>
        </is>
      </c>
      <c r="F695" s="0" t="inlineStr">
        <is>
          <t xml:space="preserve">Primes d'assurance</t>
        </is>
      </c>
      <c r="G695" s="0" t="inlineStr">
        <is>
          <t xml:space="preserve">F006-202410</t>
        </is>
      </c>
      <c r="H695" s="0" t="inlineStr">
        <is>
          <t xml:space="preserve">Facture Assurances Mutuelles Exemple 2024-10</t>
        </is>
      </c>
      <c r="I695" s="8">
        <v>3000</v>
      </c>
      <c r="J695" s="8">
        <v>0</v>
      </c>
      <c r="K695" s="0"/>
      <c r="L695" s="0"/>
      <c r="M695" s="8">
        <f>I695-J695</f>
      </c>
      <c r="N695" s="0" t="inlineStr">
        <is>
          <t xml:space="preserve">2024-10</t>
        </is>
      </c>
      <c r="O695" s="0">
        <f>INDEX(Journaux!$E$5:$E$18,MATCH("2024|"&amp;A695,Journaux!$A$5:$A$18,0))</f>
      </c>
      <c r="P695" s="0">
        <f>INDEX(Comptes!$H$5:$H$42,MATCH(E695,Comptes!$A$5:$A$42,0))</f>
      </c>
      <c r="Q695" s="0" t="inlineStr">
        <is>
          <t xml:space="preserve">6</t>
        </is>
      </c>
    </row>
    <row r="696">
      <c r="A696" s="4" t="inlineStr">
        <is>
          <t xml:space="preserve">AC</t>
        </is>
      </c>
      <c r="B696" s="0" t="inlineStr">
        <is>
          <t xml:space="preserve">Journal des achats</t>
        </is>
      </c>
      <c r="C696" s="0" t="inlineStr">
        <is>
          <t xml:space="preserve">AC00061</t>
        </is>
      </c>
      <c r="D696" s="10">
        <v>45570</v>
      </c>
      <c r="E696" s="4" t="inlineStr">
        <is>
          <t xml:space="preserve">401000</t>
        </is>
      </c>
      <c r="F696" s="0" t="inlineStr">
        <is>
          <t xml:space="preserve">Fournisseurs</t>
        </is>
      </c>
      <c r="G696" s="0" t="inlineStr">
        <is>
          <t xml:space="preserve">F006-202410</t>
        </is>
      </c>
      <c r="H696" s="0" t="inlineStr">
        <is>
          <t xml:space="preserve">Facture Assurances Mutuelles Exemple 2024-10</t>
        </is>
      </c>
      <c r="I696" s="8">
        <v>0</v>
      </c>
      <c r="J696" s="8">
        <v>3000</v>
      </c>
      <c r="K696" s="0" t="inlineStr">
        <is>
          <t xml:space="preserve">ADU</t>
        </is>
      </c>
      <c r="L696" s="0" t="inlineStr">
        <is>
          <t xml:space="preserve">Assurances Mutuelles Exemple</t>
        </is>
      </c>
      <c r="M696" s="8">
        <f>I696-J696</f>
      </c>
      <c r="N696" s="0" t="inlineStr">
        <is>
          <t xml:space="preserve">2024-10</t>
        </is>
      </c>
      <c r="O696" s="0">
        <f>INDEX(Journaux!$E$5:$E$18,MATCH("2024|"&amp;A696,Journaux!$A$5:$A$18,0))</f>
      </c>
      <c r="P696" s="0">
        <f>INDEX(Comptes!$H$5:$H$42,MATCH(E696,Comptes!$A$5:$A$42,0))</f>
      </c>
      <c r="Q696" s="0" t="inlineStr">
        <is>
          <t xml:space="preserve">4</t>
        </is>
      </c>
      <c r="R696" s="7" t="inlineStr">
        <is>
          <t xml:space="preserve">401000|F006</t>
        </is>
      </c>
    </row>
    <row r="697">
      <c r="A697" s="4" t="inlineStr">
        <is>
          <t xml:space="preserve">BQ</t>
        </is>
      </c>
      <c r="B697" s="0" t="inlineStr">
        <is>
          <t xml:space="preserve">Banque Fictive</t>
        </is>
      </c>
      <c r="C697" s="0" t="inlineStr">
        <is>
          <t xml:space="preserve">BQ00176</t>
        </is>
      </c>
      <c r="D697" s="10">
        <v>45572</v>
      </c>
      <c r="E697" s="4" t="inlineStr">
        <is>
          <t xml:space="preserve">401000</t>
        </is>
      </c>
      <c r="F697" s="0" t="inlineStr">
        <is>
          <t xml:space="preserve">Fournisseurs</t>
        </is>
      </c>
      <c r="G697" s="0" t="inlineStr">
        <is>
          <t xml:space="preserve">DEC-F004-202409</t>
        </is>
      </c>
      <c r="H697" s="0" t="inlineStr">
        <is>
          <t xml:space="preserve">Reglement fournisseur SCI Les Halles F004-202409</t>
        </is>
      </c>
      <c r="I697" s="8">
        <v>10200</v>
      </c>
      <c r="J697" s="8">
        <v>0</v>
      </c>
      <c r="K697" s="0" t="inlineStr">
        <is>
          <t xml:space="preserve">ADL</t>
        </is>
      </c>
      <c r="L697" s="0" t="inlineStr">
        <is>
          <t xml:space="preserve">SCI Les Halles</t>
        </is>
      </c>
      <c r="M697" s="8">
        <f>I697-J697</f>
      </c>
      <c r="N697" s="0" t="inlineStr">
        <is>
          <t xml:space="preserve">2024-10</t>
        </is>
      </c>
      <c r="O697" s="0">
        <f>INDEX(Journaux!$E$5:$E$18,MATCH("2024|"&amp;A697,Journaux!$A$5:$A$18,0))</f>
      </c>
      <c r="P697" s="0">
        <f>INDEX(Comptes!$H$5:$H$42,MATCH(E697,Comptes!$A$5:$A$42,0))</f>
      </c>
      <c r="Q697" s="0" t="inlineStr">
        <is>
          <t xml:space="preserve">4</t>
        </is>
      </c>
      <c r="R697" s="7" t="inlineStr">
        <is>
          <t xml:space="preserve">401000|F004</t>
        </is>
      </c>
    </row>
    <row r="698">
      <c r="A698" s="4" t="inlineStr">
        <is>
          <t xml:space="preserve">BQ</t>
        </is>
      </c>
      <c r="B698" s="0" t="inlineStr">
        <is>
          <t xml:space="preserve">Banque Fictive</t>
        </is>
      </c>
      <c r="C698" s="0" t="inlineStr">
        <is>
          <t xml:space="preserve">BQ00176</t>
        </is>
      </c>
      <c r="D698" s="10">
        <v>45572</v>
      </c>
      <c r="E698" s="4" t="inlineStr">
        <is>
          <t xml:space="preserve">512000</t>
        </is>
      </c>
      <c r="F698" s="0" t="inlineStr">
        <is>
          <t xml:space="preserve">Banque Fictive</t>
        </is>
      </c>
      <c r="G698" s="0" t="inlineStr">
        <is>
          <t xml:space="preserve">DEC-F004-202409</t>
        </is>
      </c>
      <c r="H698" s="0" t="inlineStr">
        <is>
          <t xml:space="preserve">Reglement fournisseur SCI Les Halles F004-202409</t>
        </is>
      </c>
      <c r="I698" s="8">
        <v>0</v>
      </c>
      <c r="J698" s="8">
        <v>10200</v>
      </c>
      <c r="K698" s="0"/>
      <c r="L698" s="0"/>
      <c r="M698" s="8">
        <f>I698-J698</f>
      </c>
      <c r="N698" s="0" t="inlineStr">
        <is>
          <t xml:space="preserve">2024-10</t>
        </is>
      </c>
      <c r="O698" s="0">
        <f>INDEX(Journaux!$E$5:$E$18,MATCH("2024|"&amp;A698,Journaux!$A$5:$A$18,0))</f>
      </c>
      <c r="P698" s="0">
        <f>INDEX(Comptes!$H$5:$H$42,MATCH(E698,Comptes!$A$5:$A$42,0))</f>
      </c>
      <c r="Q698" s="0" t="inlineStr">
        <is>
          <t xml:space="preserve">5</t>
        </is>
      </c>
    </row>
    <row r="699">
      <c r="A699" s="4" t="inlineStr">
        <is>
          <t xml:space="preserve">BQ</t>
        </is>
      </c>
      <c r="B699" s="0" t="inlineStr">
        <is>
          <t xml:space="preserve">Banque Fictive</t>
        </is>
      </c>
      <c r="C699" s="0" t="inlineStr">
        <is>
          <t xml:space="preserve">BQ00177</t>
        </is>
      </c>
      <c r="D699" s="10">
        <v>45572</v>
      </c>
      <c r="E699" s="4" t="inlineStr">
        <is>
          <t xml:space="preserve">401000</t>
        </is>
      </c>
      <c r="F699" s="0" t="inlineStr">
        <is>
          <t xml:space="preserve">Fournisseurs</t>
        </is>
      </c>
      <c r="G699" s="0" t="inlineStr">
        <is>
          <t xml:space="preserve">DEC-F005-202409</t>
        </is>
      </c>
      <c r="H699" s="0" t="inlineStr">
        <is>
          <t xml:space="preserve">Reglement fournisseur Energie Plus F005-202409</t>
        </is>
      </c>
      <c r="I699" s="8">
        <v>4307</v>
      </c>
      <c r="J699" s="8">
        <v>0</v>
      </c>
      <c r="K699" s="0" t="inlineStr">
        <is>
          <t xml:space="preserve">ADM</t>
        </is>
      </c>
      <c r="L699" s="0" t="inlineStr">
        <is>
          <t xml:space="preserve">Energie Plus</t>
        </is>
      </c>
      <c r="M699" s="8">
        <f>I699-J699</f>
      </c>
      <c r="N699" s="0" t="inlineStr">
        <is>
          <t xml:space="preserve">2024-10</t>
        </is>
      </c>
      <c r="O699" s="0">
        <f>INDEX(Journaux!$E$5:$E$18,MATCH("2024|"&amp;A699,Journaux!$A$5:$A$18,0))</f>
      </c>
      <c r="P699" s="0">
        <f>INDEX(Comptes!$H$5:$H$42,MATCH(E699,Comptes!$A$5:$A$42,0))</f>
      </c>
      <c r="Q699" s="0" t="inlineStr">
        <is>
          <t xml:space="preserve">4</t>
        </is>
      </c>
      <c r="R699" s="7" t="inlineStr">
        <is>
          <t xml:space="preserve">401000|F005</t>
        </is>
      </c>
    </row>
    <row r="700">
      <c r="A700" s="4" t="inlineStr">
        <is>
          <t xml:space="preserve">BQ</t>
        </is>
      </c>
      <c r="B700" s="0" t="inlineStr">
        <is>
          <t xml:space="preserve">Banque Fictive</t>
        </is>
      </c>
      <c r="C700" s="0" t="inlineStr">
        <is>
          <t xml:space="preserve">BQ00177</t>
        </is>
      </c>
      <c r="D700" s="10">
        <v>45572</v>
      </c>
      <c r="E700" s="4" t="inlineStr">
        <is>
          <t xml:space="preserve">512000</t>
        </is>
      </c>
      <c r="F700" s="0" t="inlineStr">
        <is>
          <t xml:space="preserve">Banque Fictive</t>
        </is>
      </c>
      <c r="G700" s="0" t="inlineStr">
        <is>
          <t xml:space="preserve">DEC-F005-202409</t>
        </is>
      </c>
      <c r="H700" s="0" t="inlineStr">
        <is>
          <t xml:space="preserve">Reglement fournisseur Energie Plus F005-202409</t>
        </is>
      </c>
      <c r="I700" s="8">
        <v>0</v>
      </c>
      <c r="J700" s="8">
        <v>4307</v>
      </c>
      <c r="K700" s="0"/>
      <c r="L700" s="0"/>
      <c r="M700" s="8">
        <f>I700-J700</f>
      </c>
      <c r="N700" s="0" t="inlineStr">
        <is>
          <t xml:space="preserve">2024-10</t>
        </is>
      </c>
      <c r="O700" s="0">
        <f>INDEX(Journaux!$E$5:$E$18,MATCH("2024|"&amp;A700,Journaux!$A$5:$A$18,0))</f>
      </c>
      <c r="P700" s="0">
        <f>INDEX(Comptes!$H$5:$H$42,MATCH(E700,Comptes!$A$5:$A$42,0))</f>
      </c>
      <c r="Q700" s="0" t="inlineStr">
        <is>
          <t xml:space="preserve">5</t>
        </is>
      </c>
    </row>
    <row r="701">
      <c r="A701" s="4" t="inlineStr">
        <is>
          <t xml:space="preserve">BQ</t>
        </is>
      </c>
      <c r="B701" s="0" t="inlineStr">
        <is>
          <t xml:space="preserve">Banque Fictive</t>
        </is>
      </c>
      <c r="C701" s="0" t="inlineStr">
        <is>
          <t xml:space="preserve">BQ00178</t>
        </is>
      </c>
      <c r="D701" s="10">
        <v>45572</v>
      </c>
      <c r="E701" s="4" t="inlineStr">
        <is>
          <t xml:space="preserve">401000</t>
        </is>
      </c>
      <c r="F701" s="0" t="inlineStr">
        <is>
          <t xml:space="preserve">Fournisseurs</t>
        </is>
      </c>
      <c r="G701" s="0" t="inlineStr">
        <is>
          <t xml:space="preserve">DEC-F008-202409</t>
        </is>
      </c>
      <c r="H701" s="0" t="inlineStr">
        <is>
          <t xml:space="preserve">Reglement fournisseur Telecom Pro F008-202409</t>
        </is>
      </c>
      <c r="I701" s="8">
        <v>576</v>
      </c>
      <c r="J701" s="8">
        <v>0</v>
      </c>
      <c r="K701" s="0" t="inlineStr">
        <is>
          <t xml:space="preserve">ADN</t>
        </is>
      </c>
      <c r="L701" s="0" t="inlineStr">
        <is>
          <t xml:space="preserve">Telecom Pro</t>
        </is>
      </c>
      <c r="M701" s="8">
        <f>I701-J701</f>
      </c>
      <c r="N701" s="0" t="inlineStr">
        <is>
          <t xml:space="preserve">2024-10</t>
        </is>
      </c>
      <c r="O701" s="0">
        <f>INDEX(Journaux!$E$5:$E$18,MATCH("2024|"&amp;A701,Journaux!$A$5:$A$18,0))</f>
      </c>
      <c r="P701" s="0">
        <f>INDEX(Comptes!$H$5:$H$42,MATCH(E701,Comptes!$A$5:$A$42,0))</f>
      </c>
      <c r="Q701" s="0" t="inlineStr">
        <is>
          <t xml:space="preserve">4</t>
        </is>
      </c>
      <c r="R701" s="7" t="inlineStr">
        <is>
          <t xml:space="preserve">401000|F008</t>
        </is>
      </c>
    </row>
    <row r="702">
      <c r="A702" s="4" t="inlineStr">
        <is>
          <t xml:space="preserve">BQ</t>
        </is>
      </c>
      <c r="B702" s="0" t="inlineStr">
        <is>
          <t xml:space="preserve">Banque Fictive</t>
        </is>
      </c>
      <c r="C702" s="0" t="inlineStr">
        <is>
          <t xml:space="preserve">BQ00178</t>
        </is>
      </c>
      <c r="D702" s="10">
        <v>45572</v>
      </c>
      <c r="E702" s="4" t="inlineStr">
        <is>
          <t xml:space="preserve">512000</t>
        </is>
      </c>
      <c r="F702" s="0" t="inlineStr">
        <is>
          <t xml:space="preserve">Banque Fictive</t>
        </is>
      </c>
      <c r="G702" s="0" t="inlineStr">
        <is>
          <t xml:space="preserve">DEC-F008-202409</t>
        </is>
      </c>
      <c r="H702" s="0" t="inlineStr">
        <is>
          <t xml:space="preserve">Reglement fournisseur Telecom Pro F008-202409</t>
        </is>
      </c>
      <c r="I702" s="8">
        <v>0</v>
      </c>
      <c r="J702" s="8">
        <v>576</v>
      </c>
      <c r="K702" s="0"/>
      <c r="L702" s="0"/>
      <c r="M702" s="8">
        <f>I702-J702</f>
      </c>
      <c r="N702" s="0" t="inlineStr">
        <is>
          <t xml:space="preserve">2024-10</t>
        </is>
      </c>
      <c r="O702" s="0">
        <f>INDEX(Journaux!$E$5:$E$18,MATCH("2024|"&amp;A702,Journaux!$A$5:$A$18,0))</f>
      </c>
      <c r="P702" s="0">
        <f>INDEX(Comptes!$H$5:$H$42,MATCH(E702,Comptes!$A$5:$A$42,0))</f>
      </c>
      <c r="Q702" s="0" t="inlineStr">
        <is>
          <t xml:space="preserve">5</t>
        </is>
      </c>
    </row>
    <row r="703">
      <c r="A703" s="4" t="inlineStr">
        <is>
          <t xml:space="preserve">BQ</t>
        </is>
      </c>
      <c r="B703" s="0" t="inlineStr">
        <is>
          <t xml:space="preserve">Banque Fictive</t>
        </is>
      </c>
      <c r="C703" s="0" t="inlineStr">
        <is>
          <t xml:space="preserve">BQ00179</t>
        </is>
      </c>
      <c r="D703" s="10">
        <v>45572</v>
      </c>
      <c r="E703" s="4" t="inlineStr">
        <is>
          <t xml:space="preserve">401000</t>
        </is>
      </c>
      <c r="F703" s="0" t="inlineStr">
        <is>
          <t xml:space="preserve">Fournisseurs</t>
        </is>
      </c>
      <c r="G703" s="0" t="inlineStr">
        <is>
          <t xml:space="preserve">DEC-F007-202409</t>
        </is>
      </c>
      <c r="H703" s="0" t="inlineStr">
        <is>
          <t xml:space="preserve">Reglement fournisseur Cabinet Comptable Exemple F007-202409</t>
        </is>
      </c>
      <c r="I703" s="8">
        <v>7200</v>
      </c>
      <c r="J703" s="8">
        <v>0</v>
      </c>
      <c r="K703" s="0" t="inlineStr">
        <is>
          <t xml:space="preserve">ADO</t>
        </is>
      </c>
      <c r="L703" s="0" t="inlineStr">
        <is>
          <t xml:space="preserve">Cabinet Comptable Exemple</t>
        </is>
      </c>
      <c r="M703" s="8">
        <f>I703-J703</f>
      </c>
      <c r="N703" s="0" t="inlineStr">
        <is>
          <t xml:space="preserve">2024-10</t>
        </is>
      </c>
      <c r="O703" s="0">
        <f>INDEX(Journaux!$E$5:$E$18,MATCH("2024|"&amp;A703,Journaux!$A$5:$A$18,0))</f>
      </c>
      <c r="P703" s="0">
        <f>INDEX(Comptes!$H$5:$H$42,MATCH(E703,Comptes!$A$5:$A$42,0))</f>
      </c>
      <c r="Q703" s="0" t="inlineStr">
        <is>
          <t xml:space="preserve">4</t>
        </is>
      </c>
      <c r="R703" s="7" t="inlineStr">
        <is>
          <t xml:space="preserve">401000|F007</t>
        </is>
      </c>
    </row>
    <row r="704">
      <c r="A704" s="4" t="inlineStr">
        <is>
          <t xml:space="preserve">BQ</t>
        </is>
      </c>
      <c r="B704" s="0" t="inlineStr">
        <is>
          <t xml:space="preserve">Banque Fictive</t>
        </is>
      </c>
      <c r="C704" s="0" t="inlineStr">
        <is>
          <t xml:space="preserve">BQ00179</t>
        </is>
      </c>
      <c r="D704" s="10">
        <v>45572</v>
      </c>
      <c r="E704" s="4" t="inlineStr">
        <is>
          <t xml:space="preserve">512000</t>
        </is>
      </c>
      <c r="F704" s="0" t="inlineStr">
        <is>
          <t xml:space="preserve">Banque Fictive</t>
        </is>
      </c>
      <c r="G704" s="0" t="inlineStr">
        <is>
          <t xml:space="preserve">DEC-F007-202409</t>
        </is>
      </c>
      <c r="H704" s="0" t="inlineStr">
        <is>
          <t xml:space="preserve">Reglement fournisseur Cabinet Comptable Exemple F007-202409</t>
        </is>
      </c>
      <c r="I704" s="8">
        <v>0</v>
      </c>
      <c r="J704" s="8">
        <v>7200</v>
      </c>
      <c r="K704" s="0"/>
      <c r="L704" s="0"/>
      <c r="M704" s="8">
        <f>I704-J704</f>
      </c>
      <c r="N704" s="0" t="inlineStr">
        <is>
          <t xml:space="preserve">2024-10</t>
        </is>
      </c>
      <c r="O704" s="0">
        <f>INDEX(Journaux!$E$5:$E$18,MATCH("2024|"&amp;A704,Journaux!$A$5:$A$18,0))</f>
      </c>
      <c r="P704" s="0">
        <f>INDEX(Comptes!$H$5:$H$42,MATCH(E704,Comptes!$A$5:$A$42,0))</f>
      </c>
      <c r="Q704" s="0" t="inlineStr">
        <is>
          <t xml:space="preserve">5</t>
        </is>
      </c>
    </row>
    <row r="705">
      <c r="A705" s="4" t="inlineStr">
        <is>
          <t xml:space="preserve">VT</t>
        </is>
      </c>
      <c r="B705" s="0" t="inlineStr">
        <is>
          <t xml:space="preserve">Journal des ventes</t>
        </is>
      </c>
      <c r="C705" s="0" t="inlineStr">
        <is>
          <t xml:space="preserve">VT00051</t>
        </is>
      </c>
      <c r="D705" s="10">
        <v>45574</v>
      </c>
      <c r="E705" s="4" t="inlineStr">
        <is>
          <t xml:space="preserve">411000</t>
        </is>
      </c>
      <c r="F705" s="0" t="inlineStr">
        <is>
          <t xml:space="preserve">Clients</t>
        </is>
      </c>
      <c r="G705" s="0" t="inlineStr">
        <is>
          <t xml:space="preserve">FA2024-0051</t>
        </is>
      </c>
      <c r="H705" s="0" t="inlineStr">
        <is>
          <t xml:space="preserve">Facture FA2024-0051 Residence Bel Air</t>
        </is>
      </c>
      <c r="I705" s="8">
        <v>60520.74</v>
      </c>
      <c r="J705" s="8">
        <v>0</v>
      </c>
      <c r="K705" s="0" t="inlineStr">
        <is>
          <t xml:space="preserve">ABD</t>
        </is>
      </c>
      <c r="L705" s="0" t="inlineStr">
        <is>
          <t xml:space="preserve">Residence Bel Air</t>
        </is>
      </c>
      <c r="M705" s="8">
        <f>I705-J705</f>
      </c>
      <c r="N705" s="0" t="inlineStr">
        <is>
          <t xml:space="preserve">2024-10</t>
        </is>
      </c>
      <c r="O705" s="0">
        <f>INDEX(Journaux!$E$5:$E$18,MATCH("2024|"&amp;A705,Journaux!$A$5:$A$18,0))</f>
      </c>
      <c r="P705" s="0">
        <f>INDEX(Comptes!$H$5:$H$42,MATCH(E705,Comptes!$A$5:$A$42,0))</f>
      </c>
      <c r="Q705" s="0" t="inlineStr">
        <is>
          <t xml:space="preserve">4</t>
        </is>
      </c>
      <c r="R705" s="7" t="inlineStr">
        <is>
          <t xml:space="preserve">411000|C003</t>
        </is>
      </c>
    </row>
    <row r="706">
      <c r="A706" s="4" t="inlineStr">
        <is>
          <t xml:space="preserve">VT</t>
        </is>
      </c>
      <c r="B706" s="0" t="inlineStr">
        <is>
          <t xml:space="preserve">Journal des ventes</t>
        </is>
      </c>
      <c r="C706" s="0" t="inlineStr">
        <is>
          <t xml:space="preserve">VT00051</t>
        </is>
      </c>
      <c r="D706" s="10">
        <v>45574</v>
      </c>
      <c r="E706" s="4" t="inlineStr">
        <is>
          <t xml:space="preserve">701000</t>
        </is>
      </c>
      <c r="F706" s="0" t="inlineStr">
        <is>
          <t xml:space="preserve">Ventes de produits finis</t>
        </is>
      </c>
      <c r="G706" s="0" t="inlineStr">
        <is>
          <t xml:space="preserve">FA2024-0051</t>
        </is>
      </c>
      <c r="H706" s="0" t="inlineStr">
        <is>
          <t xml:space="preserve">Facture FA2024-0051 Residence Bel Air</t>
        </is>
      </c>
      <c r="I706" s="8">
        <v>0</v>
      </c>
      <c r="J706" s="8">
        <v>50433.95</v>
      </c>
      <c r="K706" s="0"/>
      <c r="L706" s="0"/>
      <c r="M706" s="8">
        <f>I706-J706</f>
      </c>
      <c r="N706" s="0" t="inlineStr">
        <is>
          <t xml:space="preserve">2024-10</t>
        </is>
      </c>
      <c r="O706" s="0">
        <f>INDEX(Journaux!$E$5:$E$18,MATCH("2024|"&amp;A706,Journaux!$A$5:$A$18,0))</f>
      </c>
      <c r="P706" s="0">
        <f>INDEX(Comptes!$H$5:$H$42,MATCH(E706,Comptes!$A$5:$A$42,0))</f>
      </c>
      <c r="Q706" s="0" t="inlineStr">
        <is>
          <t xml:space="preserve">7</t>
        </is>
      </c>
    </row>
    <row r="707">
      <c r="A707" s="4" t="inlineStr">
        <is>
          <t xml:space="preserve">VT</t>
        </is>
      </c>
      <c r="B707" s="0" t="inlineStr">
        <is>
          <t xml:space="preserve">Journal des ventes</t>
        </is>
      </c>
      <c r="C707" s="0" t="inlineStr">
        <is>
          <t xml:space="preserve">VT00051</t>
        </is>
      </c>
      <c r="D707" s="10">
        <v>45574</v>
      </c>
      <c r="E707" s="4" t="inlineStr">
        <is>
          <t xml:space="preserve">445710</t>
        </is>
      </c>
      <c r="F707" s="0" t="inlineStr">
        <is>
          <t xml:space="preserve">TVA collectee</t>
        </is>
      </c>
      <c r="G707" s="0" t="inlineStr">
        <is>
          <t xml:space="preserve">FA2024-0051</t>
        </is>
      </c>
      <c r="H707" s="0" t="inlineStr">
        <is>
          <t xml:space="preserve">Facture FA2024-0051 Residence Bel Air</t>
        </is>
      </c>
      <c r="I707" s="8">
        <v>0</v>
      </c>
      <c r="J707" s="8">
        <v>10086.79</v>
      </c>
      <c r="K707" s="0"/>
      <c r="L707" s="0"/>
      <c r="M707" s="8">
        <f>I707-J707</f>
      </c>
      <c r="N707" s="0" t="inlineStr">
        <is>
          <t xml:space="preserve">2024-10</t>
        </is>
      </c>
      <c r="O707" s="0">
        <f>INDEX(Journaux!$E$5:$E$18,MATCH("2024|"&amp;A707,Journaux!$A$5:$A$18,0))</f>
      </c>
      <c r="P707" s="0">
        <f>INDEX(Comptes!$H$5:$H$42,MATCH(E707,Comptes!$A$5:$A$42,0))</f>
      </c>
      <c r="Q707" s="0" t="inlineStr">
        <is>
          <t xml:space="preserve">4</t>
        </is>
      </c>
    </row>
    <row r="708">
      <c r="A708" s="4" t="inlineStr">
        <is>
          <t xml:space="preserve">BQ</t>
        </is>
      </c>
      <c r="B708" s="0" t="inlineStr">
        <is>
          <t xml:space="preserve">Banque Fictive</t>
        </is>
      </c>
      <c r="C708" s="0" t="inlineStr">
        <is>
          <t xml:space="preserve">BQ00029</t>
        </is>
      </c>
      <c r="D708" s="10">
        <v>45575</v>
      </c>
      <c r="E708" s="4" t="inlineStr">
        <is>
          <t xml:space="preserve">164000</t>
        </is>
      </c>
      <c r="F708" s="0" t="inlineStr">
        <is>
          <t xml:space="preserve">Emprunts aupres des etablissements de credit</t>
        </is>
      </c>
      <c r="G708" s="0" t="inlineStr">
        <is>
          <t xml:space="preserve">ECH202410</t>
        </is>
      </c>
      <c r="H708" s="0" t="inlineStr">
        <is>
          <t xml:space="preserve">Echeance emprunt 10/2024</t>
        </is>
      </c>
      <c r="I708" s="8">
        <v>2000</v>
      </c>
      <c r="J708" s="8">
        <v>0</v>
      </c>
      <c r="K708" s="0"/>
      <c r="L708" s="0"/>
      <c r="M708" s="8">
        <f>I708-J708</f>
      </c>
      <c r="N708" s="0" t="inlineStr">
        <is>
          <t xml:space="preserve">2024-10</t>
        </is>
      </c>
      <c r="O708" s="0">
        <f>INDEX(Journaux!$E$5:$E$18,MATCH("2024|"&amp;A708,Journaux!$A$5:$A$18,0))</f>
      </c>
      <c r="P708" s="0">
        <f>INDEX(Comptes!$H$5:$H$42,MATCH(E708,Comptes!$A$5:$A$42,0))</f>
      </c>
      <c r="Q708" s="0" t="inlineStr">
        <is>
          <t xml:space="preserve">1</t>
        </is>
      </c>
    </row>
    <row r="709">
      <c r="A709" s="4" t="inlineStr">
        <is>
          <t xml:space="preserve">BQ</t>
        </is>
      </c>
      <c r="B709" s="0" t="inlineStr">
        <is>
          <t xml:space="preserve">Banque Fictive</t>
        </is>
      </c>
      <c r="C709" s="0" t="inlineStr">
        <is>
          <t xml:space="preserve">BQ00029</t>
        </is>
      </c>
      <c r="D709" s="10">
        <v>45575</v>
      </c>
      <c r="E709" s="4" t="inlineStr">
        <is>
          <t xml:space="preserve">661100</t>
        </is>
      </c>
      <c r="F709" s="0" t="inlineStr">
        <is>
          <t xml:space="preserve">Interets des emprunts</t>
        </is>
      </c>
      <c r="G709" s="0" t="inlineStr">
        <is>
          <t xml:space="preserve">ECH202410</t>
        </is>
      </c>
      <c r="H709" s="0" t="inlineStr">
        <is>
          <t xml:space="preserve">Echeance emprunt 10/2024</t>
        </is>
      </c>
      <c r="I709" s="8">
        <v>240</v>
      </c>
      <c r="J709" s="8">
        <v>0</v>
      </c>
      <c r="K709" s="0"/>
      <c r="L709" s="0"/>
      <c r="M709" s="8">
        <f>I709-J709</f>
      </c>
      <c r="N709" s="0" t="inlineStr">
        <is>
          <t xml:space="preserve">2024-10</t>
        </is>
      </c>
      <c r="O709" s="0">
        <f>INDEX(Journaux!$E$5:$E$18,MATCH("2024|"&amp;A709,Journaux!$A$5:$A$18,0))</f>
      </c>
      <c r="P709" s="0">
        <f>INDEX(Comptes!$H$5:$H$42,MATCH(E709,Comptes!$A$5:$A$42,0))</f>
      </c>
      <c r="Q709" s="0" t="inlineStr">
        <is>
          <t xml:space="preserve">6</t>
        </is>
      </c>
    </row>
    <row r="710">
      <c r="A710" s="4" t="inlineStr">
        <is>
          <t xml:space="preserve">BQ</t>
        </is>
      </c>
      <c r="B710" s="0" t="inlineStr">
        <is>
          <t xml:space="preserve">Banque Fictive</t>
        </is>
      </c>
      <c r="C710" s="0" t="inlineStr">
        <is>
          <t xml:space="preserve">BQ00029</t>
        </is>
      </c>
      <c r="D710" s="10">
        <v>45575</v>
      </c>
      <c r="E710" s="4" t="inlineStr">
        <is>
          <t xml:space="preserve">512000</t>
        </is>
      </c>
      <c r="F710" s="0" t="inlineStr">
        <is>
          <t xml:space="preserve">Banque Fictive</t>
        </is>
      </c>
      <c r="G710" s="0" t="inlineStr">
        <is>
          <t xml:space="preserve">ECH202410</t>
        </is>
      </c>
      <c r="H710" s="0" t="inlineStr">
        <is>
          <t xml:space="preserve">Echeance emprunt 10/2024</t>
        </is>
      </c>
      <c r="I710" s="8">
        <v>0</v>
      </c>
      <c r="J710" s="8">
        <v>2240</v>
      </c>
      <c r="K710" s="0"/>
      <c r="L710" s="0"/>
      <c r="M710" s="8">
        <f>I710-J710</f>
      </c>
      <c r="N710" s="0" t="inlineStr">
        <is>
          <t xml:space="preserve">2024-10</t>
        </is>
      </c>
      <c r="O710" s="0">
        <f>INDEX(Journaux!$E$5:$E$18,MATCH("2024|"&amp;A710,Journaux!$A$5:$A$18,0))</f>
      </c>
      <c r="P710" s="0">
        <f>INDEX(Comptes!$H$5:$H$42,MATCH(E710,Comptes!$A$5:$A$42,0))</f>
      </c>
      <c r="Q710" s="0" t="inlineStr">
        <is>
          <t xml:space="preserve">5</t>
        </is>
      </c>
    </row>
    <row r="711">
      <c r="A711" s="4" t="inlineStr">
        <is>
          <t xml:space="preserve">BQ</t>
        </is>
      </c>
      <c r="B711" s="0" t="inlineStr">
        <is>
          <t xml:space="preserve">Banque Fictive</t>
        </is>
      </c>
      <c r="C711" s="0" t="inlineStr">
        <is>
          <t xml:space="preserve">BQ00106</t>
        </is>
      </c>
      <c r="D711" s="10">
        <v>45575</v>
      </c>
      <c r="E711" s="4" t="inlineStr">
        <is>
          <t xml:space="preserve">512000</t>
        </is>
      </c>
      <c r="F711" s="0" t="inlineStr">
        <is>
          <t xml:space="preserve">Banque Fictive</t>
        </is>
      </c>
      <c r="G711" s="0" t="inlineStr">
        <is>
          <t xml:space="preserve">ENC-FA2024-0041</t>
        </is>
      </c>
      <c r="H711" s="0" t="inlineStr">
        <is>
          <t xml:space="preserve">Reglement client Coworking Atelier 9 FA2024-0041</t>
        </is>
      </c>
      <c r="I711" s="8">
        <v>31077.55</v>
      </c>
      <c r="J711" s="8">
        <v>0</v>
      </c>
      <c r="K711" s="0"/>
      <c r="L711" s="0"/>
      <c r="M711" s="8">
        <f>I711-J711</f>
      </c>
      <c r="N711" s="0" t="inlineStr">
        <is>
          <t xml:space="preserve">2024-10</t>
        </is>
      </c>
      <c r="O711" s="0">
        <f>INDEX(Journaux!$E$5:$E$18,MATCH("2024|"&amp;A711,Journaux!$A$5:$A$18,0))</f>
      </c>
      <c r="P711" s="0">
        <f>INDEX(Comptes!$H$5:$H$42,MATCH(E711,Comptes!$A$5:$A$42,0))</f>
      </c>
      <c r="Q711" s="0" t="inlineStr">
        <is>
          <t xml:space="preserve">5</t>
        </is>
      </c>
    </row>
    <row r="712">
      <c r="A712" s="4" t="inlineStr">
        <is>
          <t xml:space="preserve">BQ</t>
        </is>
      </c>
      <c r="B712" s="0" t="inlineStr">
        <is>
          <t xml:space="preserve">Banque Fictive</t>
        </is>
      </c>
      <c r="C712" s="0" t="inlineStr">
        <is>
          <t xml:space="preserve">BQ00106</t>
        </is>
      </c>
      <c r="D712" s="10">
        <v>45575</v>
      </c>
      <c r="E712" s="4" t="inlineStr">
        <is>
          <t xml:space="preserve">411000</t>
        </is>
      </c>
      <c r="F712" s="0" t="inlineStr">
        <is>
          <t xml:space="preserve">Clients</t>
        </is>
      </c>
      <c r="G712" s="0" t="inlineStr">
        <is>
          <t xml:space="preserve">ENC-FA2024-0041</t>
        </is>
      </c>
      <c r="H712" s="0" t="inlineStr">
        <is>
          <t xml:space="preserve">Reglement client Coworking Atelier 9 FA2024-0041</t>
        </is>
      </c>
      <c r="I712" s="8">
        <v>0</v>
      </c>
      <c r="J712" s="8">
        <v>31077.55</v>
      </c>
      <c r="K712" s="0" t="inlineStr">
        <is>
          <t xml:space="preserve">AAT</t>
        </is>
      </c>
      <c r="L712" s="0" t="inlineStr">
        <is>
          <t xml:space="preserve">Coworking Atelier 9</t>
        </is>
      </c>
      <c r="M712" s="8">
        <f>I712-J712</f>
      </c>
      <c r="N712" s="0" t="inlineStr">
        <is>
          <t xml:space="preserve">2024-10</t>
        </is>
      </c>
      <c r="O712" s="0">
        <f>INDEX(Journaux!$E$5:$E$18,MATCH("2024|"&amp;A712,Journaux!$A$5:$A$18,0))</f>
      </c>
      <c r="P712" s="0">
        <f>INDEX(Comptes!$H$5:$H$42,MATCH(E712,Comptes!$A$5:$A$42,0))</f>
      </c>
      <c r="Q712" s="0" t="inlineStr">
        <is>
          <t xml:space="preserve">4</t>
        </is>
      </c>
      <c r="R712" s="7" t="inlineStr">
        <is>
          <t xml:space="preserve">411000|C008</t>
        </is>
      </c>
    </row>
    <row r="713">
      <c r="A713" s="4" t="inlineStr">
        <is>
          <t xml:space="preserve">BQ</t>
        </is>
      </c>
      <c r="B713" s="0" t="inlineStr">
        <is>
          <t xml:space="preserve">Banque Fictive</t>
        </is>
      </c>
      <c r="C713" s="0" t="inlineStr">
        <is>
          <t xml:space="preserve">BQ00169</t>
        </is>
      </c>
      <c r="D713" s="10">
        <v>45579</v>
      </c>
      <c r="E713" s="4" t="inlineStr">
        <is>
          <t xml:space="preserve">401000</t>
        </is>
      </c>
      <c r="F713" s="0" t="inlineStr">
        <is>
          <t xml:space="preserve">Fournisseurs</t>
        </is>
      </c>
      <c r="G713" s="0" t="inlineStr">
        <is>
          <t xml:space="preserve">DEC-F001-2024081</t>
        </is>
      </c>
      <c r="H713" s="0" t="inlineStr">
        <is>
          <t xml:space="preserve">Reglement fournisseur Scierie du Nord F001-2024081</t>
        </is>
      </c>
      <c r="I713" s="8">
        <v>36474.56</v>
      </c>
      <c r="J713" s="8">
        <v>0</v>
      </c>
      <c r="K713" s="0" t="inlineStr">
        <is>
          <t xml:space="preserve">ADE</t>
        </is>
      </c>
      <c r="L713" s="0" t="inlineStr">
        <is>
          <t xml:space="preserve">Scierie du Nord</t>
        </is>
      </c>
      <c r="M713" s="8">
        <f>I713-J713</f>
      </c>
      <c r="N713" s="0" t="inlineStr">
        <is>
          <t xml:space="preserve">2024-10</t>
        </is>
      </c>
      <c r="O713" s="0">
        <f>INDEX(Journaux!$E$5:$E$18,MATCH("2024|"&amp;A713,Journaux!$A$5:$A$18,0))</f>
      </c>
      <c r="P713" s="0">
        <f>INDEX(Comptes!$H$5:$H$42,MATCH(E713,Comptes!$A$5:$A$42,0))</f>
      </c>
      <c r="Q713" s="0" t="inlineStr">
        <is>
          <t xml:space="preserve">4</t>
        </is>
      </c>
      <c r="R713" s="7" t="inlineStr">
        <is>
          <t xml:space="preserve">401000|F001</t>
        </is>
      </c>
    </row>
    <row r="714">
      <c r="A714" s="4" t="inlineStr">
        <is>
          <t xml:space="preserve">BQ</t>
        </is>
      </c>
      <c r="B714" s="0" t="inlineStr">
        <is>
          <t xml:space="preserve">Banque Fictive</t>
        </is>
      </c>
      <c r="C714" s="0" t="inlineStr">
        <is>
          <t xml:space="preserve">BQ00169</t>
        </is>
      </c>
      <c r="D714" s="10">
        <v>45579</v>
      </c>
      <c r="E714" s="4" t="inlineStr">
        <is>
          <t xml:space="preserve">512000</t>
        </is>
      </c>
      <c r="F714" s="0" t="inlineStr">
        <is>
          <t xml:space="preserve">Banque Fictive</t>
        </is>
      </c>
      <c r="G714" s="0" t="inlineStr">
        <is>
          <t xml:space="preserve">DEC-F001-2024081</t>
        </is>
      </c>
      <c r="H714" s="0" t="inlineStr">
        <is>
          <t xml:space="preserve">Reglement fournisseur Scierie du Nord F001-2024081</t>
        </is>
      </c>
      <c r="I714" s="8">
        <v>0</v>
      </c>
      <c r="J714" s="8">
        <v>36474.56</v>
      </c>
      <c r="K714" s="0"/>
      <c r="L714" s="0"/>
      <c r="M714" s="8">
        <f>I714-J714</f>
      </c>
      <c r="N714" s="0" t="inlineStr">
        <is>
          <t xml:space="preserve">2024-10</t>
        </is>
      </c>
      <c r="O714" s="0">
        <f>INDEX(Journaux!$E$5:$E$18,MATCH("2024|"&amp;A714,Journaux!$A$5:$A$18,0))</f>
      </c>
      <c r="P714" s="0">
        <f>INDEX(Comptes!$H$5:$H$42,MATCH(E714,Comptes!$A$5:$A$42,0))</f>
      </c>
      <c r="Q714" s="0" t="inlineStr">
        <is>
          <t xml:space="preserve">5</t>
        </is>
      </c>
    </row>
    <row r="715">
      <c r="A715" s="4" t="inlineStr">
        <is>
          <t xml:space="preserve">BQ</t>
        </is>
      </c>
      <c r="B715" s="0" t="inlineStr">
        <is>
          <t xml:space="preserve">Banque Fictive</t>
        </is>
      </c>
      <c r="C715" s="0" t="inlineStr">
        <is>
          <t xml:space="preserve">BQ00055</t>
        </is>
      </c>
      <c r="D715" s="10">
        <v>45580</v>
      </c>
      <c r="E715" s="4" t="inlineStr">
        <is>
          <t xml:space="preserve">431000</t>
        </is>
      </c>
      <c r="F715" s="0" t="inlineStr">
        <is>
          <t xml:space="preserve">Securite sociale</t>
        </is>
      </c>
      <c r="G715" s="0" t="inlineStr">
        <is>
          <t xml:space="preserve">URSSAF202409</t>
        </is>
      </c>
      <c r="H715" s="0" t="inlineStr">
        <is>
          <t xml:space="preserve">Reglement URSSAF 09/2024</t>
        </is>
      </c>
      <c r="I715" s="8">
        <v>33784.88</v>
      </c>
      <c r="J715" s="8">
        <v>0</v>
      </c>
      <c r="K715" s="0"/>
      <c r="L715" s="0"/>
      <c r="M715" s="8">
        <f>I715-J715</f>
      </c>
      <c r="N715" s="0" t="inlineStr">
        <is>
          <t xml:space="preserve">2024-10</t>
        </is>
      </c>
      <c r="O715" s="0">
        <f>INDEX(Journaux!$E$5:$E$18,MATCH("2024|"&amp;A715,Journaux!$A$5:$A$18,0))</f>
      </c>
      <c r="P715" s="0">
        <f>INDEX(Comptes!$H$5:$H$42,MATCH(E715,Comptes!$A$5:$A$42,0))</f>
      </c>
      <c r="Q715" s="0" t="inlineStr">
        <is>
          <t xml:space="preserve">4</t>
        </is>
      </c>
    </row>
    <row r="716">
      <c r="A716" s="4" t="inlineStr">
        <is>
          <t xml:space="preserve">BQ</t>
        </is>
      </c>
      <c r="B716" s="0" t="inlineStr">
        <is>
          <t xml:space="preserve">Banque Fictive</t>
        </is>
      </c>
      <c r="C716" s="0" t="inlineStr">
        <is>
          <t xml:space="preserve">BQ00055</t>
        </is>
      </c>
      <c r="D716" s="10">
        <v>45580</v>
      </c>
      <c r="E716" s="4" t="inlineStr">
        <is>
          <t xml:space="preserve">512000</t>
        </is>
      </c>
      <c r="F716" s="0" t="inlineStr">
        <is>
          <t xml:space="preserve">Banque Fictive</t>
        </is>
      </c>
      <c r="G716" s="0" t="inlineStr">
        <is>
          <t xml:space="preserve">URSSAF202409</t>
        </is>
      </c>
      <c r="H716" s="0" t="inlineStr">
        <is>
          <t xml:space="preserve">Reglement URSSAF 09/2024</t>
        </is>
      </c>
      <c r="I716" s="8">
        <v>0</v>
      </c>
      <c r="J716" s="8">
        <v>33784.88</v>
      </c>
      <c r="K716" s="0"/>
      <c r="L716" s="0"/>
      <c r="M716" s="8">
        <f>I716-J716</f>
      </c>
      <c r="N716" s="0" t="inlineStr">
        <is>
          <t xml:space="preserve">2024-10</t>
        </is>
      </c>
      <c r="O716" s="0">
        <f>INDEX(Journaux!$E$5:$E$18,MATCH("2024|"&amp;A716,Journaux!$A$5:$A$18,0))</f>
      </c>
      <c r="P716" s="0">
        <f>INDEX(Comptes!$H$5:$H$42,MATCH(E716,Comptes!$A$5:$A$42,0))</f>
      </c>
      <c r="Q716" s="0" t="inlineStr">
        <is>
          <t xml:space="preserve">5</t>
        </is>
      </c>
    </row>
    <row r="717">
      <c r="A717" s="4" t="inlineStr">
        <is>
          <t xml:space="preserve">BQ</t>
        </is>
      </c>
      <c r="B717" s="0" t="inlineStr">
        <is>
          <t xml:space="preserve">Banque Fictive</t>
        </is>
      </c>
      <c r="C717" s="0" t="inlineStr">
        <is>
          <t xml:space="preserve">BQ00109</t>
        </is>
      </c>
      <c r="D717" s="10">
        <v>45581</v>
      </c>
      <c r="E717" s="4" t="inlineStr">
        <is>
          <t xml:space="preserve">512000</t>
        </is>
      </c>
      <c r="F717" s="0" t="inlineStr">
        <is>
          <t xml:space="preserve">Banque Fictive</t>
        </is>
      </c>
      <c r="G717" s="0" t="inlineStr">
        <is>
          <t xml:space="preserve">ENC-FA2024-0044</t>
        </is>
      </c>
      <c r="H717" s="0" t="inlineStr">
        <is>
          <t xml:space="preserve">Reglement client Cabinet Varenne Associes FA2024-0044</t>
        </is>
      </c>
      <c r="I717" s="8">
        <v>51291.46</v>
      </c>
      <c r="J717" s="8">
        <v>0</v>
      </c>
      <c r="K717" s="0"/>
      <c r="L717" s="0"/>
      <c r="M717" s="8">
        <f>I717-J717</f>
      </c>
      <c r="N717" s="0" t="inlineStr">
        <is>
          <t xml:space="preserve">2024-10</t>
        </is>
      </c>
      <c r="O717" s="0">
        <f>INDEX(Journaux!$E$5:$E$18,MATCH("2024|"&amp;A717,Journaux!$A$5:$A$18,0))</f>
      </c>
      <c r="P717" s="0">
        <f>INDEX(Comptes!$H$5:$H$42,MATCH(E717,Comptes!$A$5:$A$42,0))</f>
      </c>
      <c r="Q717" s="0" t="inlineStr">
        <is>
          <t xml:space="preserve">5</t>
        </is>
      </c>
    </row>
    <row r="718">
      <c r="A718" s="4" t="inlineStr">
        <is>
          <t xml:space="preserve">BQ</t>
        </is>
      </c>
      <c r="B718" s="0" t="inlineStr">
        <is>
          <t xml:space="preserve">Banque Fictive</t>
        </is>
      </c>
      <c r="C718" s="0" t="inlineStr">
        <is>
          <t xml:space="preserve">BQ00109</t>
        </is>
      </c>
      <c r="D718" s="10">
        <v>45581</v>
      </c>
      <c r="E718" s="4" t="inlineStr">
        <is>
          <t xml:space="preserve">411000</t>
        </is>
      </c>
      <c r="F718" s="0" t="inlineStr">
        <is>
          <t xml:space="preserve">Clients</t>
        </is>
      </c>
      <c r="G718" s="0" t="inlineStr">
        <is>
          <t xml:space="preserve">ENC-FA2024-0044</t>
        </is>
      </c>
      <c r="H718" s="0" t="inlineStr">
        <is>
          <t xml:space="preserve">Reglement client Cabinet Varenne Associes FA2024-0044</t>
        </is>
      </c>
      <c r="I718" s="8">
        <v>0</v>
      </c>
      <c r="J718" s="8">
        <v>51291.46</v>
      </c>
      <c r="K718" s="0" t="inlineStr">
        <is>
          <t xml:space="preserve">AAW</t>
        </is>
      </c>
      <c r="L718" s="0" t="inlineStr">
        <is>
          <t xml:space="preserve">Cabinet Varenne Associes</t>
        </is>
      </c>
      <c r="M718" s="8">
        <f>I718-J718</f>
      </c>
      <c r="N718" s="0" t="inlineStr">
        <is>
          <t xml:space="preserve">2024-10</t>
        </is>
      </c>
      <c r="O718" s="0">
        <f>INDEX(Journaux!$E$5:$E$18,MATCH("2024|"&amp;A718,Journaux!$A$5:$A$18,0))</f>
      </c>
      <c r="P718" s="0">
        <f>INDEX(Comptes!$H$5:$H$42,MATCH(E718,Comptes!$A$5:$A$42,0))</f>
      </c>
      <c r="Q718" s="0" t="inlineStr">
        <is>
          <t xml:space="preserve">4</t>
        </is>
      </c>
      <c r="R718" s="7" t="inlineStr">
        <is>
          <t xml:space="preserve">411000|C004</t>
        </is>
      </c>
    </row>
    <row r="719">
      <c r="A719" s="4" t="inlineStr">
        <is>
          <t xml:space="preserve">AC</t>
        </is>
      </c>
      <c r="B719" s="0" t="inlineStr">
        <is>
          <t xml:space="preserve">Journal des achats</t>
        </is>
      </c>
      <c r="C719" s="0" t="inlineStr">
        <is>
          <t xml:space="preserve">AC00056</t>
        </is>
      </c>
      <c r="D719" s="10">
        <v>45582</v>
      </c>
      <c r="E719" s="4" t="inlineStr">
        <is>
          <t xml:space="preserve">601000</t>
        </is>
      </c>
      <c r="F719" s="0" t="inlineStr">
        <is>
          <t xml:space="preserve">Achats de matieres premieres</t>
        </is>
      </c>
      <c r="G719" s="0" t="inlineStr">
        <is>
          <t xml:space="preserve">F002-2024101</t>
        </is>
      </c>
      <c r="H719" s="0" t="inlineStr">
        <is>
          <t xml:space="preserve">Facture Quincaillerie Pro Est F002-2024101</t>
        </is>
      </c>
      <c r="I719" s="8">
        <v>44580.6</v>
      </c>
      <c r="J719" s="8">
        <v>0</v>
      </c>
      <c r="K719" s="0"/>
      <c r="L719" s="0"/>
      <c r="M719" s="8">
        <f>I719-J719</f>
      </c>
      <c r="N719" s="0" t="inlineStr">
        <is>
          <t xml:space="preserve">2024-10</t>
        </is>
      </c>
      <c r="O719" s="0">
        <f>INDEX(Journaux!$E$5:$E$18,MATCH("2024|"&amp;A719,Journaux!$A$5:$A$18,0))</f>
      </c>
      <c r="P719" s="0">
        <f>INDEX(Comptes!$H$5:$H$42,MATCH(E719,Comptes!$A$5:$A$42,0))</f>
      </c>
      <c r="Q719" s="0" t="inlineStr">
        <is>
          <t xml:space="preserve">6</t>
        </is>
      </c>
    </row>
    <row r="720">
      <c r="A720" s="4" t="inlineStr">
        <is>
          <t xml:space="preserve">AC</t>
        </is>
      </c>
      <c r="B720" s="0" t="inlineStr">
        <is>
          <t xml:space="preserve">Journal des achats</t>
        </is>
      </c>
      <c r="C720" s="0" t="inlineStr">
        <is>
          <t xml:space="preserve">AC00056</t>
        </is>
      </c>
      <c r="D720" s="10">
        <v>45582</v>
      </c>
      <c r="E720" s="4" t="inlineStr">
        <is>
          <t xml:space="preserve">445660</t>
        </is>
      </c>
      <c r="F720" s="0" t="inlineStr">
        <is>
          <t xml:space="preserve">TVA deductible sur ABS</t>
        </is>
      </c>
      <c r="G720" s="0" t="inlineStr">
        <is>
          <t xml:space="preserve">F002-2024101</t>
        </is>
      </c>
      <c r="H720" s="0" t="inlineStr">
        <is>
          <t xml:space="preserve">Facture Quincaillerie Pro Est F002-2024101</t>
        </is>
      </c>
      <c r="I720" s="8">
        <v>8916.12</v>
      </c>
      <c r="J720" s="8">
        <v>0</v>
      </c>
      <c r="K720" s="0"/>
      <c r="L720" s="0"/>
      <c r="M720" s="8">
        <f>I720-J720</f>
      </c>
      <c r="N720" s="0" t="inlineStr">
        <is>
          <t xml:space="preserve">2024-10</t>
        </is>
      </c>
      <c r="O720" s="0">
        <f>INDEX(Journaux!$E$5:$E$18,MATCH("2024|"&amp;A720,Journaux!$A$5:$A$18,0))</f>
      </c>
      <c r="P720" s="0">
        <f>INDEX(Comptes!$H$5:$H$42,MATCH(E720,Comptes!$A$5:$A$42,0))</f>
      </c>
      <c r="Q720" s="0" t="inlineStr">
        <is>
          <t xml:space="preserve">4</t>
        </is>
      </c>
    </row>
    <row r="721">
      <c r="A721" s="4" t="inlineStr">
        <is>
          <t xml:space="preserve">AC</t>
        </is>
      </c>
      <c r="B721" s="0" t="inlineStr">
        <is>
          <t xml:space="preserve">Journal des achats</t>
        </is>
      </c>
      <c r="C721" s="0" t="inlineStr">
        <is>
          <t xml:space="preserve">AC00056</t>
        </is>
      </c>
      <c r="D721" s="10">
        <v>45582</v>
      </c>
      <c r="E721" s="4" t="inlineStr">
        <is>
          <t xml:space="preserve">401000</t>
        </is>
      </c>
      <c r="F721" s="0" t="inlineStr">
        <is>
          <t xml:space="preserve">Fournisseurs</t>
        </is>
      </c>
      <c r="G721" s="0" t="inlineStr">
        <is>
          <t xml:space="preserve">F002-2024101</t>
        </is>
      </c>
      <c r="H721" s="0" t="inlineStr">
        <is>
          <t xml:space="preserve">Facture Quincaillerie Pro Est F002-2024101</t>
        </is>
      </c>
      <c r="I721" s="8">
        <v>0</v>
      </c>
      <c r="J721" s="8">
        <v>53496.72</v>
      </c>
      <c r="K721" s="0" t="inlineStr">
        <is>
          <t xml:space="preserve">ADP</t>
        </is>
      </c>
      <c r="L721" s="0" t="inlineStr">
        <is>
          <t xml:space="preserve">Quincaillerie Pro Est</t>
        </is>
      </c>
      <c r="M721" s="8">
        <f>I721-J721</f>
      </c>
      <c r="N721" s="0" t="inlineStr">
        <is>
          <t xml:space="preserve">2024-10</t>
        </is>
      </c>
      <c r="O721" s="0">
        <f>INDEX(Journaux!$E$5:$E$18,MATCH("2024|"&amp;A721,Journaux!$A$5:$A$18,0))</f>
      </c>
      <c r="P721" s="0">
        <f>INDEX(Comptes!$H$5:$H$42,MATCH(E721,Comptes!$A$5:$A$42,0))</f>
      </c>
      <c r="Q721" s="0" t="inlineStr">
        <is>
          <t xml:space="preserve">4</t>
        </is>
      </c>
      <c r="R721" s="7" t="inlineStr">
        <is>
          <t xml:space="preserve">401000|F002</t>
        </is>
      </c>
    </row>
    <row r="722">
      <c r="A722" s="4" t="inlineStr">
        <is>
          <t xml:space="preserve">BQ</t>
        </is>
      </c>
      <c r="B722" s="0" t="inlineStr">
        <is>
          <t xml:space="preserve">Banque Fictive</t>
        </is>
      </c>
      <c r="C722" s="0" t="inlineStr">
        <is>
          <t xml:space="preserve">BQ00056</t>
        </is>
      </c>
      <c r="D722" s="10">
        <v>45585</v>
      </c>
      <c r="E722" s="4" t="inlineStr">
        <is>
          <t xml:space="preserve">445510</t>
        </is>
      </c>
      <c r="F722" s="0" t="inlineStr">
        <is>
          <t xml:space="preserve">TVA a decaisser</t>
        </is>
      </c>
      <c r="G722" s="0" t="inlineStr">
        <is>
          <t xml:space="preserve">TVA202409</t>
        </is>
      </c>
      <c r="H722" s="0" t="inlineStr">
        <is>
          <t xml:space="preserve">Reglement TVA 09/2024</t>
        </is>
      </c>
      <c r="I722" s="8">
        <v>16586.18</v>
      </c>
      <c r="J722" s="8">
        <v>0</v>
      </c>
      <c r="K722" s="0"/>
      <c r="L722" s="0"/>
      <c r="M722" s="8">
        <f>I722-J722</f>
      </c>
      <c r="N722" s="0" t="inlineStr">
        <is>
          <t xml:space="preserve">2024-10</t>
        </is>
      </c>
      <c r="O722" s="0">
        <f>INDEX(Journaux!$E$5:$E$18,MATCH("2024|"&amp;A722,Journaux!$A$5:$A$18,0))</f>
      </c>
      <c r="P722" s="0">
        <f>INDEX(Comptes!$H$5:$H$42,MATCH(E722,Comptes!$A$5:$A$42,0))</f>
      </c>
      <c r="Q722" s="0" t="inlineStr">
        <is>
          <t xml:space="preserve">4</t>
        </is>
      </c>
    </row>
    <row r="723">
      <c r="A723" s="4" t="inlineStr">
        <is>
          <t xml:space="preserve">BQ</t>
        </is>
      </c>
      <c r="B723" s="0" t="inlineStr">
        <is>
          <t xml:space="preserve">Banque Fictive</t>
        </is>
      </c>
      <c r="C723" s="0" t="inlineStr">
        <is>
          <t xml:space="preserve">BQ00056</t>
        </is>
      </c>
      <c r="D723" s="10">
        <v>45585</v>
      </c>
      <c r="E723" s="4" t="inlineStr">
        <is>
          <t xml:space="preserve">512000</t>
        </is>
      </c>
      <c r="F723" s="0" t="inlineStr">
        <is>
          <t xml:space="preserve">Banque Fictive</t>
        </is>
      </c>
      <c r="G723" s="0" t="inlineStr">
        <is>
          <t xml:space="preserve">TVA202409</t>
        </is>
      </c>
      <c r="H723" s="0" t="inlineStr">
        <is>
          <t xml:space="preserve">Reglement TVA 09/2024</t>
        </is>
      </c>
      <c r="I723" s="8">
        <v>0</v>
      </c>
      <c r="J723" s="8">
        <v>16586.18</v>
      </c>
      <c r="K723" s="0"/>
      <c r="L723" s="0"/>
      <c r="M723" s="8">
        <f>I723-J723</f>
      </c>
      <c r="N723" s="0" t="inlineStr">
        <is>
          <t xml:space="preserve">2024-10</t>
        </is>
      </c>
      <c r="O723" s="0">
        <f>INDEX(Journaux!$E$5:$E$18,MATCH("2024|"&amp;A723,Journaux!$A$5:$A$18,0))</f>
      </c>
      <c r="P723" s="0">
        <f>INDEX(Comptes!$H$5:$H$42,MATCH(E723,Comptes!$A$5:$A$42,0))</f>
      </c>
      <c r="Q723" s="0" t="inlineStr">
        <is>
          <t xml:space="preserve">5</t>
        </is>
      </c>
    </row>
    <row r="724">
      <c r="A724" s="4" t="inlineStr">
        <is>
          <t xml:space="preserve">BQ</t>
        </is>
      </c>
      <c r="B724" s="0" t="inlineStr">
        <is>
          <t xml:space="preserve">Banque Fictive</t>
        </is>
      </c>
      <c r="C724" s="0" t="inlineStr">
        <is>
          <t xml:space="preserve">BQ00110</t>
        </is>
      </c>
      <c r="D724" s="10">
        <v>45586</v>
      </c>
      <c r="E724" s="4" t="inlineStr">
        <is>
          <t xml:space="preserve">512000</t>
        </is>
      </c>
      <c r="F724" s="0" t="inlineStr">
        <is>
          <t xml:space="preserve">Banque Fictive</t>
        </is>
      </c>
      <c r="G724" s="0" t="inlineStr">
        <is>
          <t xml:space="preserve">ENC-FA2024-0045</t>
        </is>
      </c>
      <c r="H724" s="0" t="inlineStr">
        <is>
          <t xml:space="preserve">Reglement client Residence Bel Air FA2024-0045</t>
        </is>
      </c>
      <c r="I724" s="8">
        <v>48949.72</v>
      </c>
      <c r="J724" s="8">
        <v>0</v>
      </c>
      <c r="K724" s="0"/>
      <c r="L724" s="0"/>
      <c r="M724" s="8">
        <f>I724-J724</f>
      </c>
      <c r="N724" s="0" t="inlineStr">
        <is>
          <t xml:space="preserve">2024-10</t>
        </is>
      </c>
      <c r="O724" s="0">
        <f>INDEX(Journaux!$E$5:$E$18,MATCH("2024|"&amp;A724,Journaux!$A$5:$A$18,0))</f>
      </c>
      <c r="P724" s="0">
        <f>INDEX(Comptes!$H$5:$H$42,MATCH(E724,Comptes!$A$5:$A$42,0))</f>
      </c>
      <c r="Q724" s="0" t="inlineStr">
        <is>
          <t xml:space="preserve">5</t>
        </is>
      </c>
    </row>
    <row r="725">
      <c r="A725" s="4" t="inlineStr">
        <is>
          <t xml:space="preserve">BQ</t>
        </is>
      </c>
      <c r="B725" s="0" t="inlineStr">
        <is>
          <t xml:space="preserve">Banque Fictive</t>
        </is>
      </c>
      <c r="C725" s="0" t="inlineStr">
        <is>
          <t xml:space="preserve">BQ00110</t>
        </is>
      </c>
      <c r="D725" s="10">
        <v>45586</v>
      </c>
      <c r="E725" s="4" t="inlineStr">
        <is>
          <t xml:space="preserve">411000</t>
        </is>
      </c>
      <c r="F725" s="0" t="inlineStr">
        <is>
          <t xml:space="preserve">Clients</t>
        </is>
      </c>
      <c r="G725" s="0" t="inlineStr">
        <is>
          <t xml:space="preserve">ENC-FA2024-0045</t>
        </is>
      </c>
      <c r="H725" s="0" t="inlineStr">
        <is>
          <t xml:space="preserve">Reglement client Residence Bel Air FA2024-0045</t>
        </is>
      </c>
      <c r="I725" s="8">
        <v>0</v>
      </c>
      <c r="J725" s="8">
        <v>48949.72</v>
      </c>
      <c r="K725" s="0" t="inlineStr">
        <is>
          <t xml:space="preserve">AAX</t>
        </is>
      </c>
      <c r="L725" s="0" t="inlineStr">
        <is>
          <t xml:space="preserve">Residence Bel Air</t>
        </is>
      </c>
      <c r="M725" s="8">
        <f>I725-J725</f>
      </c>
      <c r="N725" s="0" t="inlineStr">
        <is>
          <t xml:space="preserve">2024-10</t>
        </is>
      </c>
      <c r="O725" s="0">
        <f>INDEX(Journaux!$E$5:$E$18,MATCH("2024|"&amp;A725,Journaux!$A$5:$A$18,0))</f>
      </c>
      <c r="P725" s="0">
        <f>INDEX(Comptes!$H$5:$H$42,MATCH(E725,Comptes!$A$5:$A$42,0))</f>
      </c>
      <c r="Q725" s="0" t="inlineStr">
        <is>
          <t xml:space="preserve">4</t>
        </is>
      </c>
      <c r="R725" s="7" t="inlineStr">
        <is>
          <t xml:space="preserve">411000|C003</t>
        </is>
      </c>
    </row>
    <row r="726">
      <c r="A726" s="4" t="inlineStr">
        <is>
          <t xml:space="preserve">BQ</t>
        </is>
      </c>
      <c r="B726" s="0" t="inlineStr">
        <is>
          <t xml:space="preserve">Banque Fictive</t>
        </is>
      </c>
      <c r="C726" s="0" t="inlineStr">
        <is>
          <t xml:space="preserve">BQ00170</t>
        </is>
      </c>
      <c r="D726" s="10">
        <v>45586</v>
      </c>
      <c r="E726" s="4" t="inlineStr">
        <is>
          <t xml:space="preserve">401000</t>
        </is>
      </c>
      <c r="F726" s="0" t="inlineStr">
        <is>
          <t xml:space="preserve">Fournisseurs</t>
        </is>
      </c>
      <c r="G726" s="0" t="inlineStr">
        <is>
          <t xml:space="preserve">DEC-F003-2024082</t>
        </is>
      </c>
      <c r="H726" s="0" t="inlineStr">
        <is>
          <t xml:space="preserve">Reglement fournisseur Vernis et Finitions F003-2024082</t>
        </is>
      </c>
      <c r="I726" s="8">
        <v>22325.44</v>
      </c>
      <c r="J726" s="8">
        <v>0</v>
      </c>
      <c r="K726" s="0" t="inlineStr">
        <is>
          <t xml:space="preserve">ADF</t>
        </is>
      </c>
      <c r="L726" s="0" t="inlineStr">
        <is>
          <t xml:space="preserve">Vernis et Finitions</t>
        </is>
      </c>
      <c r="M726" s="8">
        <f>I726-J726</f>
      </c>
      <c r="N726" s="0" t="inlineStr">
        <is>
          <t xml:space="preserve">2024-10</t>
        </is>
      </c>
      <c r="O726" s="0">
        <f>INDEX(Journaux!$E$5:$E$18,MATCH("2024|"&amp;A726,Journaux!$A$5:$A$18,0))</f>
      </c>
      <c r="P726" s="0">
        <f>INDEX(Comptes!$H$5:$H$42,MATCH(E726,Comptes!$A$5:$A$42,0))</f>
      </c>
      <c r="Q726" s="0" t="inlineStr">
        <is>
          <t xml:space="preserve">4</t>
        </is>
      </c>
      <c r="R726" s="7" t="inlineStr">
        <is>
          <t xml:space="preserve">401000|F003</t>
        </is>
      </c>
    </row>
    <row r="727">
      <c r="A727" s="4" t="inlineStr">
        <is>
          <t xml:space="preserve">BQ</t>
        </is>
      </c>
      <c r="B727" s="0" t="inlineStr">
        <is>
          <t xml:space="preserve">Banque Fictive</t>
        </is>
      </c>
      <c r="C727" s="0" t="inlineStr">
        <is>
          <t xml:space="preserve">BQ00170</t>
        </is>
      </c>
      <c r="D727" s="10">
        <v>45586</v>
      </c>
      <c r="E727" s="4" t="inlineStr">
        <is>
          <t xml:space="preserve">512000</t>
        </is>
      </c>
      <c r="F727" s="0" t="inlineStr">
        <is>
          <t xml:space="preserve">Banque Fictive</t>
        </is>
      </c>
      <c r="G727" s="0" t="inlineStr">
        <is>
          <t xml:space="preserve">DEC-F003-2024082</t>
        </is>
      </c>
      <c r="H727" s="0" t="inlineStr">
        <is>
          <t xml:space="preserve">Reglement fournisseur Vernis et Finitions F003-2024082</t>
        </is>
      </c>
      <c r="I727" s="8">
        <v>0</v>
      </c>
      <c r="J727" s="8">
        <v>22325.44</v>
      </c>
      <c r="K727" s="0"/>
      <c r="L727" s="0"/>
      <c r="M727" s="8">
        <f>I727-J727</f>
      </c>
      <c r="N727" s="0" t="inlineStr">
        <is>
          <t xml:space="preserve">2024-10</t>
        </is>
      </c>
      <c r="O727" s="0">
        <f>INDEX(Journaux!$E$5:$E$18,MATCH("2024|"&amp;A727,Journaux!$A$5:$A$18,0))</f>
      </c>
      <c r="P727" s="0">
        <f>INDEX(Comptes!$H$5:$H$42,MATCH(E727,Comptes!$A$5:$A$42,0))</f>
      </c>
      <c r="Q727" s="0" t="inlineStr">
        <is>
          <t xml:space="preserve">5</t>
        </is>
      </c>
    </row>
    <row r="728">
      <c r="A728" s="4" t="inlineStr">
        <is>
          <t xml:space="preserve">VT</t>
        </is>
      </c>
      <c r="B728" s="0" t="inlineStr">
        <is>
          <t xml:space="preserve">Journal des ventes</t>
        </is>
      </c>
      <c r="C728" s="0" t="inlineStr">
        <is>
          <t xml:space="preserve">VT00047</t>
        </is>
      </c>
      <c r="D728" s="10">
        <v>45587</v>
      </c>
      <c r="E728" s="4" t="inlineStr">
        <is>
          <t xml:space="preserve">411000</t>
        </is>
      </c>
      <c r="F728" s="0" t="inlineStr">
        <is>
          <t xml:space="preserve">Clients</t>
        </is>
      </c>
      <c r="G728" s="0" t="inlineStr">
        <is>
          <t xml:space="preserve">FA2024-0047</t>
        </is>
      </c>
      <c r="H728" s="0" t="inlineStr">
        <is>
          <t xml:space="preserve">Facture FA2024-0047 Hotel Les Tilleuls</t>
        </is>
      </c>
      <c r="I728" s="8">
        <v>36126.59</v>
      </c>
      <c r="J728" s="8">
        <v>0</v>
      </c>
      <c r="K728" s="0" t="inlineStr">
        <is>
          <t xml:space="preserve">AAZ</t>
        </is>
      </c>
      <c r="L728" s="0" t="inlineStr">
        <is>
          <t xml:space="preserve">Hotel Les Tilleuls</t>
        </is>
      </c>
      <c r="M728" s="8">
        <f>I728-J728</f>
      </c>
      <c r="N728" s="0" t="inlineStr">
        <is>
          <t xml:space="preserve">2024-10</t>
        </is>
      </c>
      <c r="O728" s="0">
        <f>INDEX(Journaux!$E$5:$E$18,MATCH("2024|"&amp;A728,Journaux!$A$5:$A$18,0))</f>
      </c>
      <c r="P728" s="0">
        <f>INDEX(Comptes!$H$5:$H$42,MATCH(E728,Comptes!$A$5:$A$42,0))</f>
      </c>
      <c r="Q728" s="0" t="inlineStr">
        <is>
          <t xml:space="preserve">4</t>
        </is>
      </c>
      <c r="R728" s="7" t="inlineStr">
        <is>
          <t xml:space="preserve">411000|C001</t>
        </is>
      </c>
    </row>
    <row r="729">
      <c r="A729" s="4" t="inlineStr">
        <is>
          <t xml:space="preserve">VT</t>
        </is>
      </c>
      <c r="B729" s="0" t="inlineStr">
        <is>
          <t xml:space="preserve">Journal des ventes</t>
        </is>
      </c>
      <c r="C729" s="0" t="inlineStr">
        <is>
          <t xml:space="preserve">VT00047</t>
        </is>
      </c>
      <c r="D729" s="10">
        <v>45587</v>
      </c>
      <c r="E729" s="4" t="inlineStr">
        <is>
          <t xml:space="preserve">701000</t>
        </is>
      </c>
      <c r="F729" s="0" t="inlineStr">
        <is>
          <t xml:space="preserve">Ventes de produits finis</t>
        </is>
      </c>
      <c r="G729" s="0" t="inlineStr">
        <is>
          <t xml:space="preserve">FA2024-0047</t>
        </is>
      </c>
      <c r="H729" s="0" t="inlineStr">
        <is>
          <t xml:space="preserve">Facture FA2024-0047 Hotel Les Tilleuls</t>
        </is>
      </c>
      <c r="I729" s="8">
        <v>0</v>
      </c>
      <c r="J729" s="8">
        <v>30105.49</v>
      </c>
      <c r="K729" s="0"/>
      <c r="L729" s="0"/>
      <c r="M729" s="8">
        <f>I729-J729</f>
      </c>
      <c r="N729" s="0" t="inlineStr">
        <is>
          <t xml:space="preserve">2024-10</t>
        </is>
      </c>
      <c r="O729" s="0">
        <f>INDEX(Journaux!$E$5:$E$18,MATCH("2024|"&amp;A729,Journaux!$A$5:$A$18,0))</f>
      </c>
      <c r="P729" s="0">
        <f>INDEX(Comptes!$H$5:$H$42,MATCH(E729,Comptes!$A$5:$A$42,0))</f>
      </c>
      <c r="Q729" s="0" t="inlineStr">
        <is>
          <t xml:space="preserve">7</t>
        </is>
      </c>
    </row>
    <row r="730">
      <c r="A730" s="4" t="inlineStr">
        <is>
          <t xml:space="preserve">VT</t>
        </is>
      </c>
      <c r="B730" s="0" t="inlineStr">
        <is>
          <t xml:space="preserve">Journal des ventes</t>
        </is>
      </c>
      <c r="C730" s="0" t="inlineStr">
        <is>
          <t xml:space="preserve">VT00047</t>
        </is>
      </c>
      <c r="D730" s="10">
        <v>45587</v>
      </c>
      <c r="E730" s="4" t="inlineStr">
        <is>
          <t xml:space="preserve">445710</t>
        </is>
      </c>
      <c r="F730" s="0" t="inlineStr">
        <is>
          <t xml:space="preserve">TVA collectee</t>
        </is>
      </c>
      <c r="G730" s="0" t="inlineStr">
        <is>
          <t xml:space="preserve">FA2024-0047</t>
        </is>
      </c>
      <c r="H730" s="0" t="inlineStr">
        <is>
          <t xml:space="preserve">Facture FA2024-0047 Hotel Les Tilleuls</t>
        </is>
      </c>
      <c r="I730" s="8">
        <v>0</v>
      </c>
      <c r="J730" s="8">
        <v>6021.1</v>
      </c>
      <c r="K730" s="0"/>
      <c r="L730" s="0"/>
      <c r="M730" s="8">
        <f>I730-J730</f>
      </c>
      <c r="N730" s="0" t="inlineStr">
        <is>
          <t xml:space="preserve">2024-10</t>
        </is>
      </c>
      <c r="O730" s="0">
        <f>INDEX(Journaux!$E$5:$E$18,MATCH("2024|"&amp;A730,Journaux!$A$5:$A$18,0))</f>
      </c>
      <c r="P730" s="0">
        <f>INDEX(Comptes!$H$5:$H$42,MATCH(E730,Comptes!$A$5:$A$42,0))</f>
      </c>
      <c r="Q730" s="0" t="inlineStr">
        <is>
          <t xml:space="preserve">4</t>
        </is>
      </c>
    </row>
    <row r="731">
      <c r="A731" s="4" t="inlineStr">
        <is>
          <t xml:space="preserve">BQ</t>
        </is>
      </c>
      <c r="B731" s="0" t="inlineStr">
        <is>
          <t xml:space="preserve">Banque Fictive</t>
        </is>
      </c>
      <c r="C731" s="0" t="inlineStr">
        <is>
          <t xml:space="preserve">BQ00174</t>
        </is>
      </c>
      <c r="D731" s="10">
        <v>45589</v>
      </c>
      <c r="E731" s="4" t="inlineStr">
        <is>
          <t xml:space="preserve">401000</t>
        </is>
      </c>
      <c r="F731" s="0" t="inlineStr">
        <is>
          <t xml:space="preserve">Fournisseurs</t>
        </is>
      </c>
      <c r="G731" s="0" t="inlineStr">
        <is>
          <t xml:space="preserve">DEC-F001-2024091</t>
        </is>
      </c>
      <c r="H731" s="0" t="inlineStr">
        <is>
          <t xml:space="preserve">Reglement fournisseur Scierie du Nord F001-2024091</t>
        </is>
      </c>
      <c r="I731" s="8">
        <v>34996.07</v>
      </c>
      <c r="J731" s="8">
        <v>0</v>
      </c>
      <c r="K731" s="0" t="inlineStr">
        <is>
          <t xml:space="preserve">ADJ</t>
        </is>
      </c>
      <c r="L731" s="0" t="inlineStr">
        <is>
          <t xml:space="preserve">Scierie du Nord</t>
        </is>
      </c>
      <c r="M731" s="8">
        <f>I731-J731</f>
      </c>
      <c r="N731" s="0" t="inlineStr">
        <is>
          <t xml:space="preserve">2024-10</t>
        </is>
      </c>
      <c r="O731" s="0">
        <f>INDEX(Journaux!$E$5:$E$18,MATCH("2024|"&amp;A731,Journaux!$A$5:$A$18,0))</f>
      </c>
      <c r="P731" s="0">
        <f>INDEX(Comptes!$H$5:$H$42,MATCH(E731,Comptes!$A$5:$A$42,0))</f>
      </c>
      <c r="Q731" s="0" t="inlineStr">
        <is>
          <t xml:space="preserve">4</t>
        </is>
      </c>
      <c r="R731" s="7" t="inlineStr">
        <is>
          <t xml:space="preserve">401000|F001</t>
        </is>
      </c>
    </row>
    <row r="732">
      <c r="A732" s="4" t="inlineStr">
        <is>
          <t xml:space="preserve">BQ</t>
        </is>
      </c>
      <c r="B732" s="0" t="inlineStr">
        <is>
          <t xml:space="preserve">Banque Fictive</t>
        </is>
      </c>
      <c r="C732" s="0" t="inlineStr">
        <is>
          <t xml:space="preserve">BQ00174</t>
        </is>
      </c>
      <c r="D732" s="10">
        <v>45589</v>
      </c>
      <c r="E732" s="4" t="inlineStr">
        <is>
          <t xml:space="preserve">512000</t>
        </is>
      </c>
      <c r="F732" s="0" t="inlineStr">
        <is>
          <t xml:space="preserve">Banque Fictive</t>
        </is>
      </c>
      <c r="G732" s="0" t="inlineStr">
        <is>
          <t xml:space="preserve">DEC-F001-2024091</t>
        </is>
      </c>
      <c r="H732" s="0" t="inlineStr">
        <is>
          <t xml:space="preserve">Reglement fournisseur Scierie du Nord F001-2024091</t>
        </is>
      </c>
      <c r="I732" s="8">
        <v>0</v>
      </c>
      <c r="J732" s="8">
        <v>34996.07</v>
      </c>
      <c r="K732" s="0"/>
      <c r="L732" s="0"/>
      <c r="M732" s="8">
        <f>I732-J732</f>
      </c>
      <c r="N732" s="0" t="inlineStr">
        <is>
          <t xml:space="preserve">2024-10</t>
        </is>
      </c>
      <c r="O732" s="0">
        <f>INDEX(Journaux!$E$5:$E$18,MATCH("2024|"&amp;A732,Journaux!$A$5:$A$18,0))</f>
      </c>
      <c r="P732" s="0">
        <f>INDEX(Comptes!$H$5:$H$42,MATCH(E732,Comptes!$A$5:$A$42,0))</f>
      </c>
      <c r="Q732" s="0" t="inlineStr">
        <is>
          <t xml:space="preserve">5</t>
        </is>
      </c>
    </row>
    <row r="733">
      <c r="A733" s="4" t="inlineStr">
        <is>
          <t xml:space="preserve">BQ</t>
        </is>
      </c>
      <c r="B733" s="0" t="inlineStr">
        <is>
          <t xml:space="preserve">Banque Fictive</t>
        </is>
      </c>
      <c r="C733" s="0" t="inlineStr">
        <is>
          <t xml:space="preserve">BQ00108</t>
        </is>
      </c>
      <c r="D733" s="10">
        <v>45593</v>
      </c>
      <c r="E733" s="4" t="inlineStr">
        <is>
          <t xml:space="preserve">512000</t>
        </is>
      </c>
      <c r="F733" s="0" t="inlineStr">
        <is>
          <t xml:space="preserve">Banque Fictive</t>
        </is>
      </c>
      <c r="G733" s="0" t="inlineStr">
        <is>
          <t xml:space="preserve">ENC-FA2024-0043</t>
        </is>
      </c>
      <c r="H733" s="0" t="inlineStr">
        <is>
          <t xml:space="preserve">Reglement client Cabinet Varenne Associes FA2024-0043</t>
        </is>
      </c>
      <c r="I733" s="8">
        <v>44967.01</v>
      </c>
      <c r="J733" s="8">
        <v>0</v>
      </c>
      <c r="K733" s="0"/>
      <c r="L733" s="0"/>
      <c r="M733" s="8">
        <f>I733-J733</f>
      </c>
      <c r="N733" s="0" t="inlineStr">
        <is>
          <t xml:space="preserve">2024-10</t>
        </is>
      </c>
      <c r="O733" s="0">
        <f>INDEX(Journaux!$E$5:$E$18,MATCH("2024|"&amp;A733,Journaux!$A$5:$A$18,0))</f>
      </c>
      <c r="P733" s="0">
        <f>INDEX(Comptes!$H$5:$H$42,MATCH(E733,Comptes!$A$5:$A$42,0))</f>
      </c>
      <c r="Q733" s="0" t="inlineStr">
        <is>
          <t xml:space="preserve">5</t>
        </is>
      </c>
    </row>
    <row r="734">
      <c r="A734" s="4" t="inlineStr">
        <is>
          <t xml:space="preserve">BQ</t>
        </is>
      </c>
      <c r="B734" s="0" t="inlineStr">
        <is>
          <t xml:space="preserve">Banque Fictive</t>
        </is>
      </c>
      <c r="C734" s="0" t="inlineStr">
        <is>
          <t xml:space="preserve">BQ00108</t>
        </is>
      </c>
      <c r="D734" s="10">
        <v>45593</v>
      </c>
      <c r="E734" s="4" t="inlineStr">
        <is>
          <t xml:space="preserve">411000</t>
        </is>
      </c>
      <c r="F734" s="0" t="inlineStr">
        <is>
          <t xml:space="preserve">Clients</t>
        </is>
      </c>
      <c r="G734" s="0" t="inlineStr">
        <is>
          <t xml:space="preserve">ENC-FA2024-0043</t>
        </is>
      </c>
      <c r="H734" s="0" t="inlineStr">
        <is>
          <t xml:space="preserve">Reglement client Cabinet Varenne Associes FA2024-0043</t>
        </is>
      </c>
      <c r="I734" s="8">
        <v>0</v>
      </c>
      <c r="J734" s="8">
        <v>44967.01</v>
      </c>
      <c r="K734" s="0" t="inlineStr">
        <is>
          <t xml:space="preserve">AAV</t>
        </is>
      </c>
      <c r="L734" s="0" t="inlineStr">
        <is>
          <t xml:space="preserve">Cabinet Varenne Associes</t>
        </is>
      </c>
      <c r="M734" s="8">
        <f>I734-J734</f>
      </c>
      <c r="N734" s="0" t="inlineStr">
        <is>
          <t xml:space="preserve">2024-10</t>
        </is>
      </c>
      <c r="O734" s="0">
        <f>INDEX(Journaux!$E$5:$E$18,MATCH("2024|"&amp;A734,Journaux!$A$5:$A$18,0))</f>
      </c>
      <c r="P734" s="0">
        <f>INDEX(Comptes!$H$5:$H$42,MATCH(E734,Comptes!$A$5:$A$42,0))</f>
      </c>
      <c r="Q734" s="0" t="inlineStr">
        <is>
          <t xml:space="preserve">4</t>
        </is>
      </c>
      <c r="R734" s="7" t="inlineStr">
        <is>
          <t xml:space="preserve">411000|C004</t>
        </is>
      </c>
    </row>
    <row r="735">
      <c r="A735" s="4" t="inlineStr">
        <is>
          <t xml:space="preserve">AC</t>
        </is>
      </c>
      <c r="B735" s="0" t="inlineStr">
        <is>
          <t xml:space="preserve">Journal des achats</t>
        </is>
      </c>
      <c r="C735" s="0" t="inlineStr">
        <is>
          <t xml:space="preserve">AC00057</t>
        </is>
      </c>
      <c r="D735" s="10">
        <v>45594</v>
      </c>
      <c r="E735" s="4" t="inlineStr">
        <is>
          <t xml:space="preserve">601000</t>
        </is>
      </c>
      <c r="F735" s="0" t="inlineStr">
        <is>
          <t xml:space="preserve">Achats de matieres premieres</t>
        </is>
      </c>
      <c r="G735" s="0" t="inlineStr">
        <is>
          <t xml:space="preserve">F002-2024102</t>
        </is>
      </c>
      <c r="H735" s="0" t="inlineStr">
        <is>
          <t xml:space="preserve">Facture Quincaillerie Pro Est F002-2024102</t>
        </is>
      </c>
      <c r="I735" s="8">
        <v>32419.4</v>
      </c>
      <c r="J735" s="8">
        <v>0</v>
      </c>
      <c r="K735" s="0"/>
      <c r="L735" s="0"/>
      <c r="M735" s="8">
        <f>I735-J735</f>
      </c>
      <c r="N735" s="0" t="inlineStr">
        <is>
          <t xml:space="preserve">2024-10</t>
        </is>
      </c>
      <c r="O735" s="0">
        <f>INDEX(Journaux!$E$5:$E$18,MATCH("2024|"&amp;A735,Journaux!$A$5:$A$18,0))</f>
      </c>
      <c r="P735" s="0">
        <f>INDEX(Comptes!$H$5:$H$42,MATCH(E735,Comptes!$A$5:$A$42,0))</f>
      </c>
      <c r="Q735" s="0" t="inlineStr">
        <is>
          <t xml:space="preserve">6</t>
        </is>
      </c>
    </row>
    <row r="736">
      <c r="A736" s="4" t="inlineStr">
        <is>
          <t xml:space="preserve">AC</t>
        </is>
      </c>
      <c r="B736" s="0" t="inlineStr">
        <is>
          <t xml:space="preserve">Journal des achats</t>
        </is>
      </c>
      <c r="C736" s="0" t="inlineStr">
        <is>
          <t xml:space="preserve">AC00057</t>
        </is>
      </c>
      <c r="D736" s="10">
        <v>45594</v>
      </c>
      <c r="E736" s="4" t="inlineStr">
        <is>
          <t xml:space="preserve">445660</t>
        </is>
      </c>
      <c r="F736" s="0" t="inlineStr">
        <is>
          <t xml:space="preserve">TVA deductible sur ABS</t>
        </is>
      </c>
      <c r="G736" s="0" t="inlineStr">
        <is>
          <t xml:space="preserve">F002-2024102</t>
        </is>
      </c>
      <c r="H736" s="0" t="inlineStr">
        <is>
          <t xml:space="preserve">Facture Quincaillerie Pro Est F002-2024102</t>
        </is>
      </c>
      <c r="I736" s="8">
        <v>6483.88</v>
      </c>
      <c r="J736" s="8">
        <v>0</v>
      </c>
      <c r="K736" s="0"/>
      <c r="L736" s="0"/>
      <c r="M736" s="8">
        <f>I736-J736</f>
      </c>
      <c r="N736" s="0" t="inlineStr">
        <is>
          <t xml:space="preserve">2024-10</t>
        </is>
      </c>
      <c r="O736" s="0">
        <f>INDEX(Journaux!$E$5:$E$18,MATCH("2024|"&amp;A736,Journaux!$A$5:$A$18,0))</f>
      </c>
      <c r="P736" s="0">
        <f>INDEX(Comptes!$H$5:$H$42,MATCH(E736,Comptes!$A$5:$A$42,0))</f>
      </c>
      <c r="Q736" s="0" t="inlineStr">
        <is>
          <t xml:space="preserve">4</t>
        </is>
      </c>
    </row>
    <row r="737">
      <c r="A737" s="4" t="inlineStr">
        <is>
          <t xml:space="preserve">AC</t>
        </is>
      </c>
      <c r="B737" s="0" t="inlineStr">
        <is>
          <t xml:space="preserve">Journal des achats</t>
        </is>
      </c>
      <c r="C737" s="0" t="inlineStr">
        <is>
          <t xml:space="preserve">AC00057</t>
        </is>
      </c>
      <c r="D737" s="10">
        <v>45594</v>
      </c>
      <c r="E737" s="4" t="inlineStr">
        <is>
          <t xml:space="preserve">401000</t>
        </is>
      </c>
      <c r="F737" s="0" t="inlineStr">
        <is>
          <t xml:space="preserve">Fournisseurs</t>
        </is>
      </c>
      <c r="G737" s="0" t="inlineStr">
        <is>
          <t xml:space="preserve">F002-2024102</t>
        </is>
      </c>
      <c r="H737" s="0" t="inlineStr">
        <is>
          <t xml:space="preserve">Facture Quincaillerie Pro Est F002-2024102</t>
        </is>
      </c>
      <c r="I737" s="8">
        <v>0</v>
      </c>
      <c r="J737" s="8">
        <v>38903.28</v>
      </c>
      <c r="K737" s="0" t="inlineStr">
        <is>
          <t xml:space="preserve">ADQ</t>
        </is>
      </c>
      <c r="L737" s="0" t="inlineStr">
        <is>
          <t xml:space="preserve">Quincaillerie Pro Est</t>
        </is>
      </c>
      <c r="M737" s="8">
        <f>I737-J737</f>
      </c>
      <c r="N737" s="0" t="inlineStr">
        <is>
          <t xml:space="preserve">2024-10</t>
        </is>
      </c>
      <c r="O737" s="0">
        <f>INDEX(Journaux!$E$5:$E$18,MATCH("2024|"&amp;A737,Journaux!$A$5:$A$18,0))</f>
      </c>
      <c r="P737" s="0">
        <f>INDEX(Comptes!$H$5:$H$42,MATCH(E737,Comptes!$A$5:$A$42,0))</f>
      </c>
      <c r="Q737" s="0" t="inlineStr">
        <is>
          <t xml:space="preserve">4</t>
        </is>
      </c>
      <c r="R737" s="7" t="inlineStr">
        <is>
          <t xml:space="preserve">401000|F002</t>
        </is>
      </c>
    </row>
    <row r="738">
      <c r="A738" s="4" t="inlineStr">
        <is>
          <t xml:space="preserve">VT</t>
        </is>
      </c>
      <c r="B738" s="0" t="inlineStr">
        <is>
          <t xml:space="preserve">Journal des ventes</t>
        </is>
      </c>
      <c r="C738" s="0" t="inlineStr">
        <is>
          <t xml:space="preserve">VT00048</t>
        </is>
      </c>
      <c r="D738" s="10">
        <v>45595</v>
      </c>
      <c r="E738" s="4" t="inlineStr">
        <is>
          <t xml:space="preserve">411000</t>
        </is>
      </c>
      <c r="F738" s="0" t="inlineStr">
        <is>
          <t xml:space="preserve">Clients</t>
        </is>
      </c>
      <c r="G738" s="0" t="inlineStr">
        <is>
          <t xml:space="preserve">FA2024-0048</t>
        </is>
      </c>
      <c r="H738" s="0" t="inlineStr">
        <is>
          <t xml:space="preserve">Facture FA2024-0048 Restaurant Le Comptoir</t>
        </is>
      </c>
      <c r="I738" s="8">
        <v>41473.99</v>
      </c>
      <c r="J738" s="8">
        <v>0</v>
      </c>
      <c r="K738" s="0" t="inlineStr">
        <is>
          <t xml:space="preserve">ABA</t>
        </is>
      </c>
      <c r="L738" s="0" t="inlineStr">
        <is>
          <t xml:space="preserve">Restaurant Le Comptoir</t>
        </is>
      </c>
      <c r="M738" s="8">
        <f>I738-J738</f>
      </c>
      <c r="N738" s="0" t="inlineStr">
        <is>
          <t xml:space="preserve">2024-10</t>
        </is>
      </c>
      <c r="O738" s="0">
        <f>INDEX(Journaux!$E$5:$E$18,MATCH("2024|"&amp;A738,Journaux!$A$5:$A$18,0))</f>
      </c>
      <c r="P738" s="0">
        <f>INDEX(Comptes!$H$5:$H$42,MATCH(E738,Comptes!$A$5:$A$42,0))</f>
      </c>
      <c r="Q738" s="0" t="inlineStr">
        <is>
          <t xml:space="preserve">4</t>
        </is>
      </c>
      <c r="R738" s="7" t="inlineStr">
        <is>
          <t xml:space="preserve">411000|C005</t>
        </is>
      </c>
    </row>
    <row r="739">
      <c r="A739" s="4" t="inlineStr">
        <is>
          <t xml:space="preserve">VT</t>
        </is>
      </c>
      <c r="B739" s="0" t="inlineStr">
        <is>
          <t xml:space="preserve">Journal des ventes</t>
        </is>
      </c>
      <c r="C739" s="0" t="inlineStr">
        <is>
          <t xml:space="preserve">VT00048</t>
        </is>
      </c>
      <c r="D739" s="10">
        <v>45595</v>
      </c>
      <c r="E739" s="4" t="inlineStr">
        <is>
          <t xml:space="preserve">701000</t>
        </is>
      </c>
      <c r="F739" s="0" t="inlineStr">
        <is>
          <t xml:space="preserve">Ventes de produits finis</t>
        </is>
      </c>
      <c r="G739" s="0" t="inlineStr">
        <is>
          <t xml:space="preserve">FA2024-0048</t>
        </is>
      </c>
      <c r="H739" s="0" t="inlineStr">
        <is>
          <t xml:space="preserve">Facture FA2024-0048 Restaurant Le Comptoir</t>
        </is>
      </c>
      <c r="I739" s="8">
        <v>0</v>
      </c>
      <c r="J739" s="8">
        <v>34561.66</v>
      </c>
      <c r="K739" s="0"/>
      <c r="L739" s="0"/>
      <c r="M739" s="8">
        <f>I739-J739</f>
      </c>
      <c r="N739" s="0" t="inlineStr">
        <is>
          <t xml:space="preserve">2024-10</t>
        </is>
      </c>
      <c r="O739" s="0">
        <f>INDEX(Journaux!$E$5:$E$18,MATCH("2024|"&amp;A739,Journaux!$A$5:$A$18,0))</f>
      </c>
      <c r="P739" s="0">
        <f>INDEX(Comptes!$H$5:$H$42,MATCH(E739,Comptes!$A$5:$A$42,0))</f>
      </c>
      <c r="Q739" s="0" t="inlineStr">
        <is>
          <t xml:space="preserve">7</t>
        </is>
      </c>
    </row>
    <row r="740">
      <c r="A740" s="4" t="inlineStr">
        <is>
          <t xml:space="preserve">VT</t>
        </is>
      </c>
      <c r="B740" s="0" t="inlineStr">
        <is>
          <t xml:space="preserve">Journal des ventes</t>
        </is>
      </c>
      <c r="C740" s="0" t="inlineStr">
        <is>
          <t xml:space="preserve">VT00048</t>
        </is>
      </c>
      <c r="D740" s="10">
        <v>45595</v>
      </c>
      <c r="E740" s="4" t="inlineStr">
        <is>
          <t xml:space="preserve">445710</t>
        </is>
      </c>
      <c r="F740" s="0" t="inlineStr">
        <is>
          <t xml:space="preserve">TVA collectee</t>
        </is>
      </c>
      <c r="G740" s="0" t="inlineStr">
        <is>
          <t xml:space="preserve">FA2024-0048</t>
        </is>
      </c>
      <c r="H740" s="0" t="inlineStr">
        <is>
          <t xml:space="preserve">Facture FA2024-0048 Restaurant Le Comptoir</t>
        </is>
      </c>
      <c r="I740" s="8">
        <v>0</v>
      </c>
      <c r="J740" s="8">
        <v>6912.33</v>
      </c>
      <c r="K740" s="0"/>
      <c r="L740" s="0"/>
      <c r="M740" s="8">
        <f>I740-J740</f>
      </c>
      <c r="N740" s="0" t="inlineStr">
        <is>
          <t xml:space="preserve">2024-10</t>
        </is>
      </c>
      <c r="O740" s="0">
        <f>INDEX(Journaux!$E$5:$E$18,MATCH("2024|"&amp;A740,Journaux!$A$5:$A$18,0))</f>
      </c>
      <c r="P740" s="0">
        <f>INDEX(Comptes!$H$5:$H$42,MATCH(E740,Comptes!$A$5:$A$42,0))</f>
      </c>
      <c r="Q740" s="0" t="inlineStr">
        <is>
          <t xml:space="preserve">4</t>
        </is>
      </c>
    </row>
    <row r="741">
      <c r="A741" s="4" t="inlineStr">
        <is>
          <t xml:space="preserve">BQ</t>
        </is>
      </c>
      <c r="B741" s="0" t="inlineStr">
        <is>
          <t xml:space="preserve">Banque Fictive</t>
        </is>
      </c>
      <c r="C741" s="0" t="inlineStr">
        <is>
          <t xml:space="preserve">BQ00028</t>
        </is>
      </c>
      <c r="D741" s="10">
        <v>45596</v>
      </c>
      <c r="E741" s="4" t="inlineStr">
        <is>
          <t xml:space="preserve">421000</t>
        </is>
      </c>
      <c r="F741" s="0" t="inlineStr">
        <is>
          <t xml:space="preserve">Personnel remunerations dues</t>
        </is>
      </c>
      <c r="G741" s="0" t="inlineStr">
        <is>
          <t xml:space="preserve">VIRSAL202410</t>
        </is>
      </c>
      <c r="H741" s="0" t="inlineStr">
        <is>
          <t xml:space="preserve">Virement salaires 10/2024</t>
        </is>
      </c>
      <c r="I741" s="8">
        <v>40436.01</v>
      </c>
      <c r="J741" s="8">
        <v>0</v>
      </c>
      <c r="K741" s="0"/>
      <c r="L741" s="0"/>
      <c r="M741" s="8">
        <f>I741-J741</f>
      </c>
      <c r="N741" s="0" t="inlineStr">
        <is>
          <t xml:space="preserve">2024-10</t>
        </is>
      </c>
      <c r="O741" s="0">
        <f>INDEX(Journaux!$E$5:$E$18,MATCH("2024|"&amp;A741,Journaux!$A$5:$A$18,0))</f>
      </c>
      <c r="P741" s="0">
        <f>INDEX(Comptes!$H$5:$H$42,MATCH(E741,Comptes!$A$5:$A$42,0))</f>
      </c>
      <c r="Q741" s="0" t="inlineStr">
        <is>
          <t xml:space="preserve">4</t>
        </is>
      </c>
    </row>
    <row r="742">
      <c r="A742" s="4" t="inlineStr">
        <is>
          <t xml:space="preserve">BQ</t>
        </is>
      </c>
      <c r="B742" s="0" t="inlineStr">
        <is>
          <t xml:space="preserve">Banque Fictive</t>
        </is>
      </c>
      <c r="C742" s="0" t="inlineStr">
        <is>
          <t xml:space="preserve">BQ00028</t>
        </is>
      </c>
      <c r="D742" s="10">
        <v>45596</v>
      </c>
      <c r="E742" s="4" t="inlineStr">
        <is>
          <t xml:space="preserve">512000</t>
        </is>
      </c>
      <c r="F742" s="0" t="inlineStr">
        <is>
          <t xml:space="preserve">Banque Fictive</t>
        </is>
      </c>
      <c r="G742" s="0" t="inlineStr">
        <is>
          <t xml:space="preserve">VIRSAL202410</t>
        </is>
      </c>
      <c r="H742" s="0" t="inlineStr">
        <is>
          <t xml:space="preserve">Virement salaires 10/2024</t>
        </is>
      </c>
      <c r="I742" s="8">
        <v>0</v>
      </c>
      <c r="J742" s="8">
        <v>40436.01</v>
      </c>
      <c r="K742" s="0"/>
      <c r="L742" s="0"/>
      <c r="M742" s="8">
        <f>I742-J742</f>
      </c>
      <c r="N742" s="0" t="inlineStr">
        <is>
          <t xml:space="preserve">2024-10</t>
        </is>
      </c>
      <c r="O742" s="0">
        <f>INDEX(Journaux!$E$5:$E$18,MATCH("2024|"&amp;A742,Journaux!$A$5:$A$18,0))</f>
      </c>
      <c r="P742" s="0">
        <f>INDEX(Comptes!$H$5:$H$42,MATCH(E742,Comptes!$A$5:$A$42,0))</f>
      </c>
      <c r="Q742" s="0" t="inlineStr">
        <is>
          <t xml:space="preserve">5</t>
        </is>
      </c>
    </row>
    <row r="743">
      <c r="A743" s="4" t="inlineStr">
        <is>
          <t xml:space="preserve">BQ</t>
        </is>
      </c>
      <c r="B743" s="0" t="inlineStr">
        <is>
          <t xml:space="preserve">Banque Fictive</t>
        </is>
      </c>
      <c r="C743" s="0" t="inlineStr">
        <is>
          <t xml:space="preserve">BQ00030</t>
        </is>
      </c>
      <c r="D743" s="10">
        <v>45596</v>
      </c>
      <c r="E743" s="4" t="inlineStr">
        <is>
          <t xml:space="preserve">627000</t>
        </is>
      </c>
      <c r="F743" s="0" t="inlineStr">
        <is>
          <t xml:space="preserve">Services bancaires</t>
        </is>
      </c>
      <c r="G743" s="0" t="inlineStr">
        <is>
          <t xml:space="preserve">FRB202410</t>
        </is>
      </c>
      <c r="H743" s="0" t="inlineStr">
        <is>
          <t xml:space="preserve">Frais bancaires 10/2024</t>
        </is>
      </c>
      <c r="I743" s="8">
        <v>85</v>
      </c>
      <c r="J743" s="8">
        <v>0</v>
      </c>
      <c r="K743" s="0"/>
      <c r="L743" s="0"/>
      <c r="M743" s="8">
        <f>I743-J743</f>
      </c>
      <c r="N743" s="0" t="inlineStr">
        <is>
          <t xml:space="preserve">2024-10</t>
        </is>
      </c>
      <c r="O743" s="0">
        <f>INDEX(Journaux!$E$5:$E$18,MATCH("2024|"&amp;A743,Journaux!$A$5:$A$18,0))</f>
      </c>
      <c r="P743" s="0">
        <f>INDEX(Comptes!$H$5:$H$42,MATCH(E743,Comptes!$A$5:$A$42,0))</f>
      </c>
      <c r="Q743" s="0" t="inlineStr">
        <is>
          <t xml:space="preserve">6</t>
        </is>
      </c>
    </row>
    <row r="744">
      <c r="A744" s="4" t="inlineStr">
        <is>
          <t xml:space="preserve">BQ</t>
        </is>
      </c>
      <c r="B744" s="0" t="inlineStr">
        <is>
          <t xml:space="preserve">Banque Fictive</t>
        </is>
      </c>
      <c r="C744" s="0" t="inlineStr">
        <is>
          <t xml:space="preserve">BQ00030</t>
        </is>
      </c>
      <c r="D744" s="10">
        <v>45596</v>
      </c>
      <c r="E744" s="4" t="inlineStr">
        <is>
          <t xml:space="preserve">512000</t>
        </is>
      </c>
      <c r="F744" s="0" t="inlineStr">
        <is>
          <t xml:space="preserve">Banque Fictive</t>
        </is>
      </c>
      <c r="G744" s="0" t="inlineStr">
        <is>
          <t xml:space="preserve">FRB202410</t>
        </is>
      </c>
      <c r="H744" s="0" t="inlineStr">
        <is>
          <t xml:space="preserve">Frais bancaires 10/2024</t>
        </is>
      </c>
      <c r="I744" s="8">
        <v>0</v>
      </c>
      <c r="J744" s="8">
        <v>85</v>
      </c>
      <c r="K744" s="0"/>
      <c r="L744" s="0"/>
      <c r="M744" s="8">
        <f>I744-J744</f>
      </c>
      <c r="N744" s="0" t="inlineStr">
        <is>
          <t xml:space="preserve">2024-10</t>
        </is>
      </c>
      <c r="O744" s="0">
        <f>INDEX(Journaux!$E$5:$E$18,MATCH("2024|"&amp;A744,Journaux!$A$5:$A$18,0))</f>
      </c>
      <c r="P744" s="0">
        <f>INDEX(Comptes!$H$5:$H$42,MATCH(E744,Comptes!$A$5:$A$42,0))</f>
      </c>
      <c r="Q744" s="0" t="inlineStr">
        <is>
          <t xml:space="preserve">5</t>
        </is>
      </c>
    </row>
    <row r="745">
      <c r="A745" s="4" t="inlineStr">
        <is>
          <t xml:space="preserve">BQ</t>
        </is>
      </c>
      <c r="B745" s="0" t="inlineStr">
        <is>
          <t xml:space="preserve">Banque Fictive</t>
        </is>
      </c>
      <c r="C745" s="0" t="inlineStr">
        <is>
          <t xml:space="preserve">BQ00175</t>
        </is>
      </c>
      <c r="D745" s="10">
        <v>45596</v>
      </c>
      <c r="E745" s="4" t="inlineStr">
        <is>
          <t xml:space="preserve">401000</t>
        </is>
      </c>
      <c r="F745" s="0" t="inlineStr">
        <is>
          <t xml:space="preserve">Fournisseurs</t>
        </is>
      </c>
      <c r="G745" s="0" t="inlineStr">
        <is>
          <t xml:space="preserve">DEC-F002-2024092</t>
        </is>
      </c>
      <c r="H745" s="0" t="inlineStr">
        <is>
          <t xml:space="preserve">Reglement fournisseur Quincaillerie Pro Est F002-2024092</t>
        </is>
      </c>
      <c r="I745" s="8">
        <v>53203.93</v>
      </c>
      <c r="J745" s="8">
        <v>0</v>
      </c>
      <c r="K745" s="0" t="inlineStr">
        <is>
          <t xml:space="preserve">ADK</t>
        </is>
      </c>
      <c r="L745" s="0" t="inlineStr">
        <is>
          <t xml:space="preserve">Quincaillerie Pro Est</t>
        </is>
      </c>
      <c r="M745" s="8">
        <f>I745-J745</f>
      </c>
      <c r="N745" s="0" t="inlineStr">
        <is>
          <t xml:space="preserve">2024-10</t>
        </is>
      </c>
      <c r="O745" s="0">
        <f>INDEX(Journaux!$E$5:$E$18,MATCH("2024|"&amp;A745,Journaux!$A$5:$A$18,0))</f>
      </c>
      <c r="P745" s="0">
        <f>INDEX(Comptes!$H$5:$H$42,MATCH(E745,Comptes!$A$5:$A$42,0))</f>
      </c>
      <c r="Q745" s="0" t="inlineStr">
        <is>
          <t xml:space="preserve">4</t>
        </is>
      </c>
      <c r="R745" s="7" t="inlineStr">
        <is>
          <t xml:space="preserve">401000|F002</t>
        </is>
      </c>
    </row>
    <row r="746">
      <c r="A746" s="4" t="inlineStr">
        <is>
          <t xml:space="preserve">BQ</t>
        </is>
      </c>
      <c r="B746" s="0" t="inlineStr">
        <is>
          <t xml:space="preserve">Banque Fictive</t>
        </is>
      </c>
      <c r="C746" s="0" t="inlineStr">
        <is>
          <t xml:space="preserve">BQ00175</t>
        </is>
      </c>
      <c r="D746" s="10">
        <v>45596</v>
      </c>
      <c r="E746" s="4" t="inlineStr">
        <is>
          <t xml:space="preserve">512000</t>
        </is>
      </c>
      <c r="F746" s="0" t="inlineStr">
        <is>
          <t xml:space="preserve">Banque Fictive</t>
        </is>
      </c>
      <c r="G746" s="0" t="inlineStr">
        <is>
          <t xml:space="preserve">DEC-F002-2024092</t>
        </is>
      </c>
      <c r="H746" s="0" t="inlineStr">
        <is>
          <t xml:space="preserve">Reglement fournisseur Quincaillerie Pro Est F002-2024092</t>
        </is>
      </c>
      <c r="I746" s="8">
        <v>0</v>
      </c>
      <c r="J746" s="8">
        <v>53203.93</v>
      </c>
      <c r="K746" s="0"/>
      <c r="L746" s="0"/>
      <c r="M746" s="8">
        <f>I746-J746</f>
      </c>
      <c r="N746" s="0" t="inlineStr">
        <is>
          <t xml:space="preserve">2024-10</t>
        </is>
      </c>
      <c r="O746" s="0">
        <f>INDEX(Journaux!$E$5:$E$18,MATCH("2024|"&amp;A746,Journaux!$A$5:$A$18,0))</f>
      </c>
      <c r="P746" s="0">
        <f>INDEX(Comptes!$H$5:$H$42,MATCH(E746,Comptes!$A$5:$A$42,0))</f>
      </c>
      <c r="Q746" s="0" t="inlineStr">
        <is>
          <t xml:space="preserve">5</t>
        </is>
      </c>
    </row>
    <row r="747">
      <c r="A747" s="4" t="inlineStr">
        <is>
          <t xml:space="preserve">OD</t>
        </is>
      </c>
      <c r="B747" s="0" t="inlineStr">
        <is>
          <t xml:space="preserve">Operations diverses</t>
        </is>
      </c>
      <c r="C747" s="0" t="inlineStr">
        <is>
          <t xml:space="preserve">OD00010</t>
        </is>
      </c>
      <c r="D747" s="10">
        <v>45596</v>
      </c>
      <c r="E747" s="4" t="inlineStr">
        <is>
          <t xml:space="preserve">445710</t>
        </is>
      </c>
      <c r="F747" s="0" t="inlineStr">
        <is>
          <t xml:space="preserve">TVA collectee</t>
        </is>
      </c>
      <c r="G747" s="0" t="inlineStr">
        <is>
          <t xml:space="preserve">CA3-202410</t>
        </is>
      </c>
      <c r="H747" s="0" t="inlineStr">
        <is>
          <t xml:space="preserve">Declaration TVA 10/2024</t>
        </is>
      </c>
      <c r="I747" s="8">
        <v>36666.67</v>
      </c>
      <c r="J747" s="8">
        <v>0</v>
      </c>
      <c r="K747" s="0"/>
      <c r="L747" s="0"/>
      <c r="M747" s="8">
        <f>I747-J747</f>
      </c>
      <c r="N747" s="0" t="inlineStr">
        <is>
          <t xml:space="preserve">2024-10</t>
        </is>
      </c>
      <c r="O747" s="0">
        <f>INDEX(Journaux!$E$5:$E$18,MATCH("2024|"&amp;A747,Journaux!$A$5:$A$18,0))</f>
      </c>
      <c r="P747" s="0">
        <f>INDEX(Comptes!$H$5:$H$42,MATCH(E747,Comptes!$A$5:$A$42,0))</f>
      </c>
      <c r="Q747" s="0" t="inlineStr">
        <is>
          <t xml:space="preserve">4</t>
        </is>
      </c>
    </row>
    <row r="748">
      <c r="A748" s="4" t="inlineStr">
        <is>
          <t xml:space="preserve">OD</t>
        </is>
      </c>
      <c r="B748" s="0" t="inlineStr">
        <is>
          <t xml:space="preserve">Operations diverses</t>
        </is>
      </c>
      <c r="C748" s="0" t="inlineStr">
        <is>
          <t xml:space="preserve">OD00010</t>
        </is>
      </c>
      <c r="D748" s="10">
        <v>45596</v>
      </c>
      <c r="E748" s="4" t="inlineStr">
        <is>
          <t xml:space="preserve">445660</t>
        </is>
      </c>
      <c r="F748" s="0" t="inlineStr">
        <is>
          <t xml:space="preserve">TVA deductible sur ABS</t>
        </is>
      </c>
      <c r="G748" s="0" t="inlineStr">
        <is>
          <t xml:space="preserve">CA3-202410</t>
        </is>
      </c>
      <c r="H748" s="0" t="inlineStr">
        <is>
          <t xml:space="preserve">Declaration TVA 10/2024</t>
        </is>
      </c>
      <c r="I748" s="8">
        <v>0</v>
      </c>
      <c r="J748" s="8">
        <v>17700.92</v>
      </c>
      <c r="K748" s="0"/>
      <c r="L748" s="0"/>
      <c r="M748" s="8">
        <f>I748-J748</f>
      </c>
      <c r="N748" s="0" t="inlineStr">
        <is>
          <t xml:space="preserve">2024-10</t>
        </is>
      </c>
      <c r="O748" s="0">
        <f>INDEX(Journaux!$E$5:$E$18,MATCH("2024|"&amp;A748,Journaux!$A$5:$A$18,0))</f>
      </c>
      <c r="P748" s="0">
        <f>INDEX(Comptes!$H$5:$H$42,MATCH(E748,Comptes!$A$5:$A$42,0))</f>
      </c>
      <c r="Q748" s="0" t="inlineStr">
        <is>
          <t xml:space="preserve">4</t>
        </is>
      </c>
    </row>
    <row r="749">
      <c r="A749" s="4" t="inlineStr">
        <is>
          <t xml:space="preserve">OD</t>
        </is>
      </c>
      <c r="B749" s="0" t="inlineStr">
        <is>
          <t xml:space="preserve">Operations diverses</t>
        </is>
      </c>
      <c r="C749" s="0" t="inlineStr">
        <is>
          <t xml:space="preserve">OD00010</t>
        </is>
      </c>
      <c r="D749" s="10">
        <v>45596</v>
      </c>
      <c r="E749" s="4" t="inlineStr">
        <is>
          <t xml:space="preserve">445510</t>
        </is>
      </c>
      <c r="F749" s="0" t="inlineStr">
        <is>
          <t xml:space="preserve">TVA a decaisser</t>
        </is>
      </c>
      <c r="G749" s="0" t="inlineStr">
        <is>
          <t xml:space="preserve">CA3-202410</t>
        </is>
      </c>
      <c r="H749" s="0" t="inlineStr">
        <is>
          <t xml:space="preserve">Declaration TVA 10/2024</t>
        </is>
      </c>
      <c r="I749" s="8">
        <v>0</v>
      </c>
      <c r="J749" s="8">
        <v>18965.75</v>
      </c>
      <c r="K749" s="0"/>
      <c r="L749" s="0"/>
      <c r="M749" s="8">
        <f>I749-J749</f>
      </c>
      <c r="N749" s="0" t="inlineStr">
        <is>
          <t xml:space="preserve">2024-10</t>
        </is>
      </c>
      <c r="O749" s="0">
        <f>INDEX(Journaux!$E$5:$E$18,MATCH("2024|"&amp;A749,Journaux!$A$5:$A$18,0))</f>
      </c>
      <c r="P749" s="0">
        <f>INDEX(Comptes!$H$5:$H$42,MATCH(E749,Comptes!$A$5:$A$42,0))</f>
      </c>
      <c r="Q749" s="0" t="inlineStr">
        <is>
          <t xml:space="preserve">4</t>
        </is>
      </c>
    </row>
    <row r="750">
      <c r="A750" s="4" t="inlineStr">
        <is>
          <t xml:space="preserve">SA</t>
        </is>
      </c>
      <c r="B750" s="0" t="inlineStr">
        <is>
          <t xml:space="preserve">Salaires</t>
        </is>
      </c>
      <c r="C750" s="0" t="inlineStr">
        <is>
          <t xml:space="preserve">SA00010</t>
        </is>
      </c>
      <c r="D750" s="10">
        <v>45596</v>
      </c>
      <c r="E750" s="4" t="inlineStr">
        <is>
          <t xml:space="preserve">641000</t>
        </is>
      </c>
      <c r="F750" s="0" t="inlineStr">
        <is>
          <t xml:space="preserve">Remunerations du personnel</t>
        </is>
      </c>
      <c r="G750" s="0" t="inlineStr">
        <is>
          <t xml:space="preserve">PAIE202410</t>
        </is>
      </c>
      <c r="H750" s="0" t="inlineStr">
        <is>
          <t xml:space="preserve">Paie 10/2024</t>
        </is>
      </c>
      <c r="I750" s="8">
        <v>51841.04</v>
      </c>
      <c r="J750" s="8">
        <v>0</v>
      </c>
      <c r="K750" s="0"/>
      <c r="L750" s="0"/>
      <c r="M750" s="8">
        <f>I750-J750</f>
      </c>
      <c r="N750" s="0" t="inlineStr">
        <is>
          <t xml:space="preserve">2024-10</t>
        </is>
      </c>
      <c r="O750" s="0">
        <f>INDEX(Journaux!$E$5:$E$18,MATCH("2024|"&amp;A750,Journaux!$A$5:$A$18,0))</f>
      </c>
      <c r="P750" s="0">
        <f>INDEX(Comptes!$H$5:$H$42,MATCH(E750,Comptes!$A$5:$A$42,0))</f>
      </c>
      <c r="Q750" s="0" t="inlineStr">
        <is>
          <t xml:space="preserve">6</t>
        </is>
      </c>
    </row>
    <row r="751">
      <c r="A751" s="4" t="inlineStr">
        <is>
          <t xml:space="preserve">SA</t>
        </is>
      </c>
      <c r="B751" s="0" t="inlineStr">
        <is>
          <t xml:space="preserve">Salaires</t>
        </is>
      </c>
      <c r="C751" s="0" t="inlineStr">
        <is>
          <t xml:space="preserve">SA00010</t>
        </is>
      </c>
      <c r="D751" s="10">
        <v>45596</v>
      </c>
      <c r="E751" s="4" t="inlineStr">
        <is>
          <t xml:space="preserve">645100</t>
        </is>
      </c>
      <c r="F751" s="0" t="inlineStr">
        <is>
          <t xml:space="preserve">Cotisations URSSAF</t>
        </is>
      </c>
      <c r="G751" s="0" t="inlineStr">
        <is>
          <t xml:space="preserve">PAIE202410</t>
        </is>
      </c>
      <c r="H751" s="0" t="inlineStr">
        <is>
          <t xml:space="preserve">Paie 10/2024</t>
        </is>
      </c>
      <c r="I751" s="8">
        <v>21773.24</v>
      </c>
      <c r="J751" s="8">
        <v>0</v>
      </c>
      <c r="K751" s="0"/>
      <c r="L751" s="0"/>
      <c r="M751" s="8">
        <f>I751-J751</f>
      </c>
      <c r="N751" s="0" t="inlineStr">
        <is>
          <t xml:space="preserve">2024-10</t>
        </is>
      </c>
      <c r="O751" s="0">
        <f>INDEX(Journaux!$E$5:$E$18,MATCH("2024|"&amp;A751,Journaux!$A$5:$A$18,0))</f>
      </c>
      <c r="P751" s="0">
        <f>INDEX(Comptes!$H$5:$H$42,MATCH(E751,Comptes!$A$5:$A$42,0))</f>
      </c>
      <c r="Q751" s="0" t="inlineStr">
        <is>
          <t xml:space="preserve">6</t>
        </is>
      </c>
    </row>
    <row r="752">
      <c r="A752" s="4" t="inlineStr">
        <is>
          <t xml:space="preserve">SA</t>
        </is>
      </c>
      <c r="B752" s="0" t="inlineStr">
        <is>
          <t xml:space="preserve">Salaires</t>
        </is>
      </c>
      <c r="C752" s="0" t="inlineStr">
        <is>
          <t xml:space="preserve">SA00010</t>
        </is>
      </c>
      <c r="D752" s="10">
        <v>45596</v>
      </c>
      <c r="E752" s="4" t="inlineStr">
        <is>
          <t xml:space="preserve">421000</t>
        </is>
      </c>
      <c r="F752" s="0" t="inlineStr">
        <is>
          <t xml:space="preserve">Personnel remunerations dues</t>
        </is>
      </c>
      <c r="G752" s="0" t="inlineStr">
        <is>
          <t xml:space="preserve">PAIE202410</t>
        </is>
      </c>
      <c r="H752" s="0" t="inlineStr">
        <is>
          <t xml:space="preserve">Paie 10/2024</t>
        </is>
      </c>
      <c r="I752" s="8">
        <v>0</v>
      </c>
      <c r="J752" s="8">
        <v>40436.01</v>
      </c>
      <c r="K752" s="0"/>
      <c r="L752" s="0"/>
      <c r="M752" s="8">
        <f>I752-J752</f>
      </c>
      <c r="N752" s="0" t="inlineStr">
        <is>
          <t xml:space="preserve">2024-10</t>
        </is>
      </c>
      <c r="O752" s="0">
        <f>INDEX(Journaux!$E$5:$E$18,MATCH("2024|"&amp;A752,Journaux!$A$5:$A$18,0))</f>
      </c>
      <c r="P752" s="0">
        <f>INDEX(Comptes!$H$5:$H$42,MATCH(E752,Comptes!$A$5:$A$42,0))</f>
      </c>
      <c r="Q752" s="0" t="inlineStr">
        <is>
          <t xml:space="preserve">4</t>
        </is>
      </c>
    </row>
    <row r="753">
      <c r="A753" s="4" t="inlineStr">
        <is>
          <t xml:space="preserve">SA</t>
        </is>
      </c>
      <c r="B753" s="0" t="inlineStr">
        <is>
          <t xml:space="preserve">Salaires</t>
        </is>
      </c>
      <c r="C753" s="0" t="inlineStr">
        <is>
          <t xml:space="preserve">SA00010</t>
        </is>
      </c>
      <c r="D753" s="10">
        <v>45596</v>
      </c>
      <c r="E753" s="4" t="inlineStr">
        <is>
          <t xml:space="preserve">431000</t>
        </is>
      </c>
      <c r="F753" s="0" t="inlineStr">
        <is>
          <t xml:space="preserve">Securite sociale</t>
        </is>
      </c>
      <c r="G753" s="0" t="inlineStr">
        <is>
          <t xml:space="preserve">PAIE202410</t>
        </is>
      </c>
      <c r="H753" s="0" t="inlineStr">
        <is>
          <t xml:space="preserve">Paie 10/2024</t>
        </is>
      </c>
      <c r="I753" s="8">
        <v>0</v>
      </c>
      <c r="J753" s="8">
        <v>33178.27</v>
      </c>
      <c r="K753" s="0"/>
      <c r="L753" s="0"/>
      <c r="M753" s="8">
        <f>I753-J753</f>
      </c>
      <c r="N753" s="0" t="inlineStr">
        <is>
          <t xml:space="preserve">2024-10</t>
        </is>
      </c>
      <c r="O753" s="0">
        <f>INDEX(Journaux!$E$5:$E$18,MATCH("2024|"&amp;A753,Journaux!$A$5:$A$18,0))</f>
      </c>
      <c r="P753" s="0">
        <f>INDEX(Comptes!$H$5:$H$42,MATCH(E753,Comptes!$A$5:$A$42,0))</f>
      </c>
      <c r="Q753" s="0" t="inlineStr">
        <is>
          <t xml:space="preserve">4</t>
        </is>
      </c>
    </row>
    <row r="754">
      <c r="A754" s="4" t="inlineStr">
        <is>
          <t xml:space="preserve">VT</t>
        </is>
      </c>
      <c r="B754" s="0" t="inlineStr">
        <is>
          <t xml:space="preserve">Journal des ventes</t>
        </is>
      </c>
      <c r="C754" s="0" t="inlineStr">
        <is>
          <t xml:space="preserve">VT00049</t>
        </is>
      </c>
      <c r="D754" s="10">
        <v>45596</v>
      </c>
      <c r="E754" s="4" t="inlineStr">
        <is>
          <t xml:space="preserve">411000</t>
        </is>
      </c>
      <c r="F754" s="0" t="inlineStr">
        <is>
          <t xml:space="preserve">Clients</t>
        </is>
      </c>
      <c r="G754" s="0" t="inlineStr">
        <is>
          <t xml:space="preserve">FA2024-0049</t>
        </is>
      </c>
      <c r="H754" s="0" t="inlineStr">
        <is>
          <t xml:space="preserve">Facture FA2024-0049 Agence Mobilis</t>
        </is>
      </c>
      <c r="I754" s="8">
        <v>45140.21</v>
      </c>
      <c r="J754" s="8">
        <v>0</v>
      </c>
      <c r="K754" s="0" t="inlineStr">
        <is>
          <t xml:space="preserve">ABB</t>
        </is>
      </c>
      <c r="L754" s="0" t="inlineStr">
        <is>
          <t xml:space="preserve">Agence Mobilis</t>
        </is>
      </c>
      <c r="M754" s="8">
        <f>I754-J754</f>
      </c>
      <c r="N754" s="0" t="inlineStr">
        <is>
          <t xml:space="preserve">2024-10</t>
        </is>
      </c>
      <c r="O754" s="0">
        <f>INDEX(Journaux!$E$5:$E$18,MATCH("2024|"&amp;A754,Journaux!$A$5:$A$18,0))</f>
      </c>
      <c r="P754" s="0">
        <f>INDEX(Comptes!$H$5:$H$42,MATCH(E754,Comptes!$A$5:$A$42,0))</f>
      </c>
      <c r="Q754" s="0" t="inlineStr">
        <is>
          <t xml:space="preserve">4</t>
        </is>
      </c>
      <c r="R754" s="7" t="inlineStr">
        <is>
          <t xml:space="preserve">411000|C002</t>
        </is>
      </c>
    </row>
    <row r="755">
      <c r="A755" s="4" t="inlineStr">
        <is>
          <t xml:space="preserve">VT</t>
        </is>
      </c>
      <c r="B755" s="0" t="inlineStr">
        <is>
          <t xml:space="preserve">Journal des ventes</t>
        </is>
      </c>
      <c r="C755" s="0" t="inlineStr">
        <is>
          <t xml:space="preserve">VT00049</t>
        </is>
      </c>
      <c r="D755" s="10">
        <v>45596</v>
      </c>
      <c r="E755" s="4" t="inlineStr">
        <is>
          <t xml:space="preserve">701000</t>
        </is>
      </c>
      <c r="F755" s="0" t="inlineStr">
        <is>
          <t xml:space="preserve">Ventes de produits finis</t>
        </is>
      </c>
      <c r="G755" s="0" t="inlineStr">
        <is>
          <t xml:space="preserve">FA2024-0049</t>
        </is>
      </c>
      <c r="H755" s="0" t="inlineStr">
        <is>
          <t xml:space="preserve">Facture FA2024-0049 Agence Mobilis</t>
        </is>
      </c>
      <c r="I755" s="8">
        <v>0</v>
      </c>
      <c r="J755" s="8">
        <v>37616.84</v>
      </c>
      <c r="K755" s="0"/>
      <c r="L755" s="0"/>
      <c r="M755" s="8">
        <f>I755-J755</f>
      </c>
      <c r="N755" s="0" t="inlineStr">
        <is>
          <t xml:space="preserve">2024-10</t>
        </is>
      </c>
      <c r="O755" s="0">
        <f>INDEX(Journaux!$E$5:$E$18,MATCH("2024|"&amp;A755,Journaux!$A$5:$A$18,0))</f>
      </c>
      <c r="P755" s="0">
        <f>INDEX(Comptes!$H$5:$H$42,MATCH(E755,Comptes!$A$5:$A$42,0))</f>
      </c>
      <c r="Q755" s="0" t="inlineStr">
        <is>
          <t xml:space="preserve">7</t>
        </is>
      </c>
    </row>
    <row r="756">
      <c r="A756" s="4" t="inlineStr">
        <is>
          <t xml:space="preserve">VT</t>
        </is>
      </c>
      <c r="B756" s="0" t="inlineStr">
        <is>
          <t xml:space="preserve">Journal des ventes</t>
        </is>
      </c>
      <c r="C756" s="0" t="inlineStr">
        <is>
          <t xml:space="preserve">VT00049</t>
        </is>
      </c>
      <c r="D756" s="10">
        <v>45596</v>
      </c>
      <c r="E756" s="4" t="inlineStr">
        <is>
          <t xml:space="preserve">445710</t>
        </is>
      </c>
      <c r="F756" s="0" t="inlineStr">
        <is>
          <t xml:space="preserve">TVA collectee</t>
        </is>
      </c>
      <c r="G756" s="0" t="inlineStr">
        <is>
          <t xml:space="preserve">FA2024-0049</t>
        </is>
      </c>
      <c r="H756" s="0" t="inlineStr">
        <is>
          <t xml:space="preserve">Facture FA2024-0049 Agence Mobilis</t>
        </is>
      </c>
      <c r="I756" s="8">
        <v>0</v>
      </c>
      <c r="J756" s="8">
        <v>7523.37</v>
      </c>
      <c r="K756" s="0"/>
      <c r="L756" s="0"/>
      <c r="M756" s="8">
        <f>I756-J756</f>
      </c>
      <c r="N756" s="0" t="inlineStr">
        <is>
          <t xml:space="preserve">2024-10</t>
        </is>
      </c>
      <c r="O756" s="0">
        <f>INDEX(Journaux!$E$5:$E$18,MATCH("2024|"&amp;A756,Journaux!$A$5:$A$18,0))</f>
      </c>
      <c r="P756" s="0">
        <f>INDEX(Comptes!$H$5:$H$42,MATCH(E756,Comptes!$A$5:$A$42,0))</f>
      </c>
      <c r="Q756" s="0" t="inlineStr">
        <is>
          <t xml:space="preserve">4</t>
        </is>
      </c>
    </row>
    <row r="757">
      <c r="A757" s="4" t="inlineStr">
        <is>
          <t xml:space="preserve">BQ</t>
        </is>
      </c>
      <c r="B757" s="0" t="inlineStr">
        <is>
          <t xml:space="preserve">Banque Fictive</t>
        </is>
      </c>
      <c r="C757" s="0" t="inlineStr">
        <is>
          <t xml:space="preserve">BQ00115</t>
        </is>
      </c>
      <c r="D757" s="10">
        <v>45597</v>
      </c>
      <c r="E757" s="4" t="inlineStr">
        <is>
          <t xml:space="preserve">512000</t>
        </is>
      </c>
      <c r="F757" s="0" t="inlineStr">
        <is>
          <t xml:space="preserve">Banque Fictive</t>
        </is>
      </c>
      <c r="G757" s="0" t="inlineStr">
        <is>
          <t xml:space="preserve">ENC-FA2024-0050</t>
        </is>
      </c>
      <c r="H757" s="0" t="inlineStr">
        <is>
          <t xml:space="preserve">Reglement client Restaurant Le Comptoir FA2024-0050</t>
        </is>
      </c>
      <c r="I757" s="8">
        <v>36738.47</v>
      </c>
      <c r="J757" s="8">
        <v>0</v>
      </c>
      <c r="K757" s="0"/>
      <c r="L757" s="0"/>
      <c r="M757" s="8">
        <f>I757-J757</f>
      </c>
      <c r="N757" s="0" t="inlineStr">
        <is>
          <t xml:space="preserve">2024-11</t>
        </is>
      </c>
      <c r="O757" s="0">
        <f>INDEX(Journaux!$E$5:$E$18,MATCH("2024|"&amp;A757,Journaux!$A$5:$A$18,0))</f>
      </c>
      <c r="P757" s="0">
        <f>INDEX(Comptes!$H$5:$H$42,MATCH(E757,Comptes!$A$5:$A$42,0))</f>
      </c>
      <c r="Q757" s="0" t="inlineStr">
        <is>
          <t xml:space="preserve">5</t>
        </is>
      </c>
    </row>
    <row r="758">
      <c r="A758" s="4" t="inlineStr">
        <is>
          <t xml:space="preserve">BQ</t>
        </is>
      </c>
      <c r="B758" s="0" t="inlineStr">
        <is>
          <t xml:space="preserve">Banque Fictive</t>
        </is>
      </c>
      <c r="C758" s="0" t="inlineStr">
        <is>
          <t xml:space="preserve">BQ00115</t>
        </is>
      </c>
      <c r="D758" s="10">
        <v>45597</v>
      </c>
      <c r="E758" s="4" t="inlineStr">
        <is>
          <t xml:space="preserve">411000</t>
        </is>
      </c>
      <c r="F758" s="0" t="inlineStr">
        <is>
          <t xml:space="preserve">Clients</t>
        </is>
      </c>
      <c r="G758" s="0" t="inlineStr">
        <is>
          <t xml:space="preserve">ENC-FA2024-0050</t>
        </is>
      </c>
      <c r="H758" s="0" t="inlineStr">
        <is>
          <t xml:space="preserve">Reglement client Restaurant Le Comptoir FA2024-0050</t>
        </is>
      </c>
      <c r="I758" s="8">
        <v>0</v>
      </c>
      <c r="J758" s="8">
        <v>36738.47</v>
      </c>
      <c r="K758" s="0" t="inlineStr">
        <is>
          <t xml:space="preserve">ABC</t>
        </is>
      </c>
      <c r="L758" s="0" t="inlineStr">
        <is>
          <t xml:space="preserve">Restaurant Le Comptoir</t>
        </is>
      </c>
      <c r="M758" s="8">
        <f>I758-J758</f>
      </c>
      <c r="N758" s="0" t="inlineStr">
        <is>
          <t xml:space="preserve">2024-11</t>
        </is>
      </c>
      <c r="O758" s="0">
        <f>INDEX(Journaux!$E$5:$E$18,MATCH("2024|"&amp;A758,Journaux!$A$5:$A$18,0))</f>
      </c>
      <c r="P758" s="0">
        <f>INDEX(Comptes!$H$5:$H$42,MATCH(E758,Comptes!$A$5:$A$42,0))</f>
      </c>
      <c r="Q758" s="0" t="inlineStr">
        <is>
          <t xml:space="preserve">4</t>
        </is>
      </c>
      <c r="R758" s="7" t="inlineStr">
        <is>
          <t xml:space="preserve">411000|C005</t>
        </is>
      </c>
    </row>
    <row r="759">
      <c r="A759" s="4" t="inlineStr">
        <is>
          <t xml:space="preserve">BQ</t>
        </is>
      </c>
      <c r="B759" s="0" t="inlineStr">
        <is>
          <t xml:space="preserve">Banque Fictive</t>
        </is>
      </c>
      <c r="C759" s="0" t="inlineStr">
        <is>
          <t xml:space="preserve">BQ00182</t>
        </is>
      </c>
      <c r="D759" s="10">
        <v>45600</v>
      </c>
      <c r="E759" s="4" t="inlineStr">
        <is>
          <t xml:space="preserve">401000</t>
        </is>
      </c>
      <c r="F759" s="0" t="inlineStr">
        <is>
          <t xml:space="preserve">Fournisseurs</t>
        </is>
      </c>
      <c r="G759" s="0" t="inlineStr">
        <is>
          <t xml:space="preserve">DEC-F004-202410</t>
        </is>
      </c>
      <c r="H759" s="0" t="inlineStr">
        <is>
          <t xml:space="preserve">Reglement fournisseur SCI Les Halles F004-202410</t>
        </is>
      </c>
      <c r="I759" s="8">
        <v>10200</v>
      </c>
      <c r="J759" s="8">
        <v>0</v>
      </c>
      <c r="K759" s="0" t="inlineStr">
        <is>
          <t xml:space="preserve">ADR</t>
        </is>
      </c>
      <c r="L759" s="0" t="inlineStr">
        <is>
          <t xml:space="preserve">SCI Les Halles</t>
        </is>
      </c>
      <c r="M759" s="8">
        <f>I759-J759</f>
      </c>
      <c r="N759" s="0" t="inlineStr">
        <is>
          <t xml:space="preserve">2024-11</t>
        </is>
      </c>
      <c r="O759" s="0">
        <f>INDEX(Journaux!$E$5:$E$18,MATCH("2024|"&amp;A759,Journaux!$A$5:$A$18,0))</f>
      </c>
      <c r="P759" s="0">
        <f>INDEX(Comptes!$H$5:$H$42,MATCH(E759,Comptes!$A$5:$A$42,0))</f>
      </c>
      <c r="Q759" s="0" t="inlineStr">
        <is>
          <t xml:space="preserve">4</t>
        </is>
      </c>
      <c r="R759" s="7" t="inlineStr">
        <is>
          <t xml:space="preserve">401000|F004</t>
        </is>
      </c>
    </row>
    <row r="760">
      <c r="A760" s="4" t="inlineStr">
        <is>
          <t xml:space="preserve">BQ</t>
        </is>
      </c>
      <c r="B760" s="0" t="inlineStr">
        <is>
          <t xml:space="preserve">Banque Fictive</t>
        </is>
      </c>
      <c r="C760" s="0" t="inlineStr">
        <is>
          <t xml:space="preserve">BQ00182</t>
        </is>
      </c>
      <c r="D760" s="10">
        <v>45600</v>
      </c>
      <c r="E760" s="4" t="inlineStr">
        <is>
          <t xml:space="preserve">512000</t>
        </is>
      </c>
      <c r="F760" s="0" t="inlineStr">
        <is>
          <t xml:space="preserve">Banque Fictive</t>
        </is>
      </c>
      <c r="G760" s="0" t="inlineStr">
        <is>
          <t xml:space="preserve">DEC-F004-202410</t>
        </is>
      </c>
      <c r="H760" s="0" t="inlineStr">
        <is>
          <t xml:space="preserve">Reglement fournisseur SCI Les Halles F004-202410</t>
        </is>
      </c>
      <c r="I760" s="8">
        <v>0</v>
      </c>
      <c r="J760" s="8">
        <v>10200</v>
      </c>
      <c r="K760" s="0"/>
      <c r="L760" s="0"/>
      <c r="M760" s="8">
        <f>I760-J760</f>
      </c>
      <c r="N760" s="0" t="inlineStr">
        <is>
          <t xml:space="preserve">2024-11</t>
        </is>
      </c>
      <c r="O760" s="0">
        <f>INDEX(Journaux!$E$5:$E$18,MATCH("2024|"&amp;A760,Journaux!$A$5:$A$18,0))</f>
      </c>
      <c r="P760" s="0">
        <f>INDEX(Comptes!$H$5:$H$42,MATCH(E760,Comptes!$A$5:$A$42,0))</f>
      </c>
      <c r="Q760" s="0" t="inlineStr">
        <is>
          <t xml:space="preserve">5</t>
        </is>
      </c>
    </row>
    <row r="761">
      <c r="A761" s="4" t="inlineStr">
        <is>
          <t xml:space="preserve">BQ</t>
        </is>
      </c>
      <c r="B761" s="0" t="inlineStr">
        <is>
          <t xml:space="preserve">Banque Fictive</t>
        </is>
      </c>
      <c r="C761" s="0" t="inlineStr">
        <is>
          <t xml:space="preserve">BQ00183</t>
        </is>
      </c>
      <c r="D761" s="10">
        <v>45600</v>
      </c>
      <c r="E761" s="4" t="inlineStr">
        <is>
          <t xml:space="preserve">401000</t>
        </is>
      </c>
      <c r="F761" s="0" t="inlineStr">
        <is>
          <t xml:space="preserve">Fournisseurs</t>
        </is>
      </c>
      <c r="G761" s="0" t="inlineStr">
        <is>
          <t xml:space="preserve">DEC-F005-202410</t>
        </is>
      </c>
      <c r="H761" s="0" t="inlineStr">
        <is>
          <t xml:space="preserve">Reglement fournisseur Energie Plus F005-202410</t>
        </is>
      </c>
      <c r="I761" s="8">
        <v>3029.52</v>
      </c>
      <c r="J761" s="8">
        <v>0</v>
      </c>
      <c r="K761" s="0" t="inlineStr">
        <is>
          <t xml:space="preserve">ADS</t>
        </is>
      </c>
      <c r="L761" s="0" t="inlineStr">
        <is>
          <t xml:space="preserve">Energie Plus</t>
        </is>
      </c>
      <c r="M761" s="8">
        <f>I761-J761</f>
      </c>
      <c r="N761" s="0" t="inlineStr">
        <is>
          <t xml:space="preserve">2024-11</t>
        </is>
      </c>
      <c r="O761" s="0">
        <f>INDEX(Journaux!$E$5:$E$18,MATCH("2024|"&amp;A761,Journaux!$A$5:$A$18,0))</f>
      </c>
      <c r="P761" s="0">
        <f>INDEX(Comptes!$H$5:$H$42,MATCH(E761,Comptes!$A$5:$A$42,0))</f>
      </c>
      <c r="Q761" s="0" t="inlineStr">
        <is>
          <t xml:space="preserve">4</t>
        </is>
      </c>
      <c r="R761" s="7" t="inlineStr">
        <is>
          <t xml:space="preserve">401000|F005</t>
        </is>
      </c>
    </row>
    <row r="762">
      <c r="A762" s="4" t="inlineStr">
        <is>
          <t xml:space="preserve">BQ</t>
        </is>
      </c>
      <c r="B762" s="0" t="inlineStr">
        <is>
          <t xml:space="preserve">Banque Fictive</t>
        </is>
      </c>
      <c r="C762" s="0" t="inlineStr">
        <is>
          <t xml:space="preserve">BQ00183</t>
        </is>
      </c>
      <c r="D762" s="10">
        <v>45600</v>
      </c>
      <c r="E762" s="4" t="inlineStr">
        <is>
          <t xml:space="preserve">512000</t>
        </is>
      </c>
      <c r="F762" s="0" t="inlineStr">
        <is>
          <t xml:space="preserve">Banque Fictive</t>
        </is>
      </c>
      <c r="G762" s="0" t="inlineStr">
        <is>
          <t xml:space="preserve">DEC-F005-202410</t>
        </is>
      </c>
      <c r="H762" s="0" t="inlineStr">
        <is>
          <t xml:space="preserve">Reglement fournisseur Energie Plus F005-202410</t>
        </is>
      </c>
      <c r="I762" s="8">
        <v>0</v>
      </c>
      <c r="J762" s="8">
        <v>3029.52</v>
      </c>
      <c r="K762" s="0"/>
      <c r="L762" s="0"/>
      <c r="M762" s="8">
        <f>I762-J762</f>
      </c>
      <c r="N762" s="0" t="inlineStr">
        <is>
          <t xml:space="preserve">2024-11</t>
        </is>
      </c>
      <c r="O762" s="0">
        <f>INDEX(Journaux!$E$5:$E$18,MATCH("2024|"&amp;A762,Journaux!$A$5:$A$18,0))</f>
      </c>
      <c r="P762" s="0">
        <f>INDEX(Comptes!$H$5:$H$42,MATCH(E762,Comptes!$A$5:$A$42,0))</f>
      </c>
      <c r="Q762" s="0" t="inlineStr">
        <is>
          <t xml:space="preserve">5</t>
        </is>
      </c>
    </row>
    <row r="763">
      <c r="A763" s="4" t="inlineStr">
        <is>
          <t xml:space="preserve">BQ</t>
        </is>
      </c>
      <c r="B763" s="0" t="inlineStr">
        <is>
          <t xml:space="preserve">Banque Fictive</t>
        </is>
      </c>
      <c r="C763" s="0" t="inlineStr">
        <is>
          <t xml:space="preserve">BQ00184</t>
        </is>
      </c>
      <c r="D763" s="10">
        <v>45600</v>
      </c>
      <c r="E763" s="4" t="inlineStr">
        <is>
          <t xml:space="preserve">401000</t>
        </is>
      </c>
      <c r="F763" s="0" t="inlineStr">
        <is>
          <t xml:space="preserve">Fournisseurs</t>
        </is>
      </c>
      <c r="G763" s="0" t="inlineStr">
        <is>
          <t xml:space="preserve">DEC-F008-202410</t>
        </is>
      </c>
      <c r="H763" s="0" t="inlineStr">
        <is>
          <t xml:space="preserve">Reglement fournisseur Telecom Pro F008-202410</t>
        </is>
      </c>
      <c r="I763" s="8">
        <v>576</v>
      </c>
      <c r="J763" s="8">
        <v>0</v>
      </c>
      <c r="K763" s="0" t="inlineStr">
        <is>
          <t xml:space="preserve">ADT</t>
        </is>
      </c>
      <c r="L763" s="0" t="inlineStr">
        <is>
          <t xml:space="preserve">Telecom Pro</t>
        </is>
      </c>
      <c r="M763" s="8">
        <f>I763-J763</f>
      </c>
      <c r="N763" s="0" t="inlineStr">
        <is>
          <t xml:space="preserve">2024-11</t>
        </is>
      </c>
      <c r="O763" s="0">
        <f>INDEX(Journaux!$E$5:$E$18,MATCH("2024|"&amp;A763,Journaux!$A$5:$A$18,0))</f>
      </c>
      <c r="P763" s="0">
        <f>INDEX(Comptes!$H$5:$H$42,MATCH(E763,Comptes!$A$5:$A$42,0))</f>
      </c>
      <c r="Q763" s="0" t="inlineStr">
        <is>
          <t xml:space="preserve">4</t>
        </is>
      </c>
      <c r="R763" s="7" t="inlineStr">
        <is>
          <t xml:space="preserve">401000|F008</t>
        </is>
      </c>
    </row>
    <row r="764">
      <c r="A764" s="4" t="inlineStr">
        <is>
          <t xml:space="preserve">BQ</t>
        </is>
      </c>
      <c r="B764" s="0" t="inlineStr">
        <is>
          <t xml:space="preserve">Banque Fictive</t>
        </is>
      </c>
      <c r="C764" s="0" t="inlineStr">
        <is>
          <t xml:space="preserve">BQ00184</t>
        </is>
      </c>
      <c r="D764" s="10">
        <v>45600</v>
      </c>
      <c r="E764" s="4" t="inlineStr">
        <is>
          <t xml:space="preserve">512000</t>
        </is>
      </c>
      <c r="F764" s="0" t="inlineStr">
        <is>
          <t xml:space="preserve">Banque Fictive</t>
        </is>
      </c>
      <c r="G764" s="0" t="inlineStr">
        <is>
          <t xml:space="preserve">DEC-F008-202410</t>
        </is>
      </c>
      <c r="H764" s="0" t="inlineStr">
        <is>
          <t xml:space="preserve">Reglement fournisseur Telecom Pro F008-202410</t>
        </is>
      </c>
      <c r="I764" s="8">
        <v>0</v>
      </c>
      <c r="J764" s="8">
        <v>576</v>
      </c>
      <c r="K764" s="0"/>
      <c r="L764" s="0"/>
      <c r="M764" s="8">
        <f>I764-J764</f>
      </c>
      <c r="N764" s="0" t="inlineStr">
        <is>
          <t xml:space="preserve">2024-11</t>
        </is>
      </c>
      <c r="O764" s="0">
        <f>INDEX(Journaux!$E$5:$E$18,MATCH("2024|"&amp;A764,Journaux!$A$5:$A$18,0))</f>
      </c>
      <c r="P764" s="0">
        <f>INDEX(Comptes!$H$5:$H$42,MATCH(E764,Comptes!$A$5:$A$42,0))</f>
      </c>
      <c r="Q764" s="0" t="inlineStr">
        <is>
          <t xml:space="preserve">5</t>
        </is>
      </c>
    </row>
    <row r="765">
      <c r="A765" s="4" t="inlineStr">
        <is>
          <t xml:space="preserve">BQ</t>
        </is>
      </c>
      <c r="B765" s="0" t="inlineStr">
        <is>
          <t xml:space="preserve">Banque Fictive</t>
        </is>
      </c>
      <c r="C765" s="0" t="inlineStr">
        <is>
          <t xml:space="preserve">BQ00185</t>
        </is>
      </c>
      <c r="D765" s="10">
        <v>45600</v>
      </c>
      <c r="E765" s="4" t="inlineStr">
        <is>
          <t xml:space="preserve">401000</t>
        </is>
      </c>
      <c r="F765" s="0" t="inlineStr">
        <is>
          <t xml:space="preserve">Fournisseurs</t>
        </is>
      </c>
      <c r="G765" s="0" t="inlineStr">
        <is>
          <t xml:space="preserve">DEC-F006-202410</t>
        </is>
      </c>
      <c r="H765" s="0" t="inlineStr">
        <is>
          <t xml:space="preserve">Reglement fournisseur Assurances Mutuelles Exemple F006-202410</t>
        </is>
      </c>
      <c r="I765" s="8">
        <v>3000</v>
      </c>
      <c r="J765" s="8">
        <v>0</v>
      </c>
      <c r="K765" s="0" t="inlineStr">
        <is>
          <t xml:space="preserve">ADU</t>
        </is>
      </c>
      <c r="L765" s="0" t="inlineStr">
        <is>
          <t xml:space="preserve">Assurances Mutuelles Exemple</t>
        </is>
      </c>
      <c r="M765" s="8">
        <f>I765-J765</f>
      </c>
      <c r="N765" s="0" t="inlineStr">
        <is>
          <t xml:space="preserve">2024-11</t>
        </is>
      </c>
      <c r="O765" s="0">
        <f>INDEX(Journaux!$E$5:$E$18,MATCH("2024|"&amp;A765,Journaux!$A$5:$A$18,0))</f>
      </c>
      <c r="P765" s="0">
        <f>INDEX(Comptes!$H$5:$H$42,MATCH(E765,Comptes!$A$5:$A$42,0))</f>
      </c>
      <c r="Q765" s="0" t="inlineStr">
        <is>
          <t xml:space="preserve">4</t>
        </is>
      </c>
      <c r="R765" s="7" t="inlineStr">
        <is>
          <t xml:space="preserve">401000|F006</t>
        </is>
      </c>
    </row>
    <row r="766">
      <c r="A766" s="4" t="inlineStr">
        <is>
          <t xml:space="preserve">BQ</t>
        </is>
      </c>
      <c r="B766" s="0" t="inlineStr">
        <is>
          <t xml:space="preserve">Banque Fictive</t>
        </is>
      </c>
      <c r="C766" s="0" t="inlineStr">
        <is>
          <t xml:space="preserve">BQ00185</t>
        </is>
      </c>
      <c r="D766" s="10">
        <v>45600</v>
      </c>
      <c r="E766" s="4" t="inlineStr">
        <is>
          <t xml:space="preserve">512000</t>
        </is>
      </c>
      <c r="F766" s="0" t="inlineStr">
        <is>
          <t xml:space="preserve">Banque Fictive</t>
        </is>
      </c>
      <c r="G766" s="0" t="inlineStr">
        <is>
          <t xml:space="preserve">DEC-F006-202410</t>
        </is>
      </c>
      <c r="H766" s="0" t="inlineStr">
        <is>
          <t xml:space="preserve">Reglement fournisseur Assurances Mutuelles Exemple F006-202410</t>
        </is>
      </c>
      <c r="I766" s="8">
        <v>0</v>
      </c>
      <c r="J766" s="8">
        <v>3000</v>
      </c>
      <c r="K766" s="0"/>
      <c r="L766" s="0"/>
      <c r="M766" s="8">
        <f>I766-J766</f>
      </c>
      <c r="N766" s="0" t="inlineStr">
        <is>
          <t xml:space="preserve">2024-11</t>
        </is>
      </c>
      <c r="O766" s="0">
        <f>INDEX(Journaux!$E$5:$E$18,MATCH("2024|"&amp;A766,Journaux!$A$5:$A$18,0))</f>
      </c>
      <c r="P766" s="0">
        <f>INDEX(Comptes!$H$5:$H$42,MATCH(E766,Comptes!$A$5:$A$42,0))</f>
      </c>
      <c r="Q766" s="0" t="inlineStr">
        <is>
          <t xml:space="preserve">5</t>
        </is>
      </c>
    </row>
    <row r="767">
      <c r="A767" s="4" t="inlineStr">
        <is>
          <t xml:space="preserve">AC</t>
        </is>
      </c>
      <c r="B767" s="0" t="inlineStr">
        <is>
          <t xml:space="preserve">Journal des achats</t>
        </is>
      </c>
      <c r="C767" s="0" t="inlineStr">
        <is>
          <t xml:space="preserve">AC00064</t>
        </is>
      </c>
      <c r="D767" s="10">
        <v>45601</v>
      </c>
      <c r="E767" s="4" t="inlineStr">
        <is>
          <t xml:space="preserve">613200</t>
        </is>
      </c>
      <c r="F767" s="0" t="inlineStr">
        <is>
          <t xml:space="preserve">Locations immobilieres</t>
        </is>
      </c>
      <c r="G767" s="0" t="inlineStr">
        <is>
          <t xml:space="preserve">F004-202411</t>
        </is>
      </c>
      <c r="H767" s="0" t="inlineStr">
        <is>
          <t xml:space="preserve">Facture SCI Les Halles 2024-11</t>
        </is>
      </c>
      <c r="I767" s="8">
        <v>8500</v>
      </c>
      <c r="J767" s="8">
        <v>0</v>
      </c>
      <c r="K767" s="0"/>
      <c r="L767" s="0"/>
      <c r="M767" s="8">
        <f>I767-J767</f>
      </c>
      <c r="N767" s="0" t="inlineStr">
        <is>
          <t xml:space="preserve">2024-11</t>
        </is>
      </c>
      <c r="O767" s="0">
        <f>INDEX(Journaux!$E$5:$E$18,MATCH("2024|"&amp;A767,Journaux!$A$5:$A$18,0))</f>
      </c>
      <c r="P767" s="0">
        <f>INDEX(Comptes!$H$5:$H$42,MATCH(E767,Comptes!$A$5:$A$42,0))</f>
      </c>
      <c r="Q767" s="0" t="inlineStr">
        <is>
          <t xml:space="preserve">6</t>
        </is>
      </c>
    </row>
    <row r="768">
      <c r="A768" s="4" t="inlineStr">
        <is>
          <t xml:space="preserve">AC</t>
        </is>
      </c>
      <c r="B768" s="0" t="inlineStr">
        <is>
          <t xml:space="preserve">Journal des achats</t>
        </is>
      </c>
      <c r="C768" s="0" t="inlineStr">
        <is>
          <t xml:space="preserve">AC00064</t>
        </is>
      </c>
      <c r="D768" s="10">
        <v>45601</v>
      </c>
      <c r="E768" s="4" t="inlineStr">
        <is>
          <t xml:space="preserve">445660</t>
        </is>
      </c>
      <c r="F768" s="0" t="inlineStr">
        <is>
          <t xml:space="preserve">TVA deductible sur ABS</t>
        </is>
      </c>
      <c r="G768" s="0" t="inlineStr">
        <is>
          <t xml:space="preserve">F004-202411</t>
        </is>
      </c>
      <c r="H768" s="0" t="inlineStr">
        <is>
          <t xml:space="preserve">Facture SCI Les Halles 2024-11</t>
        </is>
      </c>
      <c r="I768" s="8">
        <v>1700</v>
      </c>
      <c r="J768" s="8">
        <v>0</v>
      </c>
      <c r="K768" s="0"/>
      <c r="L768" s="0"/>
      <c r="M768" s="8">
        <f>I768-J768</f>
      </c>
      <c r="N768" s="0" t="inlineStr">
        <is>
          <t xml:space="preserve">2024-11</t>
        </is>
      </c>
      <c r="O768" s="0">
        <f>INDEX(Journaux!$E$5:$E$18,MATCH("2024|"&amp;A768,Journaux!$A$5:$A$18,0))</f>
      </c>
      <c r="P768" s="0">
        <f>INDEX(Comptes!$H$5:$H$42,MATCH(E768,Comptes!$A$5:$A$42,0))</f>
      </c>
      <c r="Q768" s="0" t="inlineStr">
        <is>
          <t xml:space="preserve">4</t>
        </is>
      </c>
    </row>
    <row r="769">
      <c r="A769" s="4" t="inlineStr">
        <is>
          <t xml:space="preserve">AC</t>
        </is>
      </c>
      <c r="B769" s="0" t="inlineStr">
        <is>
          <t xml:space="preserve">Journal des achats</t>
        </is>
      </c>
      <c r="C769" s="0" t="inlineStr">
        <is>
          <t xml:space="preserve">AC00064</t>
        </is>
      </c>
      <c r="D769" s="10">
        <v>45601</v>
      </c>
      <c r="E769" s="4" t="inlineStr">
        <is>
          <t xml:space="preserve">401000</t>
        </is>
      </c>
      <c r="F769" s="0" t="inlineStr">
        <is>
          <t xml:space="preserve">Fournisseurs</t>
        </is>
      </c>
      <c r="G769" s="0" t="inlineStr">
        <is>
          <t xml:space="preserve">F004-202411</t>
        </is>
      </c>
      <c r="H769" s="0" t="inlineStr">
        <is>
          <t xml:space="preserve">Facture SCI Les Halles 2024-11</t>
        </is>
      </c>
      <c r="I769" s="8">
        <v>0</v>
      </c>
      <c r="J769" s="8">
        <v>10200</v>
      </c>
      <c r="K769" s="0" t="inlineStr">
        <is>
          <t xml:space="preserve">ADW</t>
        </is>
      </c>
      <c r="L769" s="0" t="inlineStr">
        <is>
          <t xml:space="preserve">SCI Les Halles</t>
        </is>
      </c>
      <c r="M769" s="8">
        <f>I769-J769</f>
      </c>
      <c r="N769" s="0" t="inlineStr">
        <is>
          <t xml:space="preserve">2024-11</t>
        </is>
      </c>
      <c r="O769" s="0">
        <f>INDEX(Journaux!$E$5:$E$18,MATCH("2024|"&amp;A769,Journaux!$A$5:$A$18,0))</f>
      </c>
      <c r="P769" s="0">
        <f>INDEX(Comptes!$H$5:$H$42,MATCH(E769,Comptes!$A$5:$A$42,0))</f>
      </c>
      <c r="Q769" s="0" t="inlineStr">
        <is>
          <t xml:space="preserve">4</t>
        </is>
      </c>
      <c r="R769" s="7" t="inlineStr">
        <is>
          <t xml:space="preserve">401000|F004</t>
        </is>
      </c>
    </row>
    <row r="770">
      <c r="A770" s="4" t="inlineStr">
        <is>
          <t xml:space="preserve">AC</t>
        </is>
      </c>
      <c r="B770" s="0" t="inlineStr">
        <is>
          <t xml:space="preserve">Journal des achats</t>
        </is>
      </c>
      <c r="C770" s="0" t="inlineStr">
        <is>
          <t xml:space="preserve">AC00065</t>
        </is>
      </c>
      <c r="D770" s="10">
        <v>45601</v>
      </c>
      <c r="E770" s="4" t="inlineStr">
        <is>
          <t xml:space="preserve">606100</t>
        </is>
      </c>
      <c r="F770" s="0" t="inlineStr">
        <is>
          <t xml:space="preserve">Fournitures non stockables energie</t>
        </is>
      </c>
      <c r="G770" s="0" t="inlineStr">
        <is>
          <t xml:space="preserve">F005-202411</t>
        </is>
      </c>
      <c r="H770" s="0" t="inlineStr">
        <is>
          <t xml:space="preserve">Facture Energie Plus 2024-11</t>
        </is>
      </c>
      <c r="I770" s="8">
        <v>3300.36</v>
      </c>
      <c r="J770" s="8">
        <v>0</v>
      </c>
      <c r="K770" s="0"/>
      <c r="L770" s="0"/>
      <c r="M770" s="8">
        <f>I770-J770</f>
      </c>
      <c r="N770" s="0" t="inlineStr">
        <is>
          <t xml:space="preserve">2024-11</t>
        </is>
      </c>
      <c r="O770" s="0">
        <f>INDEX(Journaux!$E$5:$E$18,MATCH("2024|"&amp;A770,Journaux!$A$5:$A$18,0))</f>
      </c>
      <c r="P770" s="0">
        <f>INDEX(Comptes!$H$5:$H$42,MATCH(E770,Comptes!$A$5:$A$42,0))</f>
      </c>
      <c r="Q770" s="0" t="inlineStr">
        <is>
          <t xml:space="preserve">6</t>
        </is>
      </c>
    </row>
    <row r="771">
      <c r="A771" s="4" t="inlineStr">
        <is>
          <t xml:space="preserve">AC</t>
        </is>
      </c>
      <c r="B771" s="0" t="inlineStr">
        <is>
          <t xml:space="preserve">Journal des achats</t>
        </is>
      </c>
      <c r="C771" s="0" t="inlineStr">
        <is>
          <t xml:space="preserve">AC00065</t>
        </is>
      </c>
      <c r="D771" s="10">
        <v>45601</v>
      </c>
      <c r="E771" s="4" t="inlineStr">
        <is>
          <t xml:space="preserve">445660</t>
        </is>
      </c>
      <c r="F771" s="0" t="inlineStr">
        <is>
          <t xml:space="preserve">TVA deductible sur ABS</t>
        </is>
      </c>
      <c r="G771" s="0" t="inlineStr">
        <is>
          <t xml:space="preserve">F005-202411</t>
        </is>
      </c>
      <c r="H771" s="0" t="inlineStr">
        <is>
          <t xml:space="preserve">Facture Energie Plus 2024-11</t>
        </is>
      </c>
      <c r="I771" s="8">
        <v>660.07</v>
      </c>
      <c r="J771" s="8">
        <v>0</v>
      </c>
      <c r="K771" s="0"/>
      <c r="L771" s="0"/>
      <c r="M771" s="8">
        <f>I771-J771</f>
      </c>
      <c r="N771" s="0" t="inlineStr">
        <is>
          <t xml:space="preserve">2024-11</t>
        </is>
      </c>
      <c r="O771" s="0">
        <f>INDEX(Journaux!$E$5:$E$18,MATCH("2024|"&amp;A771,Journaux!$A$5:$A$18,0))</f>
      </c>
      <c r="P771" s="0">
        <f>INDEX(Comptes!$H$5:$H$42,MATCH(E771,Comptes!$A$5:$A$42,0))</f>
      </c>
      <c r="Q771" s="0" t="inlineStr">
        <is>
          <t xml:space="preserve">4</t>
        </is>
      </c>
    </row>
    <row r="772">
      <c r="A772" s="4" t="inlineStr">
        <is>
          <t xml:space="preserve">AC</t>
        </is>
      </c>
      <c r="B772" s="0" t="inlineStr">
        <is>
          <t xml:space="preserve">Journal des achats</t>
        </is>
      </c>
      <c r="C772" s="0" t="inlineStr">
        <is>
          <t xml:space="preserve">AC00065</t>
        </is>
      </c>
      <c r="D772" s="10">
        <v>45601</v>
      </c>
      <c r="E772" s="4" t="inlineStr">
        <is>
          <t xml:space="preserve">401000</t>
        </is>
      </c>
      <c r="F772" s="0" t="inlineStr">
        <is>
          <t xml:space="preserve">Fournisseurs</t>
        </is>
      </c>
      <c r="G772" s="0" t="inlineStr">
        <is>
          <t xml:space="preserve">F005-202411</t>
        </is>
      </c>
      <c r="H772" s="0" t="inlineStr">
        <is>
          <t xml:space="preserve">Facture Energie Plus 2024-11</t>
        </is>
      </c>
      <c r="I772" s="8">
        <v>0</v>
      </c>
      <c r="J772" s="8">
        <v>3960.43</v>
      </c>
      <c r="K772" s="0" t="inlineStr">
        <is>
          <t xml:space="preserve">ADX</t>
        </is>
      </c>
      <c r="L772" s="0" t="inlineStr">
        <is>
          <t xml:space="preserve">Energie Plus</t>
        </is>
      </c>
      <c r="M772" s="8">
        <f>I772-J772</f>
      </c>
      <c r="N772" s="0" t="inlineStr">
        <is>
          <t xml:space="preserve">2024-11</t>
        </is>
      </c>
      <c r="O772" s="0">
        <f>INDEX(Journaux!$E$5:$E$18,MATCH("2024|"&amp;A772,Journaux!$A$5:$A$18,0))</f>
      </c>
      <c r="P772" s="0">
        <f>INDEX(Comptes!$H$5:$H$42,MATCH(E772,Comptes!$A$5:$A$42,0))</f>
      </c>
      <c r="Q772" s="0" t="inlineStr">
        <is>
          <t xml:space="preserve">4</t>
        </is>
      </c>
      <c r="R772" s="7" t="inlineStr">
        <is>
          <t xml:space="preserve">401000|F005</t>
        </is>
      </c>
    </row>
    <row r="773">
      <c r="A773" s="4" t="inlineStr">
        <is>
          <t xml:space="preserve">AC</t>
        </is>
      </c>
      <c r="B773" s="0" t="inlineStr">
        <is>
          <t xml:space="preserve">Journal des achats</t>
        </is>
      </c>
      <c r="C773" s="0" t="inlineStr">
        <is>
          <t xml:space="preserve">AC00066</t>
        </is>
      </c>
      <c r="D773" s="10">
        <v>45601</v>
      </c>
      <c r="E773" s="4" t="inlineStr">
        <is>
          <t xml:space="preserve">626000</t>
        </is>
      </c>
      <c r="F773" s="0" t="inlineStr">
        <is>
          <t xml:space="preserve">Frais postaux et telecommunications</t>
        </is>
      </c>
      <c r="G773" s="0" t="inlineStr">
        <is>
          <t xml:space="preserve">F008-202411</t>
        </is>
      </c>
      <c r="H773" s="0" t="inlineStr">
        <is>
          <t xml:space="preserve">Facture Telecom Pro 2024-11</t>
        </is>
      </c>
      <c r="I773" s="8">
        <v>480</v>
      </c>
      <c r="J773" s="8">
        <v>0</v>
      </c>
      <c r="K773" s="0"/>
      <c r="L773" s="0"/>
      <c r="M773" s="8">
        <f>I773-J773</f>
      </c>
      <c r="N773" s="0" t="inlineStr">
        <is>
          <t xml:space="preserve">2024-11</t>
        </is>
      </c>
      <c r="O773" s="0">
        <f>INDEX(Journaux!$E$5:$E$18,MATCH("2024|"&amp;A773,Journaux!$A$5:$A$18,0))</f>
      </c>
      <c r="P773" s="0">
        <f>INDEX(Comptes!$H$5:$H$42,MATCH(E773,Comptes!$A$5:$A$42,0))</f>
      </c>
      <c r="Q773" s="0" t="inlineStr">
        <is>
          <t xml:space="preserve">6</t>
        </is>
      </c>
    </row>
    <row r="774">
      <c r="A774" s="4" t="inlineStr">
        <is>
          <t xml:space="preserve">AC</t>
        </is>
      </c>
      <c r="B774" s="0" t="inlineStr">
        <is>
          <t xml:space="preserve">Journal des achats</t>
        </is>
      </c>
      <c r="C774" s="0" t="inlineStr">
        <is>
          <t xml:space="preserve">AC00066</t>
        </is>
      </c>
      <c r="D774" s="10">
        <v>45601</v>
      </c>
      <c r="E774" s="4" t="inlineStr">
        <is>
          <t xml:space="preserve">445660</t>
        </is>
      </c>
      <c r="F774" s="0" t="inlineStr">
        <is>
          <t xml:space="preserve">TVA deductible sur ABS</t>
        </is>
      </c>
      <c r="G774" s="0" t="inlineStr">
        <is>
          <t xml:space="preserve">F008-202411</t>
        </is>
      </c>
      <c r="H774" s="0" t="inlineStr">
        <is>
          <t xml:space="preserve">Facture Telecom Pro 2024-11</t>
        </is>
      </c>
      <c r="I774" s="8">
        <v>96</v>
      </c>
      <c r="J774" s="8">
        <v>0</v>
      </c>
      <c r="K774" s="0"/>
      <c r="L774" s="0"/>
      <c r="M774" s="8">
        <f>I774-J774</f>
      </c>
      <c r="N774" s="0" t="inlineStr">
        <is>
          <t xml:space="preserve">2024-11</t>
        </is>
      </c>
      <c r="O774" s="0">
        <f>INDEX(Journaux!$E$5:$E$18,MATCH("2024|"&amp;A774,Journaux!$A$5:$A$18,0))</f>
      </c>
      <c r="P774" s="0">
        <f>INDEX(Comptes!$H$5:$H$42,MATCH(E774,Comptes!$A$5:$A$42,0))</f>
      </c>
      <c r="Q774" s="0" t="inlineStr">
        <is>
          <t xml:space="preserve">4</t>
        </is>
      </c>
    </row>
    <row r="775">
      <c r="A775" s="4" t="inlineStr">
        <is>
          <t xml:space="preserve">AC</t>
        </is>
      </c>
      <c r="B775" s="0" t="inlineStr">
        <is>
          <t xml:space="preserve">Journal des achats</t>
        </is>
      </c>
      <c r="C775" s="0" t="inlineStr">
        <is>
          <t xml:space="preserve">AC00066</t>
        </is>
      </c>
      <c r="D775" s="10">
        <v>45601</v>
      </c>
      <c r="E775" s="4" t="inlineStr">
        <is>
          <t xml:space="preserve">401000</t>
        </is>
      </c>
      <c r="F775" s="0" t="inlineStr">
        <is>
          <t xml:space="preserve">Fournisseurs</t>
        </is>
      </c>
      <c r="G775" s="0" t="inlineStr">
        <is>
          <t xml:space="preserve">F008-202411</t>
        </is>
      </c>
      <c r="H775" s="0" t="inlineStr">
        <is>
          <t xml:space="preserve">Facture Telecom Pro 2024-11</t>
        </is>
      </c>
      <c r="I775" s="8">
        <v>0</v>
      </c>
      <c r="J775" s="8">
        <v>576</v>
      </c>
      <c r="K775" s="0" t="inlineStr">
        <is>
          <t xml:space="preserve">ADY</t>
        </is>
      </c>
      <c r="L775" s="0" t="inlineStr">
        <is>
          <t xml:space="preserve">Telecom Pro</t>
        </is>
      </c>
      <c r="M775" s="8">
        <f>I775-J775</f>
      </c>
      <c r="N775" s="0" t="inlineStr">
        <is>
          <t xml:space="preserve">2024-11</t>
        </is>
      </c>
      <c r="O775" s="0">
        <f>INDEX(Journaux!$E$5:$E$18,MATCH("2024|"&amp;A775,Journaux!$A$5:$A$18,0))</f>
      </c>
      <c r="P775" s="0">
        <f>INDEX(Comptes!$H$5:$H$42,MATCH(E775,Comptes!$A$5:$A$42,0))</f>
      </c>
      <c r="Q775" s="0" t="inlineStr">
        <is>
          <t xml:space="preserve">4</t>
        </is>
      </c>
      <c r="R775" s="7" t="inlineStr">
        <is>
          <t xml:space="preserve">401000|F008</t>
        </is>
      </c>
    </row>
    <row r="776">
      <c r="A776" s="4" t="inlineStr">
        <is>
          <t xml:space="preserve">AC</t>
        </is>
      </c>
      <c r="B776" s="0" t="inlineStr">
        <is>
          <t xml:space="preserve">Journal des achats</t>
        </is>
      </c>
      <c r="C776" s="0" t="inlineStr">
        <is>
          <t xml:space="preserve">AC00063</t>
        </is>
      </c>
      <c r="D776" s="10">
        <v>45603</v>
      </c>
      <c r="E776" s="4" t="inlineStr">
        <is>
          <t xml:space="preserve">601000</t>
        </is>
      </c>
      <c r="F776" s="0" t="inlineStr">
        <is>
          <t xml:space="preserve">Achats de matieres premieres</t>
        </is>
      </c>
      <c r="G776" s="0" t="inlineStr">
        <is>
          <t xml:space="preserve">F002-2024112</t>
        </is>
      </c>
      <c r="H776" s="0" t="inlineStr">
        <is>
          <t xml:space="preserve">Facture Quincaillerie Pro Est F002-2024112</t>
        </is>
      </c>
      <c r="I776" s="8">
        <v>33174.99</v>
      </c>
      <c r="J776" s="8">
        <v>0</v>
      </c>
      <c r="K776" s="0"/>
      <c r="L776" s="0"/>
      <c r="M776" s="8">
        <f>I776-J776</f>
      </c>
      <c r="N776" s="0" t="inlineStr">
        <is>
          <t xml:space="preserve">2024-11</t>
        </is>
      </c>
      <c r="O776" s="0">
        <f>INDEX(Journaux!$E$5:$E$18,MATCH("2024|"&amp;A776,Journaux!$A$5:$A$18,0))</f>
      </c>
      <c r="P776" s="0">
        <f>INDEX(Comptes!$H$5:$H$42,MATCH(E776,Comptes!$A$5:$A$42,0))</f>
      </c>
      <c r="Q776" s="0" t="inlineStr">
        <is>
          <t xml:space="preserve">6</t>
        </is>
      </c>
    </row>
    <row r="777">
      <c r="A777" s="4" t="inlineStr">
        <is>
          <t xml:space="preserve">AC</t>
        </is>
      </c>
      <c r="B777" s="0" t="inlineStr">
        <is>
          <t xml:space="preserve">Journal des achats</t>
        </is>
      </c>
      <c r="C777" s="0" t="inlineStr">
        <is>
          <t xml:space="preserve">AC00063</t>
        </is>
      </c>
      <c r="D777" s="10">
        <v>45603</v>
      </c>
      <c r="E777" s="4" t="inlineStr">
        <is>
          <t xml:space="preserve">445660</t>
        </is>
      </c>
      <c r="F777" s="0" t="inlineStr">
        <is>
          <t xml:space="preserve">TVA deductible sur ABS</t>
        </is>
      </c>
      <c r="G777" s="0" t="inlineStr">
        <is>
          <t xml:space="preserve">F002-2024112</t>
        </is>
      </c>
      <c r="H777" s="0" t="inlineStr">
        <is>
          <t xml:space="preserve">Facture Quincaillerie Pro Est F002-2024112</t>
        </is>
      </c>
      <c r="I777" s="8">
        <v>6635</v>
      </c>
      <c r="J777" s="8">
        <v>0</v>
      </c>
      <c r="K777" s="0"/>
      <c r="L777" s="0"/>
      <c r="M777" s="8">
        <f>I777-J777</f>
      </c>
      <c r="N777" s="0" t="inlineStr">
        <is>
          <t xml:space="preserve">2024-11</t>
        </is>
      </c>
      <c r="O777" s="0">
        <f>INDEX(Journaux!$E$5:$E$18,MATCH("2024|"&amp;A777,Journaux!$A$5:$A$18,0))</f>
      </c>
      <c r="P777" s="0">
        <f>INDEX(Comptes!$H$5:$H$42,MATCH(E777,Comptes!$A$5:$A$42,0))</f>
      </c>
      <c r="Q777" s="0" t="inlineStr">
        <is>
          <t xml:space="preserve">4</t>
        </is>
      </c>
    </row>
    <row r="778">
      <c r="A778" s="4" t="inlineStr">
        <is>
          <t xml:space="preserve">AC</t>
        </is>
      </c>
      <c r="B778" s="0" t="inlineStr">
        <is>
          <t xml:space="preserve">Journal des achats</t>
        </is>
      </c>
      <c r="C778" s="0" t="inlineStr">
        <is>
          <t xml:space="preserve">AC00063</t>
        </is>
      </c>
      <c r="D778" s="10">
        <v>45603</v>
      </c>
      <c r="E778" s="4" t="inlineStr">
        <is>
          <t xml:space="preserve">401000</t>
        </is>
      </c>
      <c r="F778" s="0" t="inlineStr">
        <is>
          <t xml:space="preserve">Fournisseurs</t>
        </is>
      </c>
      <c r="G778" s="0" t="inlineStr">
        <is>
          <t xml:space="preserve">F002-2024112</t>
        </is>
      </c>
      <c r="H778" s="0" t="inlineStr">
        <is>
          <t xml:space="preserve">Facture Quincaillerie Pro Est F002-2024112</t>
        </is>
      </c>
      <c r="I778" s="8">
        <v>0</v>
      </c>
      <c r="J778" s="8">
        <v>39809.99</v>
      </c>
      <c r="K778" s="0" t="inlineStr">
        <is>
          <t xml:space="preserve">ADV</t>
        </is>
      </c>
      <c r="L778" s="0" t="inlineStr">
        <is>
          <t xml:space="preserve">Quincaillerie Pro Est</t>
        </is>
      </c>
      <c r="M778" s="8">
        <f>I778-J778</f>
      </c>
      <c r="N778" s="0" t="inlineStr">
        <is>
          <t xml:space="preserve">2024-11</t>
        </is>
      </c>
      <c r="O778" s="0">
        <f>INDEX(Journaux!$E$5:$E$18,MATCH("2024|"&amp;A778,Journaux!$A$5:$A$18,0))</f>
      </c>
      <c r="P778" s="0">
        <f>INDEX(Comptes!$H$5:$H$42,MATCH(E778,Comptes!$A$5:$A$42,0))</f>
      </c>
      <c r="Q778" s="0" t="inlineStr">
        <is>
          <t xml:space="preserve">4</t>
        </is>
      </c>
      <c r="R778" s="7" t="inlineStr">
        <is>
          <t xml:space="preserve">401000|F002</t>
        </is>
      </c>
    </row>
    <row r="779">
      <c r="A779" s="4" t="inlineStr">
        <is>
          <t xml:space="preserve">BQ</t>
        </is>
      </c>
      <c r="B779" s="0" t="inlineStr">
        <is>
          <t xml:space="preserve">Banque Fictive</t>
        </is>
      </c>
      <c r="C779" s="0" t="inlineStr">
        <is>
          <t xml:space="preserve">BQ00032</t>
        </is>
      </c>
      <c r="D779" s="10">
        <v>45606</v>
      </c>
      <c r="E779" s="4" t="inlineStr">
        <is>
          <t xml:space="preserve">164000</t>
        </is>
      </c>
      <c r="F779" s="0" t="inlineStr">
        <is>
          <t xml:space="preserve">Emprunts aupres des etablissements de credit</t>
        </is>
      </c>
      <c r="G779" s="0" t="inlineStr">
        <is>
          <t xml:space="preserve">ECH202411</t>
        </is>
      </c>
      <c r="H779" s="0" t="inlineStr">
        <is>
          <t xml:space="preserve">Echeance emprunt 11/2024</t>
        </is>
      </c>
      <c r="I779" s="8">
        <v>2000</v>
      </c>
      <c r="J779" s="8">
        <v>0</v>
      </c>
      <c r="K779" s="0"/>
      <c r="L779" s="0"/>
      <c r="M779" s="8">
        <f>I779-J779</f>
      </c>
      <c r="N779" s="0" t="inlineStr">
        <is>
          <t xml:space="preserve">2024-11</t>
        </is>
      </c>
      <c r="O779" s="0">
        <f>INDEX(Journaux!$E$5:$E$18,MATCH("2024|"&amp;A779,Journaux!$A$5:$A$18,0))</f>
      </c>
      <c r="P779" s="0">
        <f>INDEX(Comptes!$H$5:$H$42,MATCH(E779,Comptes!$A$5:$A$42,0))</f>
      </c>
      <c r="Q779" s="0" t="inlineStr">
        <is>
          <t xml:space="preserve">1</t>
        </is>
      </c>
    </row>
    <row r="780">
      <c r="A780" s="4" t="inlineStr">
        <is>
          <t xml:space="preserve">BQ</t>
        </is>
      </c>
      <c r="B780" s="0" t="inlineStr">
        <is>
          <t xml:space="preserve">Banque Fictive</t>
        </is>
      </c>
      <c r="C780" s="0" t="inlineStr">
        <is>
          <t xml:space="preserve">BQ00032</t>
        </is>
      </c>
      <c r="D780" s="10">
        <v>45606</v>
      </c>
      <c r="E780" s="4" t="inlineStr">
        <is>
          <t xml:space="preserve">661100</t>
        </is>
      </c>
      <c r="F780" s="0" t="inlineStr">
        <is>
          <t xml:space="preserve">Interets des emprunts</t>
        </is>
      </c>
      <c r="G780" s="0" t="inlineStr">
        <is>
          <t xml:space="preserve">ECH202411</t>
        </is>
      </c>
      <c r="H780" s="0" t="inlineStr">
        <is>
          <t xml:space="preserve">Echeance emprunt 11/2024</t>
        </is>
      </c>
      <c r="I780" s="8">
        <v>233.33</v>
      </c>
      <c r="J780" s="8">
        <v>0</v>
      </c>
      <c r="K780" s="0"/>
      <c r="L780" s="0"/>
      <c r="M780" s="8">
        <f>I780-J780</f>
      </c>
      <c r="N780" s="0" t="inlineStr">
        <is>
          <t xml:space="preserve">2024-11</t>
        </is>
      </c>
      <c r="O780" s="0">
        <f>INDEX(Journaux!$E$5:$E$18,MATCH("2024|"&amp;A780,Journaux!$A$5:$A$18,0))</f>
      </c>
      <c r="P780" s="0">
        <f>INDEX(Comptes!$H$5:$H$42,MATCH(E780,Comptes!$A$5:$A$42,0))</f>
      </c>
      <c r="Q780" s="0" t="inlineStr">
        <is>
          <t xml:space="preserve">6</t>
        </is>
      </c>
    </row>
    <row r="781">
      <c r="A781" s="4" t="inlineStr">
        <is>
          <t xml:space="preserve">BQ</t>
        </is>
      </c>
      <c r="B781" s="0" t="inlineStr">
        <is>
          <t xml:space="preserve">Banque Fictive</t>
        </is>
      </c>
      <c r="C781" s="0" t="inlineStr">
        <is>
          <t xml:space="preserve">BQ00032</t>
        </is>
      </c>
      <c r="D781" s="10">
        <v>45606</v>
      </c>
      <c r="E781" s="4" t="inlineStr">
        <is>
          <t xml:space="preserve">512000</t>
        </is>
      </c>
      <c r="F781" s="0" t="inlineStr">
        <is>
          <t xml:space="preserve">Banque Fictive</t>
        </is>
      </c>
      <c r="G781" s="0" t="inlineStr">
        <is>
          <t xml:space="preserve">ECH202411</t>
        </is>
      </c>
      <c r="H781" s="0" t="inlineStr">
        <is>
          <t xml:space="preserve">Echeance emprunt 11/2024</t>
        </is>
      </c>
      <c r="I781" s="8">
        <v>0</v>
      </c>
      <c r="J781" s="8">
        <v>2233.33</v>
      </c>
      <c r="K781" s="0"/>
      <c r="L781" s="0"/>
      <c r="M781" s="8">
        <f>I781-J781</f>
      </c>
      <c r="N781" s="0" t="inlineStr">
        <is>
          <t xml:space="preserve">2024-11</t>
        </is>
      </c>
      <c r="O781" s="0">
        <f>INDEX(Journaux!$E$5:$E$18,MATCH("2024|"&amp;A781,Journaux!$A$5:$A$18,0))</f>
      </c>
      <c r="P781" s="0">
        <f>INDEX(Comptes!$H$5:$H$42,MATCH(E781,Comptes!$A$5:$A$42,0))</f>
      </c>
      <c r="Q781" s="0" t="inlineStr">
        <is>
          <t xml:space="preserve">5</t>
        </is>
      </c>
    </row>
    <row r="782">
      <c r="A782" s="4" t="inlineStr">
        <is>
          <t xml:space="preserve">BQ</t>
        </is>
      </c>
      <c r="B782" s="0" t="inlineStr">
        <is>
          <t xml:space="preserve">Banque Fictive</t>
        </is>
      </c>
      <c r="C782" s="0" t="inlineStr">
        <is>
          <t xml:space="preserve">BQ00116</t>
        </is>
      </c>
      <c r="D782" s="10">
        <v>45608</v>
      </c>
      <c r="E782" s="4" t="inlineStr">
        <is>
          <t xml:space="preserve">512000</t>
        </is>
      </c>
      <c r="F782" s="0" t="inlineStr">
        <is>
          <t xml:space="preserve">Banque Fictive</t>
        </is>
      </c>
      <c r="G782" s="0" t="inlineStr">
        <is>
          <t xml:space="preserve">ENC-FA2024-0051</t>
        </is>
      </c>
      <c r="H782" s="0" t="inlineStr">
        <is>
          <t xml:space="preserve">Reglement client Residence Bel Air FA2024-0051</t>
        </is>
      </c>
      <c r="I782" s="8">
        <v>60520.74</v>
      </c>
      <c r="J782" s="8">
        <v>0</v>
      </c>
      <c r="K782" s="0"/>
      <c r="L782" s="0"/>
      <c r="M782" s="8">
        <f>I782-J782</f>
      </c>
      <c r="N782" s="0" t="inlineStr">
        <is>
          <t xml:space="preserve">2024-11</t>
        </is>
      </c>
      <c r="O782" s="0">
        <f>INDEX(Journaux!$E$5:$E$18,MATCH("2024|"&amp;A782,Journaux!$A$5:$A$18,0))</f>
      </c>
      <c r="P782" s="0">
        <f>INDEX(Comptes!$H$5:$H$42,MATCH(E782,Comptes!$A$5:$A$42,0))</f>
      </c>
      <c r="Q782" s="0" t="inlineStr">
        <is>
          <t xml:space="preserve">5</t>
        </is>
      </c>
    </row>
    <row r="783">
      <c r="A783" s="4" t="inlineStr">
        <is>
          <t xml:space="preserve">BQ</t>
        </is>
      </c>
      <c r="B783" s="0" t="inlineStr">
        <is>
          <t xml:space="preserve">Banque Fictive</t>
        </is>
      </c>
      <c r="C783" s="0" t="inlineStr">
        <is>
          <t xml:space="preserve">BQ00116</t>
        </is>
      </c>
      <c r="D783" s="10">
        <v>45608</v>
      </c>
      <c r="E783" s="4" t="inlineStr">
        <is>
          <t xml:space="preserve">411000</t>
        </is>
      </c>
      <c r="F783" s="0" t="inlineStr">
        <is>
          <t xml:space="preserve">Clients</t>
        </is>
      </c>
      <c r="G783" s="0" t="inlineStr">
        <is>
          <t xml:space="preserve">ENC-FA2024-0051</t>
        </is>
      </c>
      <c r="H783" s="0" t="inlineStr">
        <is>
          <t xml:space="preserve">Reglement client Residence Bel Air FA2024-0051</t>
        </is>
      </c>
      <c r="I783" s="8">
        <v>0</v>
      </c>
      <c r="J783" s="8">
        <v>60520.74</v>
      </c>
      <c r="K783" s="0" t="inlineStr">
        <is>
          <t xml:space="preserve">ABD</t>
        </is>
      </c>
      <c r="L783" s="0" t="inlineStr">
        <is>
          <t xml:space="preserve">Residence Bel Air</t>
        </is>
      </c>
      <c r="M783" s="8">
        <f>I783-J783</f>
      </c>
      <c r="N783" s="0" t="inlineStr">
        <is>
          <t xml:space="preserve">2024-11</t>
        </is>
      </c>
      <c r="O783" s="0">
        <f>INDEX(Journaux!$E$5:$E$18,MATCH("2024|"&amp;A783,Journaux!$A$5:$A$18,0))</f>
      </c>
      <c r="P783" s="0">
        <f>INDEX(Comptes!$H$5:$H$42,MATCH(E783,Comptes!$A$5:$A$42,0))</f>
      </c>
      <c r="Q783" s="0" t="inlineStr">
        <is>
          <t xml:space="preserve">4</t>
        </is>
      </c>
      <c r="R783" s="7" t="inlineStr">
        <is>
          <t xml:space="preserve">411000|C003</t>
        </is>
      </c>
    </row>
    <row r="784">
      <c r="A784" s="4" t="inlineStr">
        <is>
          <t xml:space="preserve">BQ</t>
        </is>
      </c>
      <c r="B784" s="0" t="inlineStr">
        <is>
          <t xml:space="preserve">Banque Fictive</t>
        </is>
      </c>
      <c r="C784" s="0" t="inlineStr">
        <is>
          <t xml:space="preserve">BQ00057</t>
        </is>
      </c>
      <c r="D784" s="10">
        <v>45611</v>
      </c>
      <c r="E784" s="4" t="inlineStr">
        <is>
          <t xml:space="preserve">431000</t>
        </is>
      </c>
      <c r="F784" s="0" t="inlineStr">
        <is>
          <t xml:space="preserve">Securite sociale</t>
        </is>
      </c>
      <c r="G784" s="0" t="inlineStr">
        <is>
          <t xml:space="preserve">URSSAF202410</t>
        </is>
      </c>
      <c r="H784" s="0" t="inlineStr">
        <is>
          <t xml:space="preserve">Reglement URSSAF 10/2024</t>
        </is>
      </c>
      <c r="I784" s="8">
        <v>33178.27</v>
      </c>
      <c r="J784" s="8">
        <v>0</v>
      </c>
      <c r="K784" s="0"/>
      <c r="L784" s="0"/>
      <c r="M784" s="8">
        <f>I784-J784</f>
      </c>
      <c r="N784" s="0" t="inlineStr">
        <is>
          <t xml:space="preserve">2024-11</t>
        </is>
      </c>
      <c r="O784" s="0">
        <f>INDEX(Journaux!$E$5:$E$18,MATCH("2024|"&amp;A784,Journaux!$A$5:$A$18,0))</f>
      </c>
      <c r="P784" s="0">
        <f>INDEX(Comptes!$H$5:$H$42,MATCH(E784,Comptes!$A$5:$A$42,0))</f>
      </c>
      <c r="Q784" s="0" t="inlineStr">
        <is>
          <t xml:space="preserve">4</t>
        </is>
      </c>
    </row>
    <row r="785">
      <c r="A785" s="4" t="inlineStr">
        <is>
          <t xml:space="preserve">BQ</t>
        </is>
      </c>
      <c r="B785" s="0" t="inlineStr">
        <is>
          <t xml:space="preserve">Banque Fictive</t>
        </is>
      </c>
      <c r="C785" s="0" t="inlineStr">
        <is>
          <t xml:space="preserve">BQ00057</t>
        </is>
      </c>
      <c r="D785" s="10">
        <v>45611</v>
      </c>
      <c r="E785" s="4" t="inlineStr">
        <is>
          <t xml:space="preserve">512000</t>
        </is>
      </c>
      <c r="F785" s="0" t="inlineStr">
        <is>
          <t xml:space="preserve">Banque Fictive</t>
        </is>
      </c>
      <c r="G785" s="0" t="inlineStr">
        <is>
          <t xml:space="preserve">URSSAF202410</t>
        </is>
      </c>
      <c r="H785" s="0" t="inlineStr">
        <is>
          <t xml:space="preserve">Reglement URSSAF 10/2024</t>
        </is>
      </c>
      <c r="I785" s="8">
        <v>0</v>
      </c>
      <c r="J785" s="8">
        <v>33178.27</v>
      </c>
      <c r="K785" s="0"/>
      <c r="L785" s="0"/>
      <c r="M785" s="8">
        <f>I785-J785</f>
      </c>
      <c r="N785" s="0" t="inlineStr">
        <is>
          <t xml:space="preserve">2024-11</t>
        </is>
      </c>
      <c r="O785" s="0">
        <f>INDEX(Journaux!$E$5:$E$18,MATCH("2024|"&amp;A785,Journaux!$A$5:$A$18,0))</f>
      </c>
      <c r="P785" s="0">
        <f>INDEX(Comptes!$H$5:$H$42,MATCH(E785,Comptes!$A$5:$A$42,0))</f>
      </c>
      <c r="Q785" s="0" t="inlineStr">
        <is>
          <t xml:space="preserve">5</t>
        </is>
      </c>
    </row>
    <row r="786">
      <c r="A786" s="4" t="inlineStr">
        <is>
          <t xml:space="preserve">BQ</t>
        </is>
      </c>
      <c r="B786" s="0" t="inlineStr">
        <is>
          <t xml:space="preserve">Banque Fictive</t>
        </is>
      </c>
      <c r="C786" s="0" t="inlineStr">
        <is>
          <t xml:space="preserve">BQ00111</t>
        </is>
      </c>
      <c r="D786" s="10">
        <v>45614</v>
      </c>
      <c r="E786" s="4" t="inlineStr">
        <is>
          <t xml:space="preserve">512000</t>
        </is>
      </c>
      <c r="F786" s="0" t="inlineStr">
        <is>
          <t xml:space="preserve">Banque Fictive</t>
        </is>
      </c>
      <c r="G786" s="0" t="inlineStr">
        <is>
          <t xml:space="preserve">ENC-FA2024-0046</t>
        </is>
      </c>
      <c r="H786" s="0" t="inlineStr">
        <is>
          <t xml:space="preserve">Reglement client Clinique du Parc FA2024-0046</t>
        </is>
      </c>
      <c r="I786" s="8">
        <v>64791.82</v>
      </c>
      <c r="J786" s="8">
        <v>0</v>
      </c>
      <c r="K786" s="0"/>
      <c r="L786" s="0"/>
      <c r="M786" s="8">
        <f>I786-J786</f>
      </c>
      <c r="N786" s="0" t="inlineStr">
        <is>
          <t xml:space="preserve">2024-11</t>
        </is>
      </c>
      <c r="O786" s="0">
        <f>INDEX(Journaux!$E$5:$E$18,MATCH("2024|"&amp;A786,Journaux!$A$5:$A$18,0))</f>
      </c>
      <c r="P786" s="0">
        <f>INDEX(Comptes!$H$5:$H$42,MATCH(E786,Comptes!$A$5:$A$42,0))</f>
      </c>
      <c r="Q786" s="0" t="inlineStr">
        <is>
          <t xml:space="preserve">5</t>
        </is>
      </c>
    </row>
    <row r="787">
      <c r="A787" s="4" t="inlineStr">
        <is>
          <t xml:space="preserve">BQ</t>
        </is>
      </c>
      <c r="B787" s="0" t="inlineStr">
        <is>
          <t xml:space="preserve">Banque Fictive</t>
        </is>
      </c>
      <c r="C787" s="0" t="inlineStr">
        <is>
          <t xml:space="preserve">BQ00111</t>
        </is>
      </c>
      <c r="D787" s="10">
        <v>45614</v>
      </c>
      <c r="E787" s="4" t="inlineStr">
        <is>
          <t xml:space="preserve">411000</t>
        </is>
      </c>
      <c r="F787" s="0" t="inlineStr">
        <is>
          <t xml:space="preserve">Clients</t>
        </is>
      </c>
      <c r="G787" s="0" t="inlineStr">
        <is>
          <t xml:space="preserve">ENC-FA2024-0046</t>
        </is>
      </c>
      <c r="H787" s="0" t="inlineStr">
        <is>
          <t xml:space="preserve">Reglement client Clinique du Parc FA2024-0046</t>
        </is>
      </c>
      <c r="I787" s="8">
        <v>0</v>
      </c>
      <c r="J787" s="8">
        <v>64791.82</v>
      </c>
      <c r="K787" s="0" t="inlineStr">
        <is>
          <t xml:space="preserve">AAY</t>
        </is>
      </c>
      <c r="L787" s="0" t="inlineStr">
        <is>
          <t xml:space="preserve">Clinique du Parc</t>
        </is>
      </c>
      <c r="M787" s="8">
        <f>I787-J787</f>
      </c>
      <c r="N787" s="0" t="inlineStr">
        <is>
          <t xml:space="preserve">2024-11</t>
        </is>
      </c>
      <c r="O787" s="0">
        <f>INDEX(Journaux!$E$5:$E$18,MATCH("2024|"&amp;A787,Journaux!$A$5:$A$18,0))</f>
      </c>
      <c r="P787" s="0">
        <f>INDEX(Comptes!$H$5:$H$42,MATCH(E787,Comptes!$A$5:$A$42,0))</f>
      </c>
      <c r="Q787" s="0" t="inlineStr">
        <is>
          <t xml:space="preserve">4</t>
        </is>
      </c>
      <c r="R787" s="7" t="inlineStr">
        <is>
          <t xml:space="preserve">411000|C006</t>
        </is>
      </c>
    </row>
    <row r="788">
      <c r="A788" s="4" t="inlineStr">
        <is>
          <t xml:space="preserve">VT</t>
        </is>
      </c>
      <c r="B788" s="0" t="inlineStr">
        <is>
          <t xml:space="preserve">Journal des ventes</t>
        </is>
      </c>
      <c r="C788" s="0" t="inlineStr">
        <is>
          <t xml:space="preserve">VT00052</t>
        </is>
      </c>
      <c r="D788" s="10">
        <v>45614</v>
      </c>
      <c r="E788" s="4" t="inlineStr">
        <is>
          <t xml:space="preserve">411000</t>
        </is>
      </c>
      <c r="F788" s="0" t="inlineStr">
        <is>
          <t xml:space="preserve">Clients</t>
        </is>
      </c>
      <c r="G788" s="0" t="inlineStr">
        <is>
          <t xml:space="preserve">FA2024-0052</t>
        </is>
      </c>
      <c r="H788" s="0" t="inlineStr">
        <is>
          <t xml:space="preserve">Facture FA2024-0052 Coworking Atelier 9</t>
        </is>
      </c>
      <c r="I788" s="8">
        <v>32352.62</v>
      </c>
      <c r="J788" s="8">
        <v>0</v>
      </c>
      <c r="K788" s="0"/>
      <c r="L788" s="0" t="inlineStr">
        <is>
          <t xml:space="preserve">Coworking Atelier 9</t>
        </is>
      </c>
      <c r="M788" s="8">
        <f>I788-J788</f>
      </c>
      <c r="N788" s="0" t="inlineStr">
        <is>
          <t xml:space="preserve">2024-11</t>
        </is>
      </c>
      <c r="O788" s="0">
        <f>INDEX(Journaux!$E$5:$E$18,MATCH("2024|"&amp;A788,Journaux!$A$5:$A$18,0))</f>
      </c>
      <c r="P788" s="0">
        <f>INDEX(Comptes!$H$5:$H$42,MATCH(E788,Comptes!$A$5:$A$42,0))</f>
      </c>
      <c r="Q788" s="0" t="inlineStr">
        <is>
          <t xml:space="preserve">4</t>
        </is>
      </c>
      <c r="R788" s="7" t="inlineStr">
        <is>
          <t xml:space="preserve">411000|C008</t>
        </is>
      </c>
    </row>
    <row r="789">
      <c r="A789" s="4" t="inlineStr">
        <is>
          <t xml:space="preserve">VT</t>
        </is>
      </c>
      <c r="B789" s="0" t="inlineStr">
        <is>
          <t xml:space="preserve">Journal des ventes</t>
        </is>
      </c>
      <c r="C789" s="0" t="inlineStr">
        <is>
          <t xml:space="preserve">VT00052</t>
        </is>
      </c>
      <c r="D789" s="10">
        <v>45614</v>
      </c>
      <c r="E789" s="4" t="inlineStr">
        <is>
          <t xml:space="preserve">701000</t>
        </is>
      </c>
      <c r="F789" s="0" t="inlineStr">
        <is>
          <t xml:space="preserve">Ventes de produits finis</t>
        </is>
      </c>
      <c r="G789" s="0" t="inlineStr">
        <is>
          <t xml:space="preserve">FA2024-0052</t>
        </is>
      </c>
      <c r="H789" s="0" t="inlineStr">
        <is>
          <t xml:space="preserve">Facture FA2024-0052 Coworking Atelier 9</t>
        </is>
      </c>
      <c r="I789" s="8">
        <v>0</v>
      </c>
      <c r="J789" s="8">
        <v>26960.52</v>
      </c>
      <c r="K789" s="0"/>
      <c r="L789" s="0"/>
      <c r="M789" s="8">
        <f>I789-J789</f>
      </c>
      <c r="N789" s="0" t="inlineStr">
        <is>
          <t xml:space="preserve">2024-11</t>
        </is>
      </c>
      <c r="O789" s="0">
        <f>INDEX(Journaux!$E$5:$E$18,MATCH("2024|"&amp;A789,Journaux!$A$5:$A$18,0))</f>
      </c>
      <c r="P789" s="0">
        <f>INDEX(Comptes!$H$5:$H$42,MATCH(E789,Comptes!$A$5:$A$42,0))</f>
      </c>
      <c r="Q789" s="0" t="inlineStr">
        <is>
          <t xml:space="preserve">7</t>
        </is>
      </c>
    </row>
    <row r="790">
      <c r="A790" s="4" t="inlineStr">
        <is>
          <t xml:space="preserve">VT</t>
        </is>
      </c>
      <c r="B790" s="0" t="inlineStr">
        <is>
          <t xml:space="preserve">Journal des ventes</t>
        </is>
      </c>
      <c r="C790" s="0" t="inlineStr">
        <is>
          <t xml:space="preserve">VT00052</t>
        </is>
      </c>
      <c r="D790" s="10">
        <v>45614</v>
      </c>
      <c r="E790" s="4" t="inlineStr">
        <is>
          <t xml:space="preserve">445710</t>
        </is>
      </c>
      <c r="F790" s="0" t="inlineStr">
        <is>
          <t xml:space="preserve">TVA collectee</t>
        </is>
      </c>
      <c r="G790" s="0" t="inlineStr">
        <is>
          <t xml:space="preserve">FA2024-0052</t>
        </is>
      </c>
      <c r="H790" s="0" t="inlineStr">
        <is>
          <t xml:space="preserve">Facture FA2024-0052 Coworking Atelier 9</t>
        </is>
      </c>
      <c r="I790" s="8">
        <v>0</v>
      </c>
      <c r="J790" s="8">
        <v>5392.1</v>
      </c>
      <c r="K790" s="0"/>
      <c r="L790" s="0"/>
      <c r="M790" s="8">
        <f>I790-J790</f>
      </c>
      <c r="N790" s="0" t="inlineStr">
        <is>
          <t xml:space="preserve">2024-11</t>
        </is>
      </c>
      <c r="O790" s="0">
        <f>INDEX(Journaux!$E$5:$E$18,MATCH("2024|"&amp;A790,Journaux!$A$5:$A$18,0))</f>
      </c>
      <c r="P790" s="0">
        <f>INDEX(Comptes!$H$5:$H$42,MATCH(E790,Comptes!$A$5:$A$42,0))</f>
      </c>
      <c r="Q790" s="0" t="inlineStr">
        <is>
          <t xml:space="preserve">4</t>
        </is>
      </c>
    </row>
    <row r="791">
      <c r="A791" s="4" t="inlineStr">
        <is>
          <t xml:space="preserve">VT</t>
        </is>
      </c>
      <c r="B791" s="0" t="inlineStr">
        <is>
          <t xml:space="preserve">Journal des ventes</t>
        </is>
      </c>
      <c r="C791" s="0" t="inlineStr">
        <is>
          <t xml:space="preserve">VT00053</t>
        </is>
      </c>
      <c r="D791" s="10">
        <v>45614</v>
      </c>
      <c r="E791" s="4" t="inlineStr">
        <is>
          <t xml:space="preserve">411000</t>
        </is>
      </c>
      <c r="F791" s="0" t="inlineStr">
        <is>
          <t xml:space="preserve">Clients</t>
        </is>
      </c>
      <c r="G791" s="0" t="inlineStr">
        <is>
          <t xml:space="preserve">FA2024-0053</t>
        </is>
      </c>
      <c r="H791" s="0" t="inlineStr">
        <is>
          <t xml:space="preserve">Facture FA2024-0053 Boutique Hetre et Chene</t>
        </is>
      </c>
      <c r="I791" s="8">
        <v>44146.18</v>
      </c>
      <c r="J791" s="8">
        <v>0</v>
      </c>
      <c r="K791" s="0" t="inlineStr">
        <is>
          <t xml:space="preserve">ABE</t>
        </is>
      </c>
      <c r="L791" s="0" t="inlineStr">
        <is>
          <t xml:space="preserve">Boutique Hetre et Chene</t>
        </is>
      </c>
      <c r="M791" s="8">
        <f>I791-J791</f>
      </c>
      <c r="N791" s="0" t="inlineStr">
        <is>
          <t xml:space="preserve">2024-11</t>
        </is>
      </c>
      <c r="O791" s="0">
        <f>INDEX(Journaux!$E$5:$E$18,MATCH("2024|"&amp;A791,Journaux!$A$5:$A$18,0))</f>
      </c>
      <c r="P791" s="0">
        <f>INDEX(Comptes!$H$5:$H$42,MATCH(E791,Comptes!$A$5:$A$42,0))</f>
      </c>
      <c r="Q791" s="0" t="inlineStr">
        <is>
          <t xml:space="preserve">4</t>
        </is>
      </c>
      <c r="R791" s="7" t="inlineStr">
        <is>
          <t xml:space="preserve">411000|C007</t>
        </is>
      </c>
    </row>
    <row r="792">
      <c r="A792" s="4" t="inlineStr">
        <is>
          <t xml:space="preserve">VT</t>
        </is>
      </c>
      <c r="B792" s="0" t="inlineStr">
        <is>
          <t xml:space="preserve">Journal des ventes</t>
        </is>
      </c>
      <c r="C792" s="0" t="inlineStr">
        <is>
          <t xml:space="preserve">VT00053</t>
        </is>
      </c>
      <c r="D792" s="10">
        <v>45614</v>
      </c>
      <c r="E792" s="4" t="inlineStr">
        <is>
          <t xml:space="preserve">701000</t>
        </is>
      </c>
      <c r="F792" s="0" t="inlineStr">
        <is>
          <t xml:space="preserve">Ventes de produits finis</t>
        </is>
      </c>
      <c r="G792" s="0" t="inlineStr">
        <is>
          <t xml:space="preserve">FA2024-0053</t>
        </is>
      </c>
      <c r="H792" s="0" t="inlineStr">
        <is>
          <t xml:space="preserve">Facture FA2024-0053 Boutique Hetre et Chene</t>
        </is>
      </c>
      <c r="I792" s="8">
        <v>0</v>
      </c>
      <c r="J792" s="8">
        <v>36788.48</v>
      </c>
      <c r="K792" s="0"/>
      <c r="L792" s="0"/>
      <c r="M792" s="8">
        <f>I792-J792</f>
      </c>
      <c r="N792" s="0" t="inlineStr">
        <is>
          <t xml:space="preserve">2024-11</t>
        </is>
      </c>
      <c r="O792" s="0">
        <f>INDEX(Journaux!$E$5:$E$18,MATCH("2024|"&amp;A792,Journaux!$A$5:$A$18,0))</f>
      </c>
      <c r="P792" s="0">
        <f>INDEX(Comptes!$H$5:$H$42,MATCH(E792,Comptes!$A$5:$A$42,0))</f>
      </c>
      <c r="Q792" s="0" t="inlineStr">
        <is>
          <t xml:space="preserve">7</t>
        </is>
      </c>
    </row>
    <row r="793">
      <c r="A793" s="4" t="inlineStr">
        <is>
          <t xml:space="preserve">VT</t>
        </is>
      </c>
      <c r="B793" s="0" t="inlineStr">
        <is>
          <t xml:space="preserve">Journal des ventes</t>
        </is>
      </c>
      <c r="C793" s="0" t="inlineStr">
        <is>
          <t xml:space="preserve">VT00053</t>
        </is>
      </c>
      <c r="D793" s="10">
        <v>45614</v>
      </c>
      <c r="E793" s="4" t="inlineStr">
        <is>
          <t xml:space="preserve">445710</t>
        </is>
      </c>
      <c r="F793" s="0" t="inlineStr">
        <is>
          <t xml:space="preserve">TVA collectee</t>
        </is>
      </c>
      <c r="G793" s="0" t="inlineStr">
        <is>
          <t xml:space="preserve">FA2024-0053</t>
        </is>
      </c>
      <c r="H793" s="0" t="inlineStr">
        <is>
          <t xml:space="preserve">Facture FA2024-0053 Boutique Hetre et Chene</t>
        </is>
      </c>
      <c r="I793" s="8">
        <v>0</v>
      </c>
      <c r="J793" s="8">
        <v>7357.7</v>
      </c>
      <c r="K793" s="0"/>
      <c r="L793" s="0"/>
      <c r="M793" s="8">
        <f>I793-J793</f>
      </c>
      <c r="N793" s="0" t="inlineStr">
        <is>
          <t xml:space="preserve">2024-11</t>
        </is>
      </c>
      <c r="O793" s="0">
        <f>INDEX(Journaux!$E$5:$E$18,MATCH("2024|"&amp;A793,Journaux!$A$5:$A$18,0))</f>
      </c>
      <c r="P793" s="0">
        <f>INDEX(Comptes!$H$5:$H$42,MATCH(E793,Comptes!$A$5:$A$42,0))</f>
      </c>
      <c r="Q793" s="0" t="inlineStr">
        <is>
          <t xml:space="preserve">4</t>
        </is>
      </c>
    </row>
    <row r="794">
      <c r="A794" s="4" t="inlineStr">
        <is>
          <t xml:space="preserve">VT</t>
        </is>
      </c>
      <c r="B794" s="0" t="inlineStr">
        <is>
          <t xml:space="preserve">Journal des ventes</t>
        </is>
      </c>
      <c r="C794" s="0" t="inlineStr">
        <is>
          <t xml:space="preserve">VT00055</t>
        </is>
      </c>
      <c r="D794" s="10">
        <v>45614</v>
      </c>
      <c r="E794" s="4" t="inlineStr">
        <is>
          <t xml:space="preserve">411000</t>
        </is>
      </c>
      <c r="F794" s="0" t="inlineStr">
        <is>
          <t xml:space="preserve">Clients</t>
        </is>
      </c>
      <c r="G794" s="0" t="inlineStr">
        <is>
          <t xml:space="preserve">FA2024-0055</t>
        </is>
      </c>
      <c r="H794" s="0" t="inlineStr">
        <is>
          <t xml:space="preserve">Facture FA2024-0055 Residence Bel Air</t>
        </is>
      </c>
      <c r="I794" s="8">
        <v>70475.3</v>
      </c>
      <c r="J794" s="8">
        <v>0</v>
      </c>
      <c r="K794" s="0" t="inlineStr">
        <is>
          <t xml:space="preserve">ABF</t>
        </is>
      </c>
      <c r="L794" s="0" t="inlineStr">
        <is>
          <t xml:space="preserve">Residence Bel Air</t>
        </is>
      </c>
      <c r="M794" s="8">
        <f>I794-J794</f>
      </c>
      <c r="N794" s="0" t="inlineStr">
        <is>
          <t xml:space="preserve">2024-11</t>
        </is>
      </c>
      <c r="O794" s="0">
        <f>INDEX(Journaux!$E$5:$E$18,MATCH("2024|"&amp;A794,Journaux!$A$5:$A$18,0))</f>
      </c>
      <c r="P794" s="0">
        <f>INDEX(Comptes!$H$5:$H$42,MATCH(E794,Comptes!$A$5:$A$42,0))</f>
      </c>
      <c r="Q794" s="0" t="inlineStr">
        <is>
          <t xml:space="preserve">4</t>
        </is>
      </c>
      <c r="R794" s="7" t="inlineStr">
        <is>
          <t xml:space="preserve">411000|C003</t>
        </is>
      </c>
    </row>
    <row r="795">
      <c r="A795" s="4" t="inlineStr">
        <is>
          <t xml:space="preserve">VT</t>
        </is>
      </c>
      <c r="B795" s="0" t="inlineStr">
        <is>
          <t xml:space="preserve">Journal des ventes</t>
        </is>
      </c>
      <c r="C795" s="0" t="inlineStr">
        <is>
          <t xml:space="preserve">VT00055</t>
        </is>
      </c>
      <c r="D795" s="10">
        <v>45614</v>
      </c>
      <c r="E795" s="4" t="inlineStr">
        <is>
          <t xml:space="preserve">701000</t>
        </is>
      </c>
      <c r="F795" s="0" t="inlineStr">
        <is>
          <t xml:space="preserve">Ventes de produits finis</t>
        </is>
      </c>
      <c r="G795" s="0" t="inlineStr">
        <is>
          <t xml:space="preserve">FA2024-0055</t>
        </is>
      </c>
      <c r="H795" s="0" t="inlineStr">
        <is>
          <t xml:space="preserve">Facture FA2024-0055 Residence Bel Air</t>
        </is>
      </c>
      <c r="I795" s="8">
        <v>0</v>
      </c>
      <c r="J795" s="8">
        <v>58729.42</v>
      </c>
      <c r="K795" s="0"/>
      <c r="L795" s="0"/>
      <c r="M795" s="8">
        <f>I795-J795</f>
      </c>
      <c r="N795" s="0" t="inlineStr">
        <is>
          <t xml:space="preserve">2024-11</t>
        </is>
      </c>
      <c r="O795" s="0">
        <f>INDEX(Journaux!$E$5:$E$18,MATCH("2024|"&amp;A795,Journaux!$A$5:$A$18,0))</f>
      </c>
      <c r="P795" s="0">
        <f>INDEX(Comptes!$H$5:$H$42,MATCH(E795,Comptes!$A$5:$A$42,0))</f>
      </c>
      <c r="Q795" s="0" t="inlineStr">
        <is>
          <t xml:space="preserve">7</t>
        </is>
      </c>
    </row>
    <row r="796">
      <c r="A796" s="4" t="inlineStr">
        <is>
          <t xml:space="preserve">VT</t>
        </is>
      </c>
      <c r="B796" s="0" t="inlineStr">
        <is>
          <t xml:space="preserve">Journal des ventes</t>
        </is>
      </c>
      <c r="C796" s="0" t="inlineStr">
        <is>
          <t xml:space="preserve">VT00055</t>
        </is>
      </c>
      <c r="D796" s="10">
        <v>45614</v>
      </c>
      <c r="E796" s="4" t="inlineStr">
        <is>
          <t xml:space="preserve">445710</t>
        </is>
      </c>
      <c r="F796" s="0" t="inlineStr">
        <is>
          <t xml:space="preserve">TVA collectee</t>
        </is>
      </c>
      <c r="G796" s="0" t="inlineStr">
        <is>
          <t xml:space="preserve">FA2024-0055</t>
        </is>
      </c>
      <c r="H796" s="0" t="inlineStr">
        <is>
          <t xml:space="preserve">Facture FA2024-0055 Residence Bel Air</t>
        </is>
      </c>
      <c r="I796" s="8">
        <v>0</v>
      </c>
      <c r="J796" s="8">
        <v>11745.88</v>
      </c>
      <c r="K796" s="0"/>
      <c r="L796" s="0"/>
      <c r="M796" s="8">
        <f>I796-J796</f>
      </c>
      <c r="N796" s="0" t="inlineStr">
        <is>
          <t xml:space="preserve">2024-11</t>
        </is>
      </c>
      <c r="O796" s="0">
        <f>INDEX(Journaux!$E$5:$E$18,MATCH("2024|"&amp;A796,Journaux!$A$5:$A$18,0))</f>
      </c>
      <c r="P796" s="0">
        <f>INDEX(Comptes!$H$5:$H$42,MATCH(E796,Comptes!$A$5:$A$42,0))</f>
      </c>
      <c r="Q796" s="0" t="inlineStr">
        <is>
          <t xml:space="preserve">4</t>
        </is>
      </c>
    </row>
    <row r="797">
      <c r="A797" s="4" t="inlineStr">
        <is>
          <t xml:space="preserve">VT</t>
        </is>
      </c>
      <c r="B797" s="0" t="inlineStr">
        <is>
          <t xml:space="preserve">Journal des ventes</t>
        </is>
      </c>
      <c r="C797" s="0" t="inlineStr">
        <is>
          <t xml:space="preserve">VT00056</t>
        </is>
      </c>
      <c r="D797" s="10">
        <v>45615</v>
      </c>
      <c r="E797" s="4" t="inlineStr">
        <is>
          <t xml:space="preserve">411000</t>
        </is>
      </c>
      <c r="F797" s="0" t="inlineStr">
        <is>
          <t xml:space="preserve">Clients</t>
        </is>
      </c>
      <c r="G797" s="0" t="inlineStr">
        <is>
          <t xml:space="preserve">FA2024-0056</t>
        </is>
      </c>
      <c r="H797" s="0" t="inlineStr">
        <is>
          <t xml:space="preserve">Facture FA2024-0056 Clinique du Parc</t>
        </is>
      </c>
      <c r="I797" s="8">
        <v>37139.6</v>
      </c>
      <c r="J797" s="8">
        <v>0</v>
      </c>
      <c r="K797" s="0" t="inlineStr">
        <is>
          <t xml:space="preserve">ABG</t>
        </is>
      </c>
      <c r="L797" s="0" t="inlineStr">
        <is>
          <t xml:space="preserve">Clinique du Parc</t>
        </is>
      </c>
      <c r="M797" s="8">
        <f>I797-J797</f>
      </c>
      <c r="N797" s="0" t="inlineStr">
        <is>
          <t xml:space="preserve">2024-11</t>
        </is>
      </c>
      <c r="O797" s="0">
        <f>INDEX(Journaux!$E$5:$E$18,MATCH("2024|"&amp;A797,Journaux!$A$5:$A$18,0))</f>
      </c>
      <c r="P797" s="0">
        <f>INDEX(Comptes!$H$5:$H$42,MATCH(E797,Comptes!$A$5:$A$42,0))</f>
      </c>
      <c r="Q797" s="0" t="inlineStr">
        <is>
          <t xml:space="preserve">4</t>
        </is>
      </c>
      <c r="R797" s="7" t="inlineStr">
        <is>
          <t xml:space="preserve">411000|C006</t>
        </is>
      </c>
    </row>
    <row r="798">
      <c r="A798" s="4" t="inlineStr">
        <is>
          <t xml:space="preserve">VT</t>
        </is>
      </c>
      <c r="B798" s="0" t="inlineStr">
        <is>
          <t xml:space="preserve">Journal des ventes</t>
        </is>
      </c>
      <c r="C798" s="0" t="inlineStr">
        <is>
          <t xml:space="preserve">VT00056</t>
        </is>
      </c>
      <c r="D798" s="10">
        <v>45615</v>
      </c>
      <c r="E798" s="4" t="inlineStr">
        <is>
          <t xml:space="preserve">701000</t>
        </is>
      </c>
      <c r="F798" s="0" t="inlineStr">
        <is>
          <t xml:space="preserve">Ventes de produits finis</t>
        </is>
      </c>
      <c r="G798" s="0" t="inlineStr">
        <is>
          <t xml:space="preserve">FA2024-0056</t>
        </is>
      </c>
      <c r="H798" s="0" t="inlineStr">
        <is>
          <t xml:space="preserve">Facture FA2024-0056 Clinique du Parc</t>
        </is>
      </c>
      <c r="I798" s="8">
        <v>0</v>
      </c>
      <c r="J798" s="8">
        <v>30949.67</v>
      </c>
      <c r="K798" s="0"/>
      <c r="L798" s="0"/>
      <c r="M798" s="8">
        <f>I798-J798</f>
      </c>
      <c r="N798" s="0" t="inlineStr">
        <is>
          <t xml:space="preserve">2024-11</t>
        </is>
      </c>
      <c r="O798" s="0">
        <f>INDEX(Journaux!$E$5:$E$18,MATCH("2024|"&amp;A798,Journaux!$A$5:$A$18,0))</f>
      </c>
      <c r="P798" s="0">
        <f>INDEX(Comptes!$H$5:$H$42,MATCH(E798,Comptes!$A$5:$A$42,0))</f>
      </c>
      <c r="Q798" s="0" t="inlineStr">
        <is>
          <t xml:space="preserve">7</t>
        </is>
      </c>
    </row>
    <row r="799">
      <c r="A799" s="4" t="inlineStr">
        <is>
          <t xml:space="preserve">VT</t>
        </is>
      </c>
      <c r="B799" s="0" t="inlineStr">
        <is>
          <t xml:space="preserve">Journal des ventes</t>
        </is>
      </c>
      <c r="C799" s="0" t="inlineStr">
        <is>
          <t xml:space="preserve">VT00056</t>
        </is>
      </c>
      <c r="D799" s="10">
        <v>45615</v>
      </c>
      <c r="E799" s="4" t="inlineStr">
        <is>
          <t xml:space="preserve">445710</t>
        </is>
      </c>
      <c r="F799" s="0" t="inlineStr">
        <is>
          <t xml:space="preserve">TVA collectee</t>
        </is>
      </c>
      <c r="G799" s="0" t="inlineStr">
        <is>
          <t xml:space="preserve">FA2024-0056</t>
        </is>
      </c>
      <c r="H799" s="0" t="inlineStr">
        <is>
          <t xml:space="preserve">Facture FA2024-0056 Clinique du Parc</t>
        </is>
      </c>
      <c r="I799" s="8">
        <v>0</v>
      </c>
      <c r="J799" s="8">
        <v>6189.93</v>
      </c>
      <c r="K799" s="0"/>
      <c r="L799" s="0"/>
      <c r="M799" s="8">
        <f>I799-J799</f>
      </c>
      <c r="N799" s="0" t="inlineStr">
        <is>
          <t xml:space="preserve">2024-11</t>
        </is>
      </c>
      <c r="O799" s="0">
        <f>INDEX(Journaux!$E$5:$E$18,MATCH("2024|"&amp;A799,Journaux!$A$5:$A$18,0))</f>
      </c>
      <c r="P799" s="0">
        <f>INDEX(Comptes!$H$5:$H$42,MATCH(E799,Comptes!$A$5:$A$42,0))</f>
      </c>
      <c r="Q799" s="0" t="inlineStr">
        <is>
          <t xml:space="preserve">4</t>
        </is>
      </c>
    </row>
    <row r="800">
      <c r="A800" s="4" t="inlineStr">
        <is>
          <t xml:space="preserve">BQ</t>
        </is>
      </c>
      <c r="B800" s="0" t="inlineStr">
        <is>
          <t xml:space="preserve">Banque Fictive</t>
        </is>
      </c>
      <c r="C800" s="0" t="inlineStr">
        <is>
          <t xml:space="preserve">BQ00058</t>
        </is>
      </c>
      <c r="D800" s="10">
        <v>45616</v>
      </c>
      <c r="E800" s="4" t="inlineStr">
        <is>
          <t xml:space="preserve">445510</t>
        </is>
      </c>
      <c r="F800" s="0" t="inlineStr">
        <is>
          <t xml:space="preserve">TVA a decaisser</t>
        </is>
      </c>
      <c r="G800" s="0" t="inlineStr">
        <is>
          <t xml:space="preserve">TVA202410</t>
        </is>
      </c>
      <c r="H800" s="0" t="inlineStr">
        <is>
          <t xml:space="preserve">Reglement TVA 10/2024</t>
        </is>
      </c>
      <c r="I800" s="8">
        <v>18965.75</v>
      </c>
      <c r="J800" s="8">
        <v>0</v>
      </c>
      <c r="K800" s="0"/>
      <c r="L800" s="0"/>
      <c r="M800" s="8">
        <f>I800-J800</f>
      </c>
      <c r="N800" s="0" t="inlineStr">
        <is>
          <t xml:space="preserve">2024-11</t>
        </is>
      </c>
      <c r="O800" s="0">
        <f>INDEX(Journaux!$E$5:$E$18,MATCH("2024|"&amp;A800,Journaux!$A$5:$A$18,0))</f>
      </c>
      <c r="P800" s="0">
        <f>INDEX(Comptes!$H$5:$H$42,MATCH(E800,Comptes!$A$5:$A$42,0))</f>
      </c>
      <c r="Q800" s="0" t="inlineStr">
        <is>
          <t xml:space="preserve">4</t>
        </is>
      </c>
    </row>
    <row r="801">
      <c r="A801" s="4" t="inlineStr">
        <is>
          <t xml:space="preserve">BQ</t>
        </is>
      </c>
      <c r="B801" s="0" t="inlineStr">
        <is>
          <t xml:space="preserve">Banque Fictive</t>
        </is>
      </c>
      <c r="C801" s="0" t="inlineStr">
        <is>
          <t xml:space="preserve">BQ00058</t>
        </is>
      </c>
      <c r="D801" s="10">
        <v>45616</v>
      </c>
      <c r="E801" s="4" t="inlineStr">
        <is>
          <t xml:space="preserve">512000</t>
        </is>
      </c>
      <c r="F801" s="0" t="inlineStr">
        <is>
          <t xml:space="preserve">Banque Fictive</t>
        </is>
      </c>
      <c r="G801" s="0" t="inlineStr">
        <is>
          <t xml:space="preserve">TVA202410</t>
        </is>
      </c>
      <c r="H801" s="0" t="inlineStr">
        <is>
          <t xml:space="preserve">Reglement TVA 10/2024</t>
        </is>
      </c>
      <c r="I801" s="8">
        <v>0</v>
      </c>
      <c r="J801" s="8">
        <v>18965.75</v>
      </c>
      <c r="K801" s="0"/>
      <c r="L801" s="0"/>
      <c r="M801" s="8">
        <f>I801-J801</f>
      </c>
      <c r="N801" s="0" t="inlineStr">
        <is>
          <t xml:space="preserve">2024-11</t>
        </is>
      </c>
      <c r="O801" s="0">
        <f>INDEX(Journaux!$E$5:$E$18,MATCH("2024|"&amp;A801,Journaux!$A$5:$A$18,0))</f>
      </c>
      <c r="P801" s="0">
        <f>INDEX(Comptes!$H$5:$H$42,MATCH(E801,Comptes!$A$5:$A$42,0))</f>
      </c>
      <c r="Q801" s="0" t="inlineStr">
        <is>
          <t xml:space="preserve">5</t>
        </is>
      </c>
    </row>
    <row r="802">
      <c r="A802" s="4" t="inlineStr">
        <is>
          <t xml:space="preserve">AC</t>
        </is>
      </c>
      <c r="B802" s="0" t="inlineStr">
        <is>
          <t xml:space="preserve">Journal des achats</t>
        </is>
      </c>
      <c r="C802" s="0" t="inlineStr">
        <is>
          <t xml:space="preserve">AC00062</t>
        </is>
      </c>
      <c r="D802" s="10">
        <v>45625</v>
      </c>
      <c r="E802" s="4" t="inlineStr">
        <is>
          <t xml:space="preserve">601000</t>
        </is>
      </c>
      <c r="F802" s="0" t="inlineStr">
        <is>
          <t xml:space="preserve">Achats de matieres premieres</t>
        </is>
      </c>
      <c r="G802" s="0" t="inlineStr">
        <is>
          <t xml:space="preserve">F002-2024111</t>
        </is>
      </c>
      <c r="H802" s="0" t="inlineStr">
        <is>
          <t xml:space="preserve">Facture Quincaillerie Pro Est F002-2024111</t>
        </is>
      </c>
      <c r="I802" s="8">
        <v>43825.01</v>
      </c>
      <c r="J802" s="8">
        <v>0</v>
      </c>
      <c r="K802" s="0"/>
      <c r="L802" s="0"/>
      <c r="M802" s="8">
        <f>I802-J802</f>
      </c>
      <c r="N802" s="0" t="inlineStr">
        <is>
          <t xml:space="preserve">2024-11</t>
        </is>
      </c>
      <c r="O802" s="0">
        <f>INDEX(Journaux!$E$5:$E$18,MATCH("2024|"&amp;A802,Journaux!$A$5:$A$18,0))</f>
      </c>
      <c r="P802" s="0">
        <f>INDEX(Comptes!$H$5:$H$42,MATCH(E802,Comptes!$A$5:$A$42,0))</f>
      </c>
      <c r="Q802" s="0" t="inlineStr">
        <is>
          <t xml:space="preserve">6</t>
        </is>
      </c>
    </row>
    <row r="803">
      <c r="A803" s="4" t="inlineStr">
        <is>
          <t xml:space="preserve">AC</t>
        </is>
      </c>
      <c r="B803" s="0" t="inlineStr">
        <is>
          <t xml:space="preserve">Journal des achats</t>
        </is>
      </c>
      <c r="C803" s="0" t="inlineStr">
        <is>
          <t xml:space="preserve">AC00062</t>
        </is>
      </c>
      <c r="D803" s="10">
        <v>45625</v>
      </c>
      <c r="E803" s="4" t="inlineStr">
        <is>
          <t xml:space="preserve">445660</t>
        </is>
      </c>
      <c r="F803" s="0" t="inlineStr">
        <is>
          <t xml:space="preserve">TVA deductible sur ABS</t>
        </is>
      </c>
      <c r="G803" s="0" t="inlineStr">
        <is>
          <t xml:space="preserve">F002-2024111</t>
        </is>
      </c>
      <c r="H803" s="0" t="inlineStr">
        <is>
          <t xml:space="preserve">Facture Quincaillerie Pro Est F002-2024111</t>
        </is>
      </c>
      <c r="I803" s="8">
        <v>8765</v>
      </c>
      <c r="J803" s="8">
        <v>0</v>
      </c>
      <c r="K803" s="0"/>
      <c r="L803" s="0"/>
      <c r="M803" s="8">
        <f>I803-J803</f>
      </c>
      <c r="N803" s="0" t="inlineStr">
        <is>
          <t xml:space="preserve">2024-11</t>
        </is>
      </c>
      <c r="O803" s="0">
        <f>INDEX(Journaux!$E$5:$E$18,MATCH("2024|"&amp;A803,Journaux!$A$5:$A$18,0))</f>
      </c>
      <c r="P803" s="0">
        <f>INDEX(Comptes!$H$5:$H$42,MATCH(E803,Comptes!$A$5:$A$42,0))</f>
      </c>
      <c r="Q803" s="0" t="inlineStr">
        <is>
          <t xml:space="preserve">4</t>
        </is>
      </c>
    </row>
    <row r="804">
      <c r="A804" s="4" t="inlineStr">
        <is>
          <t xml:space="preserve">AC</t>
        </is>
      </c>
      <c r="B804" s="0" t="inlineStr">
        <is>
          <t xml:space="preserve">Journal des achats</t>
        </is>
      </c>
      <c r="C804" s="0" t="inlineStr">
        <is>
          <t xml:space="preserve">AC00062</t>
        </is>
      </c>
      <c r="D804" s="10">
        <v>45625</v>
      </c>
      <c r="E804" s="4" t="inlineStr">
        <is>
          <t xml:space="preserve">401000</t>
        </is>
      </c>
      <c r="F804" s="0" t="inlineStr">
        <is>
          <t xml:space="preserve">Fournisseurs</t>
        </is>
      </c>
      <c r="G804" s="0" t="inlineStr">
        <is>
          <t xml:space="preserve">F002-2024111</t>
        </is>
      </c>
      <c r="H804" s="0" t="inlineStr">
        <is>
          <t xml:space="preserve">Facture Quincaillerie Pro Est F002-2024111</t>
        </is>
      </c>
      <c r="I804" s="8">
        <v>0</v>
      </c>
      <c r="J804" s="8">
        <v>52590.01</v>
      </c>
      <c r="K804" s="0"/>
      <c r="L804" s="0" t="inlineStr">
        <is>
          <t xml:space="preserve">Quincaillerie Pro Est</t>
        </is>
      </c>
      <c r="M804" s="8">
        <f>I804-J804</f>
      </c>
      <c r="N804" s="0" t="inlineStr">
        <is>
          <t xml:space="preserve">2024-11</t>
        </is>
      </c>
      <c r="O804" s="0">
        <f>INDEX(Journaux!$E$5:$E$18,MATCH("2024|"&amp;A804,Journaux!$A$5:$A$18,0))</f>
      </c>
      <c r="P804" s="0">
        <f>INDEX(Comptes!$H$5:$H$42,MATCH(E804,Comptes!$A$5:$A$42,0))</f>
      </c>
      <c r="Q804" s="0" t="inlineStr">
        <is>
          <t xml:space="preserve">4</t>
        </is>
      </c>
      <c r="R804" s="7" t="inlineStr">
        <is>
          <t xml:space="preserve">401000|F002</t>
        </is>
      </c>
    </row>
    <row r="805">
      <c r="A805" s="4" t="inlineStr">
        <is>
          <t xml:space="preserve">BQ</t>
        </is>
      </c>
      <c r="B805" s="0" t="inlineStr">
        <is>
          <t xml:space="preserve">Banque Fictive</t>
        </is>
      </c>
      <c r="C805" s="0" t="inlineStr">
        <is>
          <t xml:space="preserve">BQ00114</t>
        </is>
      </c>
      <c r="D805" s="10">
        <v>45625</v>
      </c>
      <c r="E805" s="4" t="inlineStr">
        <is>
          <t xml:space="preserve">512000</t>
        </is>
      </c>
      <c r="F805" s="0" t="inlineStr">
        <is>
          <t xml:space="preserve">Banque Fictive</t>
        </is>
      </c>
      <c r="G805" s="0" t="inlineStr">
        <is>
          <t xml:space="preserve">ENC-FA2024-0049</t>
        </is>
      </c>
      <c r="H805" s="0" t="inlineStr">
        <is>
          <t xml:space="preserve">Reglement client Agence Mobilis FA2024-0049</t>
        </is>
      </c>
      <c r="I805" s="8">
        <v>45140.21</v>
      </c>
      <c r="J805" s="8">
        <v>0</v>
      </c>
      <c r="K805" s="0"/>
      <c r="L805" s="0"/>
      <c r="M805" s="8">
        <f>I805-J805</f>
      </c>
      <c r="N805" s="0" t="inlineStr">
        <is>
          <t xml:space="preserve">2024-11</t>
        </is>
      </c>
      <c r="O805" s="0">
        <f>INDEX(Journaux!$E$5:$E$18,MATCH("2024|"&amp;A805,Journaux!$A$5:$A$18,0))</f>
      </c>
      <c r="P805" s="0">
        <f>INDEX(Comptes!$H$5:$H$42,MATCH(E805,Comptes!$A$5:$A$42,0))</f>
      </c>
      <c r="Q805" s="0" t="inlineStr">
        <is>
          <t xml:space="preserve">5</t>
        </is>
      </c>
    </row>
    <row r="806">
      <c r="A806" s="4" t="inlineStr">
        <is>
          <t xml:space="preserve">BQ</t>
        </is>
      </c>
      <c r="B806" s="0" t="inlineStr">
        <is>
          <t xml:space="preserve">Banque Fictive</t>
        </is>
      </c>
      <c r="C806" s="0" t="inlineStr">
        <is>
          <t xml:space="preserve">BQ00114</t>
        </is>
      </c>
      <c r="D806" s="10">
        <v>45625</v>
      </c>
      <c r="E806" s="4" t="inlineStr">
        <is>
          <t xml:space="preserve">411000</t>
        </is>
      </c>
      <c r="F806" s="0" t="inlineStr">
        <is>
          <t xml:space="preserve">Clients</t>
        </is>
      </c>
      <c r="G806" s="0" t="inlineStr">
        <is>
          <t xml:space="preserve">ENC-FA2024-0049</t>
        </is>
      </c>
      <c r="H806" s="0" t="inlineStr">
        <is>
          <t xml:space="preserve">Reglement client Agence Mobilis FA2024-0049</t>
        </is>
      </c>
      <c r="I806" s="8">
        <v>0</v>
      </c>
      <c r="J806" s="8">
        <v>45140.21</v>
      </c>
      <c r="K806" s="0" t="inlineStr">
        <is>
          <t xml:space="preserve">ABB</t>
        </is>
      </c>
      <c r="L806" s="0" t="inlineStr">
        <is>
          <t xml:space="preserve">Agence Mobilis</t>
        </is>
      </c>
      <c r="M806" s="8">
        <f>I806-J806</f>
      </c>
      <c r="N806" s="0" t="inlineStr">
        <is>
          <t xml:space="preserve">2024-11</t>
        </is>
      </c>
      <c r="O806" s="0">
        <f>INDEX(Journaux!$E$5:$E$18,MATCH("2024|"&amp;A806,Journaux!$A$5:$A$18,0))</f>
      </c>
      <c r="P806" s="0">
        <f>INDEX(Comptes!$H$5:$H$42,MATCH(E806,Comptes!$A$5:$A$42,0))</f>
      </c>
      <c r="Q806" s="0" t="inlineStr">
        <is>
          <t xml:space="preserve">4</t>
        </is>
      </c>
      <c r="R806" s="7" t="inlineStr">
        <is>
          <t xml:space="preserve">411000|C002</t>
        </is>
      </c>
    </row>
    <row r="807">
      <c r="A807" s="4" t="inlineStr">
        <is>
          <t xml:space="preserve">VT</t>
        </is>
      </c>
      <c r="B807" s="0" t="inlineStr">
        <is>
          <t xml:space="preserve">Journal des ventes</t>
        </is>
      </c>
      <c r="C807" s="0" t="inlineStr">
        <is>
          <t xml:space="preserve">VT00054</t>
        </is>
      </c>
      <c r="D807" s="10">
        <v>45625</v>
      </c>
      <c r="E807" s="4" t="inlineStr">
        <is>
          <t xml:space="preserve">411000</t>
        </is>
      </c>
      <c r="F807" s="0" t="inlineStr">
        <is>
          <t xml:space="preserve">Clients</t>
        </is>
      </c>
      <c r="G807" s="0" t="inlineStr">
        <is>
          <t xml:space="preserve">FA2024-0054</t>
        </is>
      </c>
      <c r="H807" s="0" t="inlineStr">
        <is>
          <t xml:space="preserve">Facture FA2024-0054 Agence Mobilis</t>
        </is>
      </c>
      <c r="I807" s="8">
        <v>35886.29</v>
      </c>
      <c r="J807" s="8">
        <v>0</v>
      </c>
      <c r="K807" s="0"/>
      <c r="L807" s="0" t="inlineStr">
        <is>
          <t xml:space="preserve">Agence Mobilis</t>
        </is>
      </c>
      <c r="M807" s="8">
        <f>I807-J807</f>
      </c>
      <c r="N807" s="0" t="inlineStr">
        <is>
          <t xml:space="preserve">2024-11</t>
        </is>
      </c>
      <c r="O807" s="0">
        <f>INDEX(Journaux!$E$5:$E$18,MATCH("2024|"&amp;A807,Journaux!$A$5:$A$18,0))</f>
      </c>
      <c r="P807" s="0">
        <f>INDEX(Comptes!$H$5:$H$42,MATCH(E807,Comptes!$A$5:$A$42,0))</f>
      </c>
      <c r="Q807" s="0" t="inlineStr">
        <is>
          <t xml:space="preserve">4</t>
        </is>
      </c>
      <c r="R807" s="7" t="inlineStr">
        <is>
          <t xml:space="preserve">411000|C002</t>
        </is>
      </c>
    </row>
    <row r="808">
      <c r="A808" s="4" t="inlineStr">
        <is>
          <t xml:space="preserve">VT</t>
        </is>
      </c>
      <c r="B808" s="0" t="inlineStr">
        <is>
          <t xml:space="preserve">Journal des ventes</t>
        </is>
      </c>
      <c r="C808" s="0" t="inlineStr">
        <is>
          <t xml:space="preserve">VT00054</t>
        </is>
      </c>
      <c r="D808" s="10">
        <v>45625</v>
      </c>
      <c r="E808" s="4" t="inlineStr">
        <is>
          <t xml:space="preserve">701000</t>
        </is>
      </c>
      <c r="F808" s="0" t="inlineStr">
        <is>
          <t xml:space="preserve">Ventes de produits finis</t>
        </is>
      </c>
      <c r="G808" s="0" t="inlineStr">
        <is>
          <t xml:space="preserve">FA2024-0054</t>
        </is>
      </c>
      <c r="H808" s="0" t="inlineStr">
        <is>
          <t xml:space="preserve">Facture FA2024-0054 Agence Mobilis</t>
        </is>
      </c>
      <c r="I808" s="8">
        <v>0</v>
      </c>
      <c r="J808" s="8">
        <v>29905.24</v>
      </c>
      <c r="K808" s="0"/>
      <c r="L808" s="0"/>
      <c r="M808" s="8">
        <f>I808-J808</f>
      </c>
      <c r="N808" s="0" t="inlineStr">
        <is>
          <t xml:space="preserve">2024-11</t>
        </is>
      </c>
      <c r="O808" s="0">
        <f>INDEX(Journaux!$E$5:$E$18,MATCH("2024|"&amp;A808,Journaux!$A$5:$A$18,0))</f>
      </c>
      <c r="P808" s="0">
        <f>INDEX(Comptes!$H$5:$H$42,MATCH(E808,Comptes!$A$5:$A$42,0))</f>
      </c>
      <c r="Q808" s="0" t="inlineStr">
        <is>
          <t xml:space="preserve">7</t>
        </is>
      </c>
    </row>
    <row r="809">
      <c r="A809" s="4" t="inlineStr">
        <is>
          <t xml:space="preserve">VT</t>
        </is>
      </c>
      <c r="B809" s="0" t="inlineStr">
        <is>
          <t xml:space="preserve">Journal des ventes</t>
        </is>
      </c>
      <c r="C809" s="0" t="inlineStr">
        <is>
          <t xml:space="preserve">VT00054</t>
        </is>
      </c>
      <c r="D809" s="10">
        <v>45625</v>
      </c>
      <c r="E809" s="4" t="inlineStr">
        <is>
          <t xml:space="preserve">445710</t>
        </is>
      </c>
      <c r="F809" s="0" t="inlineStr">
        <is>
          <t xml:space="preserve">TVA collectee</t>
        </is>
      </c>
      <c r="G809" s="0" t="inlineStr">
        <is>
          <t xml:space="preserve">FA2024-0054</t>
        </is>
      </c>
      <c r="H809" s="0" t="inlineStr">
        <is>
          <t xml:space="preserve">Facture FA2024-0054 Agence Mobilis</t>
        </is>
      </c>
      <c r="I809" s="8">
        <v>0</v>
      </c>
      <c r="J809" s="8">
        <v>5981.05</v>
      </c>
      <c r="K809" s="0"/>
      <c r="L809" s="0"/>
      <c r="M809" s="8">
        <f>I809-J809</f>
      </c>
      <c r="N809" s="0" t="inlineStr">
        <is>
          <t xml:space="preserve">2024-11</t>
        </is>
      </c>
      <c r="O809" s="0">
        <f>INDEX(Journaux!$E$5:$E$18,MATCH("2024|"&amp;A809,Journaux!$A$5:$A$18,0))</f>
      </c>
      <c r="P809" s="0">
        <f>INDEX(Comptes!$H$5:$H$42,MATCH(E809,Comptes!$A$5:$A$42,0))</f>
      </c>
      <c r="Q809" s="0" t="inlineStr">
        <is>
          <t xml:space="preserve">4</t>
        </is>
      </c>
    </row>
    <row r="810">
      <c r="A810" s="4" t="inlineStr">
        <is>
          <t xml:space="preserve">BQ</t>
        </is>
      </c>
      <c r="B810" s="0" t="inlineStr">
        <is>
          <t xml:space="preserve">Banque Fictive</t>
        </is>
      </c>
      <c r="C810" s="0" t="inlineStr">
        <is>
          <t xml:space="preserve">BQ00031</t>
        </is>
      </c>
      <c r="D810" s="10">
        <v>45626</v>
      </c>
      <c r="E810" s="4" t="inlineStr">
        <is>
          <t xml:space="preserve">421000</t>
        </is>
      </c>
      <c r="F810" s="0" t="inlineStr">
        <is>
          <t xml:space="preserve">Personnel remunerations dues</t>
        </is>
      </c>
      <c r="G810" s="0" t="inlineStr">
        <is>
          <t xml:space="preserve">VIRSAL202411</t>
        </is>
      </c>
      <c r="H810" s="0" t="inlineStr">
        <is>
          <t xml:space="preserve">Virement salaires 11/2024</t>
        </is>
      </c>
      <c r="I810" s="8">
        <v>40322.61</v>
      </c>
      <c r="J810" s="8">
        <v>0</v>
      </c>
      <c r="K810" s="0"/>
      <c r="L810" s="0"/>
      <c r="M810" s="8">
        <f>I810-J810</f>
      </c>
      <c r="N810" s="0" t="inlineStr">
        <is>
          <t xml:space="preserve">2024-11</t>
        </is>
      </c>
      <c r="O810" s="0">
        <f>INDEX(Journaux!$E$5:$E$18,MATCH("2024|"&amp;A810,Journaux!$A$5:$A$18,0))</f>
      </c>
      <c r="P810" s="0">
        <f>INDEX(Comptes!$H$5:$H$42,MATCH(E810,Comptes!$A$5:$A$42,0))</f>
      </c>
      <c r="Q810" s="0" t="inlineStr">
        <is>
          <t xml:space="preserve">4</t>
        </is>
      </c>
    </row>
    <row r="811">
      <c r="A811" s="4" t="inlineStr">
        <is>
          <t xml:space="preserve">BQ</t>
        </is>
      </c>
      <c r="B811" s="0" t="inlineStr">
        <is>
          <t xml:space="preserve">Banque Fictive</t>
        </is>
      </c>
      <c r="C811" s="0" t="inlineStr">
        <is>
          <t xml:space="preserve">BQ00031</t>
        </is>
      </c>
      <c r="D811" s="10">
        <v>45626</v>
      </c>
      <c r="E811" s="4" t="inlineStr">
        <is>
          <t xml:space="preserve">512000</t>
        </is>
      </c>
      <c r="F811" s="0" t="inlineStr">
        <is>
          <t xml:space="preserve">Banque Fictive</t>
        </is>
      </c>
      <c r="G811" s="0" t="inlineStr">
        <is>
          <t xml:space="preserve">VIRSAL202411</t>
        </is>
      </c>
      <c r="H811" s="0" t="inlineStr">
        <is>
          <t xml:space="preserve">Virement salaires 11/2024</t>
        </is>
      </c>
      <c r="I811" s="8">
        <v>0</v>
      </c>
      <c r="J811" s="8">
        <v>40322.61</v>
      </c>
      <c r="K811" s="0"/>
      <c r="L811" s="0"/>
      <c r="M811" s="8">
        <f>I811-J811</f>
      </c>
      <c r="N811" s="0" t="inlineStr">
        <is>
          <t xml:space="preserve">2024-11</t>
        </is>
      </c>
      <c r="O811" s="0">
        <f>INDEX(Journaux!$E$5:$E$18,MATCH("2024|"&amp;A811,Journaux!$A$5:$A$18,0))</f>
      </c>
      <c r="P811" s="0">
        <f>INDEX(Comptes!$H$5:$H$42,MATCH(E811,Comptes!$A$5:$A$42,0))</f>
      </c>
      <c r="Q811" s="0" t="inlineStr">
        <is>
          <t xml:space="preserve">5</t>
        </is>
      </c>
    </row>
    <row r="812">
      <c r="A812" s="4" t="inlineStr">
        <is>
          <t xml:space="preserve">BQ</t>
        </is>
      </c>
      <c r="B812" s="0" t="inlineStr">
        <is>
          <t xml:space="preserve">Banque Fictive</t>
        </is>
      </c>
      <c r="C812" s="0" t="inlineStr">
        <is>
          <t xml:space="preserve">BQ00033</t>
        </is>
      </c>
      <c r="D812" s="10">
        <v>45626</v>
      </c>
      <c r="E812" s="4" t="inlineStr">
        <is>
          <t xml:space="preserve">627000</t>
        </is>
      </c>
      <c r="F812" s="0" t="inlineStr">
        <is>
          <t xml:space="preserve">Services bancaires</t>
        </is>
      </c>
      <c r="G812" s="0" t="inlineStr">
        <is>
          <t xml:space="preserve">FRB202411</t>
        </is>
      </c>
      <c r="H812" s="0" t="inlineStr">
        <is>
          <t xml:space="preserve">Frais bancaires 11/2024</t>
        </is>
      </c>
      <c r="I812" s="8">
        <v>85</v>
      </c>
      <c r="J812" s="8">
        <v>0</v>
      </c>
      <c r="K812" s="0"/>
      <c r="L812" s="0"/>
      <c r="M812" s="8">
        <f>I812-J812</f>
      </c>
      <c r="N812" s="0" t="inlineStr">
        <is>
          <t xml:space="preserve">2024-11</t>
        </is>
      </c>
      <c r="O812" s="0">
        <f>INDEX(Journaux!$E$5:$E$18,MATCH("2024|"&amp;A812,Journaux!$A$5:$A$18,0))</f>
      </c>
      <c r="P812" s="0">
        <f>INDEX(Comptes!$H$5:$H$42,MATCH(E812,Comptes!$A$5:$A$42,0))</f>
      </c>
      <c r="Q812" s="0" t="inlineStr">
        <is>
          <t xml:space="preserve">6</t>
        </is>
      </c>
    </row>
    <row r="813">
      <c r="A813" s="4" t="inlineStr">
        <is>
          <t xml:space="preserve">BQ</t>
        </is>
      </c>
      <c r="B813" s="0" t="inlineStr">
        <is>
          <t xml:space="preserve">Banque Fictive</t>
        </is>
      </c>
      <c r="C813" s="0" t="inlineStr">
        <is>
          <t xml:space="preserve">BQ00033</t>
        </is>
      </c>
      <c r="D813" s="10">
        <v>45626</v>
      </c>
      <c r="E813" s="4" t="inlineStr">
        <is>
          <t xml:space="preserve">512000</t>
        </is>
      </c>
      <c r="F813" s="0" t="inlineStr">
        <is>
          <t xml:space="preserve">Banque Fictive</t>
        </is>
      </c>
      <c r="G813" s="0" t="inlineStr">
        <is>
          <t xml:space="preserve">FRB202411</t>
        </is>
      </c>
      <c r="H813" s="0" t="inlineStr">
        <is>
          <t xml:space="preserve">Frais bancaires 11/2024</t>
        </is>
      </c>
      <c r="I813" s="8">
        <v>0</v>
      </c>
      <c r="J813" s="8">
        <v>85</v>
      </c>
      <c r="K813" s="0"/>
      <c r="L813" s="0"/>
      <c r="M813" s="8">
        <f>I813-J813</f>
      </c>
      <c r="N813" s="0" t="inlineStr">
        <is>
          <t xml:space="preserve">2024-11</t>
        </is>
      </c>
      <c r="O813" s="0">
        <f>INDEX(Journaux!$E$5:$E$18,MATCH("2024|"&amp;A813,Journaux!$A$5:$A$18,0))</f>
      </c>
      <c r="P813" s="0">
        <f>INDEX(Comptes!$H$5:$H$42,MATCH(E813,Comptes!$A$5:$A$42,0))</f>
      </c>
      <c r="Q813" s="0" t="inlineStr">
        <is>
          <t xml:space="preserve">5</t>
        </is>
      </c>
    </row>
    <row r="814">
      <c r="A814" s="4" t="inlineStr">
        <is>
          <t xml:space="preserve">OD</t>
        </is>
      </c>
      <c r="B814" s="0" t="inlineStr">
        <is>
          <t xml:space="preserve">Operations diverses</t>
        </is>
      </c>
      <c r="C814" s="0" t="inlineStr">
        <is>
          <t xml:space="preserve">OD00011</t>
        </is>
      </c>
      <c r="D814" s="10">
        <v>45626</v>
      </c>
      <c r="E814" s="4" t="inlineStr">
        <is>
          <t xml:space="preserve">445710</t>
        </is>
      </c>
      <c r="F814" s="0" t="inlineStr">
        <is>
          <t xml:space="preserve">TVA collectee</t>
        </is>
      </c>
      <c r="G814" s="0" t="inlineStr">
        <is>
          <t xml:space="preserve">CA3-202411</t>
        </is>
      </c>
      <c r="H814" s="0" t="inlineStr">
        <is>
          <t xml:space="preserve">Declaration TVA 11/2024</t>
        </is>
      </c>
      <c r="I814" s="8">
        <v>36666.66</v>
      </c>
      <c r="J814" s="8">
        <v>0</v>
      </c>
      <c r="K814" s="0"/>
      <c r="L814" s="0"/>
      <c r="M814" s="8">
        <f>I814-J814</f>
      </c>
      <c r="N814" s="0" t="inlineStr">
        <is>
          <t xml:space="preserve">2024-11</t>
        </is>
      </c>
      <c r="O814" s="0">
        <f>INDEX(Journaux!$E$5:$E$18,MATCH("2024|"&amp;A814,Journaux!$A$5:$A$18,0))</f>
      </c>
      <c r="P814" s="0">
        <f>INDEX(Comptes!$H$5:$H$42,MATCH(E814,Comptes!$A$5:$A$42,0))</f>
      </c>
      <c r="Q814" s="0" t="inlineStr">
        <is>
          <t xml:space="preserve">4</t>
        </is>
      </c>
    </row>
    <row r="815">
      <c r="A815" s="4" t="inlineStr">
        <is>
          <t xml:space="preserve">OD</t>
        </is>
      </c>
      <c r="B815" s="0" t="inlineStr">
        <is>
          <t xml:space="preserve">Operations diverses</t>
        </is>
      </c>
      <c r="C815" s="0" t="inlineStr">
        <is>
          <t xml:space="preserve">OD00011</t>
        </is>
      </c>
      <c r="D815" s="10">
        <v>45626</v>
      </c>
      <c r="E815" s="4" t="inlineStr">
        <is>
          <t xml:space="preserve">445660</t>
        </is>
      </c>
      <c r="F815" s="0" t="inlineStr">
        <is>
          <t xml:space="preserve">TVA deductible sur ABS</t>
        </is>
      </c>
      <c r="G815" s="0" t="inlineStr">
        <is>
          <t xml:space="preserve">CA3-202411</t>
        </is>
      </c>
      <c r="H815" s="0" t="inlineStr">
        <is>
          <t xml:space="preserve">Declaration TVA 11/2024</t>
        </is>
      </c>
      <c r="I815" s="8">
        <v>0</v>
      </c>
      <c r="J815" s="8">
        <v>17856.07</v>
      </c>
      <c r="K815" s="0"/>
      <c r="L815" s="0"/>
      <c r="M815" s="8">
        <f>I815-J815</f>
      </c>
      <c r="N815" s="0" t="inlineStr">
        <is>
          <t xml:space="preserve">2024-11</t>
        </is>
      </c>
      <c r="O815" s="0">
        <f>INDEX(Journaux!$E$5:$E$18,MATCH("2024|"&amp;A815,Journaux!$A$5:$A$18,0))</f>
      </c>
      <c r="P815" s="0">
        <f>INDEX(Comptes!$H$5:$H$42,MATCH(E815,Comptes!$A$5:$A$42,0))</f>
      </c>
      <c r="Q815" s="0" t="inlineStr">
        <is>
          <t xml:space="preserve">4</t>
        </is>
      </c>
    </row>
    <row r="816">
      <c r="A816" s="4" t="inlineStr">
        <is>
          <t xml:space="preserve">OD</t>
        </is>
      </c>
      <c r="B816" s="0" t="inlineStr">
        <is>
          <t xml:space="preserve">Operations diverses</t>
        </is>
      </c>
      <c r="C816" s="0" t="inlineStr">
        <is>
          <t xml:space="preserve">OD00011</t>
        </is>
      </c>
      <c r="D816" s="10">
        <v>45626</v>
      </c>
      <c r="E816" s="4" t="inlineStr">
        <is>
          <t xml:space="preserve">445510</t>
        </is>
      </c>
      <c r="F816" s="0" t="inlineStr">
        <is>
          <t xml:space="preserve">TVA a decaisser</t>
        </is>
      </c>
      <c r="G816" s="0" t="inlineStr">
        <is>
          <t xml:space="preserve">CA3-202411</t>
        </is>
      </c>
      <c r="H816" s="0" t="inlineStr">
        <is>
          <t xml:space="preserve">Declaration TVA 11/2024</t>
        </is>
      </c>
      <c r="I816" s="8">
        <v>0</v>
      </c>
      <c r="J816" s="8">
        <v>18810.59</v>
      </c>
      <c r="K816" s="0"/>
      <c r="L816" s="0"/>
      <c r="M816" s="8">
        <f>I816-J816</f>
      </c>
      <c r="N816" s="0" t="inlineStr">
        <is>
          <t xml:space="preserve">2024-11</t>
        </is>
      </c>
      <c r="O816" s="0">
        <f>INDEX(Journaux!$E$5:$E$18,MATCH("2024|"&amp;A816,Journaux!$A$5:$A$18,0))</f>
      </c>
      <c r="P816" s="0">
        <f>INDEX(Comptes!$H$5:$H$42,MATCH(E816,Comptes!$A$5:$A$42,0))</f>
      </c>
      <c r="Q816" s="0" t="inlineStr">
        <is>
          <t xml:space="preserve">4</t>
        </is>
      </c>
    </row>
    <row r="817">
      <c r="A817" s="4" t="inlineStr">
        <is>
          <t xml:space="preserve">SA</t>
        </is>
      </c>
      <c r="B817" s="0" t="inlineStr">
        <is>
          <t xml:space="preserve">Salaires</t>
        </is>
      </c>
      <c r="C817" s="0" t="inlineStr">
        <is>
          <t xml:space="preserve">SA00011</t>
        </is>
      </c>
      <c r="D817" s="10">
        <v>45626</v>
      </c>
      <c r="E817" s="4" t="inlineStr">
        <is>
          <t xml:space="preserve">641000</t>
        </is>
      </c>
      <c r="F817" s="0" t="inlineStr">
        <is>
          <t xml:space="preserve">Remunerations du personnel</t>
        </is>
      </c>
      <c r="G817" s="0" t="inlineStr">
        <is>
          <t xml:space="preserve">PAIE202411</t>
        </is>
      </c>
      <c r="H817" s="0" t="inlineStr">
        <is>
          <t xml:space="preserve">Paie 11/2024</t>
        </is>
      </c>
      <c r="I817" s="8">
        <v>51695.65</v>
      </c>
      <c r="J817" s="8">
        <v>0</v>
      </c>
      <c r="K817" s="0"/>
      <c r="L817" s="0"/>
      <c r="M817" s="8">
        <f>I817-J817</f>
      </c>
      <c r="N817" s="0" t="inlineStr">
        <is>
          <t xml:space="preserve">2024-11</t>
        </is>
      </c>
      <c r="O817" s="0">
        <f>INDEX(Journaux!$E$5:$E$18,MATCH("2024|"&amp;A817,Journaux!$A$5:$A$18,0))</f>
      </c>
      <c r="P817" s="0">
        <f>INDEX(Comptes!$H$5:$H$42,MATCH(E817,Comptes!$A$5:$A$42,0))</f>
      </c>
      <c r="Q817" s="0" t="inlineStr">
        <is>
          <t xml:space="preserve">6</t>
        </is>
      </c>
    </row>
    <row r="818">
      <c r="A818" s="4" t="inlineStr">
        <is>
          <t xml:space="preserve">SA</t>
        </is>
      </c>
      <c r="B818" s="0" t="inlineStr">
        <is>
          <t xml:space="preserve">Salaires</t>
        </is>
      </c>
      <c r="C818" s="0" t="inlineStr">
        <is>
          <t xml:space="preserve">SA00011</t>
        </is>
      </c>
      <c r="D818" s="10">
        <v>45626</v>
      </c>
      <c r="E818" s="4" t="inlineStr">
        <is>
          <t xml:space="preserve">645100</t>
        </is>
      </c>
      <c r="F818" s="0" t="inlineStr">
        <is>
          <t xml:space="preserve">Cotisations URSSAF</t>
        </is>
      </c>
      <c r="G818" s="0" t="inlineStr">
        <is>
          <t xml:space="preserve">PAIE202411</t>
        </is>
      </c>
      <c r="H818" s="0" t="inlineStr">
        <is>
          <t xml:space="preserve">Paie 11/2024</t>
        </is>
      </c>
      <c r="I818" s="8">
        <v>21712.17</v>
      </c>
      <c r="J818" s="8">
        <v>0</v>
      </c>
      <c r="K818" s="0"/>
      <c r="L818" s="0"/>
      <c r="M818" s="8">
        <f>I818-J818</f>
      </c>
      <c r="N818" s="0" t="inlineStr">
        <is>
          <t xml:space="preserve">2024-11</t>
        </is>
      </c>
      <c r="O818" s="0">
        <f>INDEX(Journaux!$E$5:$E$18,MATCH("2024|"&amp;A818,Journaux!$A$5:$A$18,0))</f>
      </c>
      <c r="P818" s="0">
        <f>INDEX(Comptes!$H$5:$H$42,MATCH(E818,Comptes!$A$5:$A$42,0))</f>
      </c>
      <c r="Q818" s="0" t="inlineStr">
        <is>
          <t xml:space="preserve">6</t>
        </is>
      </c>
    </row>
    <row r="819">
      <c r="A819" s="4" t="inlineStr">
        <is>
          <t xml:space="preserve">SA</t>
        </is>
      </c>
      <c r="B819" s="0" t="inlineStr">
        <is>
          <t xml:space="preserve">Salaires</t>
        </is>
      </c>
      <c r="C819" s="0" t="inlineStr">
        <is>
          <t xml:space="preserve">SA00011</t>
        </is>
      </c>
      <c r="D819" s="10">
        <v>45626</v>
      </c>
      <c r="E819" s="4" t="inlineStr">
        <is>
          <t xml:space="preserve">421000</t>
        </is>
      </c>
      <c r="F819" s="0" t="inlineStr">
        <is>
          <t xml:space="preserve">Personnel remunerations dues</t>
        </is>
      </c>
      <c r="G819" s="0" t="inlineStr">
        <is>
          <t xml:space="preserve">PAIE202411</t>
        </is>
      </c>
      <c r="H819" s="0" t="inlineStr">
        <is>
          <t xml:space="preserve">Paie 11/2024</t>
        </is>
      </c>
      <c r="I819" s="8">
        <v>0</v>
      </c>
      <c r="J819" s="8">
        <v>40322.61</v>
      </c>
      <c r="K819" s="0"/>
      <c r="L819" s="0"/>
      <c r="M819" s="8">
        <f>I819-J819</f>
      </c>
      <c r="N819" s="0" t="inlineStr">
        <is>
          <t xml:space="preserve">2024-11</t>
        </is>
      </c>
      <c r="O819" s="0">
        <f>INDEX(Journaux!$E$5:$E$18,MATCH("2024|"&amp;A819,Journaux!$A$5:$A$18,0))</f>
      </c>
      <c r="P819" s="0">
        <f>INDEX(Comptes!$H$5:$H$42,MATCH(E819,Comptes!$A$5:$A$42,0))</f>
      </c>
      <c r="Q819" s="0" t="inlineStr">
        <is>
          <t xml:space="preserve">4</t>
        </is>
      </c>
    </row>
    <row r="820">
      <c r="A820" s="4" t="inlineStr">
        <is>
          <t xml:space="preserve">SA</t>
        </is>
      </c>
      <c r="B820" s="0" t="inlineStr">
        <is>
          <t xml:space="preserve">Salaires</t>
        </is>
      </c>
      <c r="C820" s="0" t="inlineStr">
        <is>
          <t xml:space="preserve">SA00011</t>
        </is>
      </c>
      <c r="D820" s="10">
        <v>45626</v>
      </c>
      <c r="E820" s="4" t="inlineStr">
        <is>
          <t xml:space="preserve">431000</t>
        </is>
      </c>
      <c r="F820" s="0" t="inlineStr">
        <is>
          <t xml:space="preserve">Securite sociale</t>
        </is>
      </c>
      <c r="G820" s="0" t="inlineStr">
        <is>
          <t xml:space="preserve">PAIE202411</t>
        </is>
      </c>
      <c r="H820" s="0" t="inlineStr">
        <is>
          <t xml:space="preserve">Paie 11/2024</t>
        </is>
      </c>
      <c r="I820" s="8">
        <v>0</v>
      </c>
      <c r="J820" s="8">
        <v>33085.21</v>
      </c>
      <c r="K820" s="0"/>
      <c r="L820" s="0"/>
      <c r="M820" s="8">
        <f>I820-J820</f>
      </c>
      <c r="N820" s="0" t="inlineStr">
        <is>
          <t xml:space="preserve">2024-11</t>
        </is>
      </c>
      <c r="O820" s="0">
        <f>INDEX(Journaux!$E$5:$E$18,MATCH("2024|"&amp;A820,Journaux!$A$5:$A$18,0))</f>
      </c>
      <c r="P820" s="0">
        <f>INDEX(Comptes!$H$5:$H$42,MATCH(E820,Comptes!$A$5:$A$42,0))</f>
      </c>
      <c r="Q820" s="0" t="inlineStr">
        <is>
          <t xml:space="preserve">4</t>
        </is>
      </c>
    </row>
    <row r="821">
      <c r="A821" s="4" t="inlineStr">
        <is>
          <t xml:space="preserve">AC</t>
        </is>
      </c>
      <c r="B821" s="0" t="inlineStr">
        <is>
          <t xml:space="preserve">Journal des achats</t>
        </is>
      </c>
      <c r="C821" s="0" t="inlineStr">
        <is>
          <t xml:space="preserve">AC00068</t>
        </is>
      </c>
      <c r="D821" s="10">
        <v>45629</v>
      </c>
      <c r="E821" s="4" t="inlineStr">
        <is>
          <t xml:space="preserve">601000</t>
        </is>
      </c>
      <c r="F821" s="0" t="inlineStr">
        <is>
          <t xml:space="preserve">Achats de matieres premieres</t>
        </is>
      </c>
      <c r="G821" s="0" t="inlineStr">
        <is>
          <t xml:space="preserve">F002-2024122</t>
        </is>
      </c>
      <c r="H821" s="0" t="inlineStr">
        <is>
          <t xml:space="preserve">Facture Quincaillerie Pro Est F002-2024122</t>
        </is>
      </c>
      <c r="I821" s="8">
        <v>37768.84</v>
      </c>
      <c r="J821" s="8">
        <v>0</v>
      </c>
      <c r="K821" s="0"/>
      <c r="L821" s="0"/>
      <c r="M821" s="8">
        <f>I821-J821</f>
      </c>
      <c r="N821" s="0" t="inlineStr">
        <is>
          <t xml:space="preserve">2024-12</t>
        </is>
      </c>
      <c r="O821" s="0">
        <f>INDEX(Journaux!$E$5:$E$18,MATCH("2024|"&amp;A821,Journaux!$A$5:$A$18,0))</f>
      </c>
      <c r="P821" s="0">
        <f>INDEX(Comptes!$H$5:$H$42,MATCH(E821,Comptes!$A$5:$A$42,0))</f>
      </c>
      <c r="Q821" s="0" t="inlineStr">
        <is>
          <t xml:space="preserve">6</t>
        </is>
      </c>
    </row>
    <row r="822">
      <c r="A822" s="4" t="inlineStr">
        <is>
          <t xml:space="preserve">AC</t>
        </is>
      </c>
      <c r="B822" s="0" t="inlineStr">
        <is>
          <t xml:space="preserve">Journal des achats</t>
        </is>
      </c>
      <c r="C822" s="0" t="inlineStr">
        <is>
          <t xml:space="preserve">AC00068</t>
        </is>
      </c>
      <c r="D822" s="10">
        <v>45629</v>
      </c>
      <c r="E822" s="4" t="inlineStr">
        <is>
          <t xml:space="preserve">445660</t>
        </is>
      </c>
      <c r="F822" s="0" t="inlineStr">
        <is>
          <t xml:space="preserve">TVA deductible sur ABS</t>
        </is>
      </c>
      <c r="G822" s="0" t="inlineStr">
        <is>
          <t xml:space="preserve">F002-2024122</t>
        </is>
      </c>
      <c r="H822" s="0" t="inlineStr">
        <is>
          <t xml:space="preserve">Facture Quincaillerie Pro Est F002-2024122</t>
        </is>
      </c>
      <c r="I822" s="8">
        <v>7553.77</v>
      </c>
      <c r="J822" s="8">
        <v>0</v>
      </c>
      <c r="K822" s="0"/>
      <c r="L822" s="0"/>
      <c r="M822" s="8">
        <f>I822-J822</f>
      </c>
      <c r="N822" s="0" t="inlineStr">
        <is>
          <t xml:space="preserve">2024-12</t>
        </is>
      </c>
      <c r="O822" s="0">
        <f>INDEX(Journaux!$E$5:$E$18,MATCH("2024|"&amp;A822,Journaux!$A$5:$A$18,0))</f>
      </c>
      <c r="P822" s="0">
        <f>INDEX(Comptes!$H$5:$H$42,MATCH(E822,Comptes!$A$5:$A$42,0))</f>
      </c>
      <c r="Q822" s="0" t="inlineStr">
        <is>
          <t xml:space="preserve">4</t>
        </is>
      </c>
    </row>
    <row r="823">
      <c r="A823" s="4" t="inlineStr">
        <is>
          <t xml:space="preserve">AC</t>
        </is>
      </c>
      <c r="B823" s="0" t="inlineStr">
        <is>
          <t xml:space="preserve">Journal des achats</t>
        </is>
      </c>
      <c r="C823" s="0" t="inlineStr">
        <is>
          <t xml:space="preserve">AC00068</t>
        </is>
      </c>
      <c r="D823" s="10">
        <v>45629</v>
      </c>
      <c r="E823" s="4" t="inlineStr">
        <is>
          <t xml:space="preserve">401000</t>
        </is>
      </c>
      <c r="F823" s="0" t="inlineStr">
        <is>
          <t xml:space="preserve">Fournisseurs</t>
        </is>
      </c>
      <c r="G823" s="0" t="inlineStr">
        <is>
          <t xml:space="preserve">F002-2024122</t>
        </is>
      </c>
      <c r="H823" s="0" t="inlineStr">
        <is>
          <t xml:space="preserve">Facture Quincaillerie Pro Est F002-2024122</t>
        </is>
      </c>
      <c r="I823" s="8">
        <v>0</v>
      </c>
      <c r="J823" s="8">
        <v>45322.61</v>
      </c>
      <c r="K823" s="0"/>
      <c r="L823" s="0" t="inlineStr">
        <is>
          <t xml:space="preserve">Quincaillerie Pro Est</t>
        </is>
      </c>
      <c r="M823" s="8">
        <f>I823-J823</f>
      </c>
      <c r="N823" s="0" t="inlineStr">
        <is>
          <t xml:space="preserve">2024-12</t>
        </is>
      </c>
      <c r="O823" s="0">
        <f>INDEX(Journaux!$E$5:$E$18,MATCH("2024|"&amp;A823,Journaux!$A$5:$A$18,0))</f>
      </c>
      <c r="P823" s="0">
        <f>INDEX(Comptes!$H$5:$H$42,MATCH(E823,Comptes!$A$5:$A$42,0))</f>
      </c>
      <c r="Q823" s="0" t="inlineStr">
        <is>
          <t xml:space="preserve">4</t>
        </is>
      </c>
      <c r="R823" s="7" t="inlineStr">
        <is>
          <t xml:space="preserve">401000|F002</t>
        </is>
      </c>
    </row>
    <row r="824">
      <c r="A824" s="4" t="inlineStr">
        <is>
          <t xml:space="preserve">BQ</t>
        </is>
      </c>
      <c r="B824" s="0" t="inlineStr">
        <is>
          <t xml:space="preserve">Banque Fictive</t>
        </is>
      </c>
      <c r="C824" s="0" t="inlineStr">
        <is>
          <t xml:space="preserve">BQ00112</t>
        </is>
      </c>
      <c r="D824" s="10">
        <v>45629</v>
      </c>
      <c r="E824" s="4" t="inlineStr">
        <is>
          <t xml:space="preserve">512000</t>
        </is>
      </c>
      <c r="F824" s="0" t="inlineStr">
        <is>
          <t xml:space="preserve">Banque Fictive</t>
        </is>
      </c>
      <c r="G824" s="0" t="inlineStr">
        <is>
          <t xml:space="preserve">ENC-FA2024-0047</t>
        </is>
      </c>
      <c r="H824" s="0" t="inlineStr">
        <is>
          <t xml:space="preserve">Reglement client Hotel Les Tilleuls FA2024-0047</t>
        </is>
      </c>
      <c r="I824" s="8">
        <v>36126.59</v>
      </c>
      <c r="J824" s="8">
        <v>0</v>
      </c>
      <c r="K824" s="0"/>
      <c r="L824" s="0"/>
      <c r="M824" s="8">
        <f>I824-J824</f>
      </c>
      <c r="N824" s="0" t="inlineStr">
        <is>
          <t xml:space="preserve">2024-12</t>
        </is>
      </c>
      <c r="O824" s="0">
        <f>INDEX(Journaux!$E$5:$E$18,MATCH("2024|"&amp;A824,Journaux!$A$5:$A$18,0))</f>
      </c>
      <c r="P824" s="0">
        <f>INDEX(Comptes!$H$5:$H$42,MATCH(E824,Comptes!$A$5:$A$42,0))</f>
      </c>
      <c r="Q824" s="0" t="inlineStr">
        <is>
          <t xml:space="preserve">5</t>
        </is>
      </c>
    </row>
    <row r="825">
      <c r="A825" s="4" t="inlineStr">
        <is>
          <t xml:space="preserve">BQ</t>
        </is>
      </c>
      <c r="B825" s="0" t="inlineStr">
        <is>
          <t xml:space="preserve">Banque Fictive</t>
        </is>
      </c>
      <c r="C825" s="0" t="inlineStr">
        <is>
          <t xml:space="preserve">BQ00112</t>
        </is>
      </c>
      <c r="D825" s="10">
        <v>45629</v>
      </c>
      <c r="E825" s="4" t="inlineStr">
        <is>
          <t xml:space="preserve">411000</t>
        </is>
      </c>
      <c r="F825" s="0" t="inlineStr">
        <is>
          <t xml:space="preserve">Clients</t>
        </is>
      </c>
      <c r="G825" s="0" t="inlineStr">
        <is>
          <t xml:space="preserve">ENC-FA2024-0047</t>
        </is>
      </c>
      <c r="H825" s="0" t="inlineStr">
        <is>
          <t xml:space="preserve">Reglement client Hotel Les Tilleuls FA2024-0047</t>
        </is>
      </c>
      <c r="I825" s="8">
        <v>0</v>
      </c>
      <c r="J825" s="8">
        <v>36126.59</v>
      </c>
      <c r="K825" s="0" t="inlineStr">
        <is>
          <t xml:space="preserve">AAZ</t>
        </is>
      </c>
      <c r="L825" s="0" t="inlineStr">
        <is>
          <t xml:space="preserve">Hotel Les Tilleuls</t>
        </is>
      </c>
      <c r="M825" s="8">
        <f>I825-J825</f>
      </c>
      <c r="N825" s="0" t="inlineStr">
        <is>
          <t xml:space="preserve">2024-12</t>
        </is>
      </c>
      <c r="O825" s="0">
        <f>INDEX(Journaux!$E$5:$E$18,MATCH("2024|"&amp;A825,Journaux!$A$5:$A$18,0))</f>
      </c>
      <c r="P825" s="0">
        <f>INDEX(Comptes!$H$5:$H$42,MATCH(E825,Comptes!$A$5:$A$42,0))</f>
      </c>
      <c r="Q825" s="0" t="inlineStr">
        <is>
          <t xml:space="preserve">4</t>
        </is>
      </c>
      <c r="R825" s="7" t="inlineStr">
        <is>
          <t xml:space="preserve">411000|C001</t>
        </is>
      </c>
    </row>
    <row r="826">
      <c r="A826" s="4" t="inlineStr">
        <is>
          <t xml:space="preserve">AC</t>
        </is>
      </c>
      <c r="B826" s="0" t="inlineStr">
        <is>
          <t xml:space="preserve">Journal des achats</t>
        </is>
      </c>
      <c r="C826" s="0" t="inlineStr">
        <is>
          <t xml:space="preserve">AC00069</t>
        </is>
      </c>
      <c r="D826" s="10">
        <v>45631</v>
      </c>
      <c r="E826" s="4" t="inlineStr">
        <is>
          <t xml:space="preserve">613200</t>
        </is>
      </c>
      <c r="F826" s="0" t="inlineStr">
        <is>
          <t xml:space="preserve">Locations immobilieres</t>
        </is>
      </c>
      <c r="G826" s="0" t="inlineStr">
        <is>
          <t xml:space="preserve">F004-202412</t>
        </is>
      </c>
      <c r="H826" s="0" t="inlineStr">
        <is>
          <t xml:space="preserve">Facture SCI Les Halles 2024-12</t>
        </is>
      </c>
      <c r="I826" s="8">
        <v>8500</v>
      </c>
      <c r="J826" s="8">
        <v>0</v>
      </c>
      <c r="K826" s="0"/>
      <c r="L826" s="0"/>
      <c r="M826" s="8">
        <f>I826-J826</f>
      </c>
      <c r="N826" s="0" t="inlineStr">
        <is>
          <t xml:space="preserve">2024-12</t>
        </is>
      </c>
      <c r="O826" s="0">
        <f>INDEX(Journaux!$E$5:$E$18,MATCH("2024|"&amp;A826,Journaux!$A$5:$A$18,0))</f>
      </c>
      <c r="P826" s="0">
        <f>INDEX(Comptes!$H$5:$H$42,MATCH(E826,Comptes!$A$5:$A$42,0))</f>
      </c>
      <c r="Q826" s="0" t="inlineStr">
        <is>
          <t xml:space="preserve">6</t>
        </is>
      </c>
    </row>
    <row r="827">
      <c r="A827" s="4" t="inlineStr">
        <is>
          <t xml:space="preserve">AC</t>
        </is>
      </c>
      <c r="B827" s="0" t="inlineStr">
        <is>
          <t xml:space="preserve">Journal des achats</t>
        </is>
      </c>
      <c r="C827" s="0" t="inlineStr">
        <is>
          <t xml:space="preserve">AC00069</t>
        </is>
      </c>
      <c r="D827" s="10">
        <v>45631</v>
      </c>
      <c r="E827" s="4" t="inlineStr">
        <is>
          <t xml:space="preserve">445660</t>
        </is>
      </c>
      <c r="F827" s="0" t="inlineStr">
        <is>
          <t xml:space="preserve">TVA deductible sur ABS</t>
        </is>
      </c>
      <c r="G827" s="0" t="inlineStr">
        <is>
          <t xml:space="preserve">F004-202412</t>
        </is>
      </c>
      <c r="H827" s="0" t="inlineStr">
        <is>
          <t xml:space="preserve">Facture SCI Les Halles 2024-12</t>
        </is>
      </c>
      <c r="I827" s="8">
        <v>1700</v>
      </c>
      <c r="J827" s="8">
        <v>0</v>
      </c>
      <c r="K827" s="0"/>
      <c r="L827" s="0"/>
      <c r="M827" s="8">
        <f>I827-J827</f>
      </c>
      <c r="N827" s="0" t="inlineStr">
        <is>
          <t xml:space="preserve">2024-12</t>
        </is>
      </c>
      <c r="O827" s="0">
        <f>INDEX(Journaux!$E$5:$E$18,MATCH("2024|"&amp;A827,Journaux!$A$5:$A$18,0))</f>
      </c>
      <c r="P827" s="0">
        <f>INDEX(Comptes!$H$5:$H$42,MATCH(E827,Comptes!$A$5:$A$42,0))</f>
      </c>
      <c r="Q827" s="0" t="inlineStr">
        <is>
          <t xml:space="preserve">4</t>
        </is>
      </c>
    </row>
    <row r="828">
      <c r="A828" s="4" t="inlineStr">
        <is>
          <t xml:space="preserve">AC</t>
        </is>
      </c>
      <c r="B828" s="0" t="inlineStr">
        <is>
          <t xml:space="preserve">Journal des achats</t>
        </is>
      </c>
      <c r="C828" s="0" t="inlineStr">
        <is>
          <t xml:space="preserve">AC00069</t>
        </is>
      </c>
      <c r="D828" s="10">
        <v>45631</v>
      </c>
      <c r="E828" s="4" t="inlineStr">
        <is>
          <t xml:space="preserve">401000</t>
        </is>
      </c>
      <c r="F828" s="0" t="inlineStr">
        <is>
          <t xml:space="preserve">Fournisseurs</t>
        </is>
      </c>
      <c r="G828" s="0" t="inlineStr">
        <is>
          <t xml:space="preserve">F004-202412</t>
        </is>
      </c>
      <c r="H828" s="0" t="inlineStr">
        <is>
          <t xml:space="preserve">Facture SCI Les Halles 2024-12</t>
        </is>
      </c>
      <c r="I828" s="8">
        <v>0</v>
      </c>
      <c r="J828" s="8">
        <v>10200</v>
      </c>
      <c r="K828" s="0"/>
      <c r="L828" s="0" t="inlineStr">
        <is>
          <t xml:space="preserve">SCI Les Halles</t>
        </is>
      </c>
      <c r="M828" s="8">
        <f>I828-J828</f>
      </c>
      <c r="N828" s="0" t="inlineStr">
        <is>
          <t xml:space="preserve">2024-12</t>
        </is>
      </c>
      <c r="O828" s="0">
        <f>INDEX(Journaux!$E$5:$E$18,MATCH("2024|"&amp;A828,Journaux!$A$5:$A$18,0))</f>
      </c>
      <c r="P828" s="0">
        <f>INDEX(Comptes!$H$5:$H$42,MATCH(E828,Comptes!$A$5:$A$42,0))</f>
      </c>
      <c r="Q828" s="0" t="inlineStr">
        <is>
          <t xml:space="preserve">4</t>
        </is>
      </c>
      <c r="R828" s="7" t="inlineStr">
        <is>
          <t xml:space="preserve">401000|F004</t>
        </is>
      </c>
    </row>
    <row r="829">
      <c r="A829" s="4" t="inlineStr">
        <is>
          <t xml:space="preserve">AC</t>
        </is>
      </c>
      <c r="B829" s="0" t="inlineStr">
        <is>
          <t xml:space="preserve">Journal des achats</t>
        </is>
      </c>
      <c r="C829" s="0" t="inlineStr">
        <is>
          <t xml:space="preserve">AC00070</t>
        </is>
      </c>
      <c r="D829" s="10">
        <v>45631</v>
      </c>
      <c r="E829" s="4" t="inlineStr">
        <is>
          <t xml:space="preserve">606100</t>
        </is>
      </c>
      <c r="F829" s="0" t="inlineStr">
        <is>
          <t xml:space="preserve">Fournitures non stockables energie</t>
        </is>
      </c>
      <c r="G829" s="0" t="inlineStr">
        <is>
          <t xml:space="preserve">F005-202412</t>
        </is>
      </c>
      <c r="H829" s="0" t="inlineStr">
        <is>
          <t xml:space="preserve">Facture Energie Plus 2024-12</t>
        </is>
      </c>
      <c r="I829" s="8">
        <v>2874.05</v>
      </c>
      <c r="J829" s="8">
        <v>0</v>
      </c>
      <c r="K829" s="0"/>
      <c r="L829" s="0"/>
      <c r="M829" s="8">
        <f>I829-J829</f>
      </c>
      <c r="N829" s="0" t="inlineStr">
        <is>
          <t xml:space="preserve">2024-12</t>
        </is>
      </c>
      <c r="O829" s="0">
        <f>INDEX(Journaux!$E$5:$E$18,MATCH("2024|"&amp;A829,Journaux!$A$5:$A$18,0))</f>
      </c>
      <c r="P829" s="0">
        <f>INDEX(Comptes!$H$5:$H$42,MATCH(E829,Comptes!$A$5:$A$42,0))</f>
      </c>
      <c r="Q829" s="0" t="inlineStr">
        <is>
          <t xml:space="preserve">6</t>
        </is>
      </c>
    </row>
    <row r="830">
      <c r="A830" s="4" t="inlineStr">
        <is>
          <t xml:space="preserve">AC</t>
        </is>
      </c>
      <c r="B830" s="0" t="inlineStr">
        <is>
          <t xml:space="preserve">Journal des achats</t>
        </is>
      </c>
      <c r="C830" s="0" t="inlineStr">
        <is>
          <t xml:space="preserve">AC00070</t>
        </is>
      </c>
      <c r="D830" s="10">
        <v>45631</v>
      </c>
      <c r="E830" s="4" t="inlineStr">
        <is>
          <t xml:space="preserve">445660</t>
        </is>
      </c>
      <c r="F830" s="0" t="inlineStr">
        <is>
          <t xml:space="preserve">TVA deductible sur ABS</t>
        </is>
      </c>
      <c r="G830" s="0" t="inlineStr">
        <is>
          <t xml:space="preserve">F005-202412</t>
        </is>
      </c>
      <c r="H830" s="0" t="inlineStr">
        <is>
          <t xml:space="preserve">Facture Energie Plus 2024-12</t>
        </is>
      </c>
      <c r="I830" s="8">
        <v>574.81</v>
      </c>
      <c r="J830" s="8">
        <v>0</v>
      </c>
      <c r="K830" s="0"/>
      <c r="L830" s="0"/>
      <c r="M830" s="8">
        <f>I830-J830</f>
      </c>
      <c r="N830" s="0" t="inlineStr">
        <is>
          <t xml:space="preserve">2024-12</t>
        </is>
      </c>
      <c r="O830" s="0">
        <f>INDEX(Journaux!$E$5:$E$18,MATCH("2024|"&amp;A830,Journaux!$A$5:$A$18,0))</f>
      </c>
      <c r="P830" s="0">
        <f>INDEX(Comptes!$H$5:$H$42,MATCH(E830,Comptes!$A$5:$A$42,0))</f>
      </c>
      <c r="Q830" s="0" t="inlineStr">
        <is>
          <t xml:space="preserve">4</t>
        </is>
      </c>
    </row>
    <row r="831">
      <c r="A831" s="4" t="inlineStr">
        <is>
          <t xml:space="preserve">AC</t>
        </is>
      </c>
      <c r="B831" s="0" t="inlineStr">
        <is>
          <t xml:space="preserve">Journal des achats</t>
        </is>
      </c>
      <c r="C831" s="0" t="inlineStr">
        <is>
          <t xml:space="preserve">AC00070</t>
        </is>
      </c>
      <c r="D831" s="10">
        <v>45631</v>
      </c>
      <c r="E831" s="4" t="inlineStr">
        <is>
          <t xml:space="preserve">401000</t>
        </is>
      </c>
      <c r="F831" s="0" t="inlineStr">
        <is>
          <t xml:space="preserve">Fournisseurs</t>
        </is>
      </c>
      <c r="G831" s="0" t="inlineStr">
        <is>
          <t xml:space="preserve">F005-202412</t>
        </is>
      </c>
      <c r="H831" s="0" t="inlineStr">
        <is>
          <t xml:space="preserve">Facture Energie Plus 2024-12</t>
        </is>
      </c>
      <c r="I831" s="8">
        <v>0</v>
      </c>
      <c r="J831" s="8">
        <v>3448.86</v>
      </c>
      <c r="K831" s="0"/>
      <c r="L831" s="0" t="inlineStr">
        <is>
          <t xml:space="preserve">Energie Plus</t>
        </is>
      </c>
      <c r="M831" s="8">
        <f>I831-J831</f>
      </c>
      <c r="N831" s="0" t="inlineStr">
        <is>
          <t xml:space="preserve">2024-12</t>
        </is>
      </c>
      <c r="O831" s="0">
        <f>INDEX(Journaux!$E$5:$E$18,MATCH("2024|"&amp;A831,Journaux!$A$5:$A$18,0))</f>
      </c>
      <c r="P831" s="0">
        <f>INDEX(Comptes!$H$5:$H$42,MATCH(E831,Comptes!$A$5:$A$42,0))</f>
      </c>
      <c r="Q831" s="0" t="inlineStr">
        <is>
          <t xml:space="preserve">4</t>
        </is>
      </c>
      <c r="R831" s="7" t="inlineStr">
        <is>
          <t xml:space="preserve">401000|F005</t>
        </is>
      </c>
    </row>
    <row r="832">
      <c r="A832" s="4" t="inlineStr">
        <is>
          <t xml:space="preserve">AC</t>
        </is>
      </c>
      <c r="B832" s="0" t="inlineStr">
        <is>
          <t xml:space="preserve">Journal des achats</t>
        </is>
      </c>
      <c r="C832" s="0" t="inlineStr">
        <is>
          <t xml:space="preserve">AC00071</t>
        </is>
      </c>
      <c r="D832" s="10">
        <v>45631</v>
      </c>
      <c r="E832" s="4" t="inlineStr">
        <is>
          <t xml:space="preserve">626000</t>
        </is>
      </c>
      <c r="F832" s="0" t="inlineStr">
        <is>
          <t xml:space="preserve">Frais postaux et telecommunications</t>
        </is>
      </c>
      <c r="G832" s="0" t="inlineStr">
        <is>
          <t xml:space="preserve">F008-202412</t>
        </is>
      </c>
      <c r="H832" s="0" t="inlineStr">
        <is>
          <t xml:space="preserve">Facture Telecom Pro 2024-12</t>
        </is>
      </c>
      <c r="I832" s="8">
        <v>480</v>
      </c>
      <c r="J832" s="8">
        <v>0</v>
      </c>
      <c r="K832" s="0"/>
      <c r="L832" s="0"/>
      <c r="M832" s="8">
        <f>I832-J832</f>
      </c>
      <c r="N832" s="0" t="inlineStr">
        <is>
          <t xml:space="preserve">2024-12</t>
        </is>
      </c>
      <c r="O832" s="0">
        <f>INDEX(Journaux!$E$5:$E$18,MATCH("2024|"&amp;A832,Journaux!$A$5:$A$18,0))</f>
      </c>
      <c r="P832" s="0">
        <f>INDEX(Comptes!$H$5:$H$42,MATCH(E832,Comptes!$A$5:$A$42,0))</f>
      </c>
      <c r="Q832" s="0" t="inlineStr">
        <is>
          <t xml:space="preserve">6</t>
        </is>
      </c>
    </row>
    <row r="833">
      <c r="A833" s="4" t="inlineStr">
        <is>
          <t xml:space="preserve">AC</t>
        </is>
      </c>
      <c r="B833" s="0" t="inlineStr">
        <is>
          <t xml:space="preserve">Journal des achats</t>
        </is>
      </c>
      <c r="C833" s="0" t="inlineStr">
        <is>
          <t xml:space="preserve">AC00071</t>
        </is>
      </c>
      <c r="D833" s="10">
        <v>45631</v>
      </c>
      <c r="E833" s="4" t="inlineStr">
        <is>
          <t xml:space="preserve">445660</t>
        </is>
      </c>
      <c r="F833" s="0" t="inlineStr">
        <is>
          <t xml:space="preserve">TVA deductible sur ABS</t>
        </is>
      </c>
      <c r="G833" s="0" t="inlineStr">
        <is>
          <t xml:space="preserve">F008-202412</t>
        </is>
      </c>
      <c r="H833" s="0" t="inlineStr">
        <is>
          <t xml:space="preserve">Facture Telecom Pro 2024-12</t>
        </is>
      </c>
      <c r="I833" s="8">
        <v>96</v>
      </c>
      <c r="J833" s="8">
        <v>0</v>
      </c>
      <c r="K833" s="0"/>
      <c r="L833" s="0"/>
      <c r="M833" s="8">
        <f>I833-J833</f>
      </c>
      <c r="N833" s="0" t="inlineStr">
        <is>
          <t xml:space="preserve">2024-12</t>
        </is>
      </c>
      <c r="O833" s="0">
        <f>INDEX(Journaux!$E$5:$E$18,MATCH("2024|"&amp;A833,Journaux!$A$5:$A$18,0))</f>
      </c>
      <c r="P833" s="0">
        <f>INDEX(Comptes!$H$5:$H$42,MATCH(E833,Comptes!$A$5:$A$42,0))</f>
      </c>
      <c r="Q833" s="0" t="inlineStr">
        <is>
          <t xml:space="preserve">4</t>
        </is>
      </c>
    </row>
    <row r="834">
      <c r="A834" s="4" t="inlineStr">
        <is>
          <t xml:space="preserve">AC</t>
        </is>
      </c>
      <c r="B834" s="0" t="inlineStr">
        <is>
          <t xml:space="preserve">Journal des achats</t>
        </is>
      </c>
      <c r="C834" s="0" t="inlineStr">
        <is>
          <t xml:space="preserve">AC00071</t>
        </is>
      </c>
      <c r="D834" s="10">
        <v>45631</v>
      </c>
      <c r="E834" s="4" t="inlineStr">
        <is>
          <t xml:space="preserve">401000</t>
        </is>
      </c>
      <c r="F834" s="0" t="inlineStr">
        <is>
          <t xml:space="preserve">Fournisseurs</t>
        </is>
      </c>
      <c r="G834" s="0" t="inlineStr">
        <is>
          <t xml:space="preserve">F008-202412</t>
        </is>
      </c>
      <c r="H834" s="0" t="inlineStr">
        <is>
          <t xml:space="preserve">Facture Telecom Pro 2024-12</t>
        </is>
      </c>
      <c r="I834" s="8">
        <v>0</v>
      </c>
      <c r="J834" s="8">
        <v>576</v>
      </c>
      <c r="K834" s="0"/>
      <c r="L834" s="0" t="inlineStr">
        <is>
          <t xml:space="preserve">Telecom Pro</t>
        </is>
      </c>
      <c r="M834" s="8">
        <f>I834-J834</f>
      </c>
      <c r="N834" s="0" t="inlineStr">
        <is>
          <t xml:space="preserve">2024-12</t>
        </is>
      </c>
      <c r="O834" s="0">
        <f>INDEX(Journaux!$E$5:$E$18,MATCH("2024|"&amp;A834,Journaux!$A$5:$A$18,0))</f>
      </c>
      <c r="P834" s="0">
        <f>INDEX(Comptes!$H$5:$H$42,MATCH(E834,Comptes!$A$5:$A$42,0))</f>
      </c>
      <c r="Q834" s="0" t="inlineStr">
        <is>
          <t xml:space="preserve">4</t>
        </is>
      </c>
      <c r="R834" s="7" t="inlineStr">
        <is>
          <t xml:space="preserve">401000|F008</t>
        </is>
      </c>
    </row>
    <row r="835">
      <c r="A835" s="4" t="inlineStr">
        <is>
          <t xml:space="preserve">AC</t>
        </is>
      </c>
      <c r="B835" s="0" t="inlineStr">
        <is>
          <t xml:space="preserve">Journal des achats</t>
        </is>
      </c>
      <c r="C835" s="0" t="inlineStr">
        <is>
          <t xml:space="preserve">AC00072</t>
        </is>
      </c>
      <c r="D835" s="10">
        <v>45631</v>
      </c>
      <c r="E835" s="4" t="inlineStr">
        <is>
          <t xml:space="preserve">622600</t>
        </is>
      </c>
      <c r="F835" s="0" t="inlineStr">
        <is>
          <t xml:space="preserve">Honoraires</t>
        </is>
      </c>
      <c r="G835" s="0" t="inlineStr">
        <is>
          <t xml:space="preserve">F007-202412</t>
        </is>
      </c>
      <c r="H835" s="0" t="inlineStr">
        <is>
          <t xml:space="preserve">Facture Cabinet Comptable Exemple 2024-12</t>
        </is>
      </c>
      <c r="I835" s="8">
        <v>6000</v>
      </c>
      <c r="J835" s="8">
        <v>0</v>
      </c>
      <c r="K835" s="0"/>
      <c r="L835" s="0"/>
      <c r="M835" s="8">
        <f>I835-J835</f>
      </c>
      <c r="N835" s="0" t="inlineStr">
        <is>
          <t xml:space="preserve">2024-12</t>
        </is>
      </c>
      <c r="O835" s="0">
        <f>INDEX(Journaux!$E$5:$E$18,MATCH("2024|"&amp;A835,Journaux!$A$5:$A$18,0))</f>
      </c>
      <c r="P835" s="0">
        <f>INDEX(Comptes!$H$5:$H$42,MATCH(E835,Comptes!$A$5:$A$42,0))</f>
      </c>
      <c r="Q835" s="0" t="inlineStr">
        <is>
          <t xml:space="preserve">6</t>
        </is>
      </c>
    </row>
    <row r="836">
      <c r="A836" s="4" t="inlineStr">
        <is>
          <t xml:space="preserve">AC</t>
        </is>
      </c>
      <c r="B836" s="0" t="inlineStr">
        <is>
          <t xml:space="preserve">Journal des achats</t>
        </is>
      </c>
      <c r="C836" s="0" t="inlineStr">
        <is>
          <t xml:space="preserve">AC00072</t>
        </is>
      </c>
      <c r="D836" s="10">
        <v>45631</v>
      </c>
      <c r="E836" s="4" t="inlineStr">
        <is>
          <t xml:space="preserve">445660</t>
        </is>
      </c>
      <c r="F836" s="0" t="inlineStr">
        <is>
          <t xml:space="preserve">TVA deductible sur ABS</t>
        </is>
      </c>
      <c r="G836" s="0" t="inlineStr">
        <is>
          <t xml:space="preserve">F007-202412</t>
        </is>
      </c>
      <c r="H836" s="0" t="inlineStr">
        <is>
          <t xml:space="preserve">Facture Cabinet Comptable Exemple 2024-12</t>
        </is>
      </c>
      <c r="I836" s="8">
        <v>1200</v>
      </c>
      <c r="J836" s="8">
        <v>0</v>
      </c>
      <c r="K836" s="0"/>
      <c r="L836" s="0"/>
      <c r="M836" s="8">
        <f>I836-J836</f>
      </c>
      <c r="N836" s="0" t="inlineStr">
        <is>
          <t xml:space="preserve">2024-12</t>
        </is>
      </c>
      <c r="O836" s="0">
        <f>INDEX(Journaux!$E$5:$E$18,MATCH("2024|"&amp;A836,Journaux!$A$5:$A$18,0))</f>
      </c>
      <c r="P836" s="0">
        <f>INDEX(Comptes!$H$5:$H$42,MATCH(E836,Comptes!$A$5:$A$42,0))</f>
      </c>
      <c r="Q836" s="0" t="inlineStr">
        <is>
          <t xml:space="preserve">4</t>
        </is>
      </c>
    </row>
    <row r="837">
      <c r="A837" s="4" t="inlineStr">
        <is>
          <t xml:space="preserve">AC</t>
        </is>
      </c>
      <c r="B837" s="0" t="inlineStr">
        <is>
          <t xml:space="preserve">Journal des achats</t>
        </is>
      </c>
      <c r="C837" s="0" t="inlineStr">
        <is>
          <t xml:space="preserve">AC00072</t>
        </is>
      </c>
      <c r="D837" s="10">
        <v>45631</v>
      </c>
      <c r="E837" s="4" t="inlineStr">
        <is>
          <t xml:space="preserve">401000</t>
        </is>
      </c>
      <c r="F837" s="0" t="inlineStr">
        <is>
          <t xml:space="preserve">Fournisseurs</t>
        </is>
      </c>
      <c r="G837" s="0" t="inlineStr">
        <is>
          <t xml:space="preserve">F007-202412</t>
        </is>
      </c>
      <c r="H837" s="0" t="inlineStr">
        <is>
          <t xml:space="preserve">Facture Cabinet Comptable Exemple 2024-12</t>
        </is>
      </c>
      <c r="I837" s="8">
        <v>0</v>
      </c>
      <c r="J837" s="8">
        <v>7200</v>
      </c>
      <c r="K837" s="0"/>
      <c r="L837" s="0" t="inlineStr">
        <is>
          <t xml:space="preserve">Cabinet Comptable Exemple</t>
        </is>
      </c>
      <c r="M837" s="8">
        <f>I837-J837</f>
      </c>
      <c r="N837" s="0" t="inlineStr">
        <is>
          <t xml:space="preserve">2024-12</t>
        </is>
      </c>
      <c r="O837" s="0">
        <f>INDEX(Journaux!$E$5:$E$18,MATCH("2024|"&amp;A837,Journaux!$A$5:$A$18,0))</f>
      </c>
      <c r="P837" s="0">
        <f>INDEX(Comptes!$H$5:$H$42,MATCH(E837,Comptes!$A$5:$A$42,0))</f>
      </c>
      <c r="Q837" s="0" t="inlineStr">
        <is>
          <t xml:space="preserve">4</t>
        </is>
      </c>
      <c r="R837" s="7" t="inlineStr">
        <is>
          <t xml:space="preserve">401000|F007</t>
        </is>
      </c>
    </row>
    <row r="838">
      <c r="A838" s="4" t="inlineStr">
        <is>
          <t xml:space="preserve">BQ</t>
        </is>
      </c>
      <c r="B838" s="0" t="inlineStr">
        <is>
          <t xml:space="preserve">Banque Fictive</t>
        </is>
      </c>
      <c r="C838" s="0" t="inlineStr">
        <is>
          <t xml:space="preserve">BQ00187</t>
        </is>
      </c>
      <c r="D838" s="10">
        <v>45631</v>
      </c>
      <c r="E838" s="4" t="inlineStr">
        <is>
          <t xml:space="preserve">401000</t>
        </is>
      </c>
      <c r="F838" s="0" t="inlineStr">
        <is>
          <t xml:space="preserve">Fournisseurs</t>
        </is>
      </c>
      <c r="G838" s="0" t="inlineStr">
        <is>
          <t xml:space="preserve">DEC-F004-202411</t>
        </is>
      </c>
      <c r="H838" s="0" t="inlineStr">
        <is>
          <t xml:space="preserve">Reglement fournisseur SCI Les Halles F004-202411</t>
        </is>
      </c>
      <c r="I838" s="8">
        <v>10200</v>
      </c>
      <c r="J838" s="8">
        <v>0</v>
      </c>
      <c r="K838" s="0" t="inlineStr">
        <is>
          <t xml:space="preserve">ADW</t>
        </is>
      </c>
      <c r="L838" s="0" t="inlineStr">
        <is>
          <t xml:space="preserve">SCI Les Halles</t>
        </is>
      </c>
      <c r="M838" s="8">
        <f>I838-J838</f>
      </c>
      <c r="N838" s="0" t="inlineStr">
        <is>
          <t xml:space="preserve">2024-12</t>
        </is>
      </c>
      <c r="O838" s="0">
        <f>INDEX(Journaux!$E$5:$E$18,MATCH("2024|"&amp;A838,Journaux!$A$5:$A$18,0))</f>
      </c>
      <c r="P838" s="0">
        <f>INDEX(Comptes!$H$5:$H$42,MATCH(E838,Comptes!$A$5:$A$42,0))</f>
      </c>
      <c r="Q838" s="0" t="inlineStr">
        <is>
          <t xml:space="preserve">4</t>
        </is>
      </c>
      <c r="R838" s="7" t="inlineStr">
        <is>
          <t xml:space="preserve">401000|F004</t>
        </is>
      </c>
    </row>
    <row r="839">
      <c r="A839" s="4" t="inlineStr">
        <is>
          <t xml:space="preserve">BQ</t>
        </is>
      </c>
      <c r="B839" s="0" t="inlineStr">
        <is>
          <t xml:space="preserve">Banque Fictive</t>
        </is>
      </c>
      <c r="C839" s="0" t="inlineStr">
        <is>
          <t xml:space="preserve">BQ00187</t>
        </is>
      </c>
      <c r="D839" s="10">
        <v>45631</v>
      </c>
      <c r="E839" s="4" t="inlineStr">
        <is>
          <t xml:space="preserve">512000</t>
        </is>
      </c>
      <c r="F839" s="0" t="inlineStr">
        <is>
          <t xml:space="preserve">Banque Fictive</t>
        </is>
      </c>
      <c r="G839" s="0" t="inlineStr">
        <is>
          <t xml:space="preserve">DEC-F004-202411</t>
        </is>
      </c>
      <c r="H839" s="0" t="inlineStr">
        <is>
          <t xml:space="preserve">Reglement fournisseur SCI Les Halles F004-202411</t>
        </is>
      </c>
      <c r="I839" s="8">
        <v>0</v>
      </c>
      <c r="J839" s="8">
        <v>10200</v>
      </c>
      <c r="K839" s="0"/>
      <c r="L839" s="0"/>
      <c r="M839" s="8">
        <f>I839-J839</f>
      </c>
      <c r="N839" s="0" t="inlineStr">
        <is>
          <t xml:space="preserve">2024-12</t>
        </is>
      </c>
      <c r="O839" s="0">
        <f>INDEX(Journaux!$E$5:$E$18,MATCH("2024|"&amp;A839,Journaux!$A$5:$A$18,0))</f>
      </c>
      <c r="P839" s="0">
        <f>INDEX(Comptes!$H$5:$H$42,MATCH(E839,Comptes!$A$5:$A$42,0))</f>
      </c>
      <c r="Q839" s="0" t="inlineStr">
        <is>
          <t xml:space="preserve">5</t>
        </is>
      </c>
    </row>
    <row r="840">
      <c r="A840" s="4" t="inlineStr">
        <is>
          <t xml:space="preserve">BQ</t>
        </is>
      </c>
      <c r="B840" s="0" t="inlineStr">
        <is>
          <t xml:space="preserve">Banque Fictive</t>
        </is>
      </c>
      <c r="C840" s="0" t="inlineStr">
        <is>
          <t xml:space="preserve">BQ00188</t>
        </is>
      </c>
      <c r="D840" s="10">
        <v>45631</v>
      </c>
      <c r="E840" s="4" t="inlineStr">
        <is>
          <t xml:space="preserve">401000</t>
        </is>
      </c>
      <c r="F840" s="0" t="inlineStr">
        <is>
          <t xml:space="preserve">Fournisseurs</t>
        </is>
      </c>
      <c r="G840" s="0" t="inlineStr">
        <is>
          <t xml:space="preserve">DEC-F005-202411</t>
        </is>
      </c>
      <c r="H840" s="0" t="inlineStr">
        <is>
          <t xml:space="preserve">Reglement fournisseur Energie Plus F005-202411</t>
        </is>
      </c>
      <c r="I840" s="8">
        <v>3960.43</v>
      </c>
      <c r="J840" s="8">
        <v>0</v>
      </c>
      <c r="K840" s="0" t="inlineStr">
        <is>
          <t xml:space="preserve">ADX</t>
        </is>
      </c>
      <c r="L840" s="0" t="inlineStr">
        <is>
          <t xml:space="preserve">Energie Plus</t>
        </is>
      </c>
      <c r="M840" s="8">
        <f>I840-J840</f>
      </c>
      <c r="N840" s="0" t="inlineStr">
        <is>
          <t xml:space="preserve">2024-12</t>
        </is>
      </c>
      <c r="O840" s="0">
        <f>INDEX(Journaux!$E$5:$E$18,MATCH("2024|"&amp;A840,Journaux!$A$5:$A$18,0))</f>
      </c>
      <c r="P840" s="0">
        <f>INDEX(Comptes!$H$5:$H$42,MATCH(E840,Comptes!$A$5:$A$42,0))</f>
      </c>
      <c r="Q840" s="0" t="inlineStr">
        <is>
          <t xml:space="preserve">4</t>
        </is>
      </c>
      <c r="R840" s="7" t="inlineStr">
        <is>
          <t xml:space="preserve">401000|F005</t>
        </is>
      </c>
    </row>
    <row r="841">
      <c r="A841" s="4" t="inlineStr">
        <is>
          <t xml:space="preserve">BQ</t>
        </is>
      </c>
      <c r="B841" s="0" t="inlineStr">
        <is>
          <t xml:space="preserve">Banque Fictive</t>
        </is>
      </c>
      <c r="C841" s="0" t="inlineStr">
        <is>
          <t xml:space="preserve">BQ00188</t>
        </is>
      </c>
      <c r="D841" s="10">
        <v>45631</v>
      </c>
      <c r="E841" s="4" t="inlineStr">
        <is>
          <t xml:space="preserve">512000</t>
        </is>
      </c>
      <c r="F841" s="0" t="inlineStr">
        <is>
          <t xml:space="preserve">Banque Fictive</t>
        </is>
      </c>
      <c r="G841" s="0" t="inlineStr">
        <is>
          <t xml:space="preserve">DEC-F005-202411</t>
        </is>
      </c>
      <c r="H841" s="0" t="inlineStr">
        <is>
          <t xml:space="preserve">Reglement fournisseur Energie Plus F005-202411</t>
        </is>
      </c>
      <c r="I841" s="8">
        <v>0</v>
      </c>
      <c r="J841" s="8">
        <v>3960.43</v>
      </c>
      <c r="K841" s="0"/>
      <c r="L841" s="0"/>
      <c r="M841" s="8">
        <f>I841-J841</f>
      </c>
      <c r="N841" s="0" t="inlineStr">
        <is>
          <t xml:space="preserve">2024-12</t>
        </is>
      </c>
      <c r="O841" s="0">
        <f>INDEX(Journaux!$E$5:$E$18,MATCH("2024|"&amp;A841,Journaux!$A$5:$A$18,0))</f>
      </c>
      <c r="P841" s="0">
        <f>INDEX(Comptes!$H$5:$H$42,MATCH(E841,Comptes!$A$5:$A$42,0))</f>
      </c>
      <c r="Q841" s="0" t="inlineStr">
        <is>
          <t xml:space="preserve">5</t>
        </is>
      </c>
    </row>
    <row r="842">
      <c r="A842" s="4" t="inlineStr">
        <is>
          <t xml:space="preserve">BQ</t>
        </is>
      </c>
      <c r="B842" s="0" t="inlineStr">
        <is>
          <t xml:space="preserve">Banque Fictive</t>
        </is>
      </c>
      <c r="C842" s="0" t="inlineStr">
        <is>
          <t xml:space="preserve">BQ00189</t>
        </is>
      </c>
      <c r="D842" s="10">
        <v>45631</v>
      </c>
      <c r="E842" s="4" t="inlineStr">
        <is>
          <t xml:space="preserve">401000</t>
        </is>
      </c>
      <c r="F842" s="0" t="inlineStr">
        <is>
          <t xml:space="preserve">Fournisseurs</t>
        </is>
      </c>
      <c r="G842" s="0" t="inlineStr">
        <is>
          <t xml:space="preserve">DEC-F008-202411</t>
        </is>
      </c>
      <c r="H842" s="0" t="inlineStr">
        <is>
          <t xml:space="preserve">Reglement fournisseur Telecom Pro F008-202411</t>
        </is>
      </c>
      <c r="I842" s="8">
        <v>576</v>
      </c>
      <c r="J842" s="8">
        <v>0</v>
      </c>
      <c r="K842" s="0" t="inlineStr">
        <is>
          <t xml:space="preserve">ADY</t>
        </is>
      </c>
      <c r="L842" s="0" t="inlineStr">
        <is>
          <t xml:space="preserve">Telecom Pro</t>
        </is>
      </c>
      <c r="M842" s="8">
        <f>I842-J842</f>
      </c>
      <c r="N842" s="0" t="inlineStr">
        <is>
          <t xml:space="preserve">2024-12</t>
        </is>
      </c>
      <c r="O842" s="0">
        <f>INDEX(Journaux!$E$5:$E$18,MATCH("2024|"&amp;A842,Journaux!$A$5:$A$18,0))</f>
      </c>
      <c r="P842" s="0">
        <f>INDEX(Comptes!$H$5:$H$42,MATCH(E842,Comptes!$A$5:$A$42,0))</f>
      </c>
      <c r="Q842" s="0" t="inlineStr">
        <is>
          <t xml:space="preserve">4</t>
        </is>
      </c>
      <c r="R842" s="7" t="inlineStr">
        <is>
          <t xml:space="preserve">401000|F008</t>
        </is>
      </c>
    </row>
    <row r="843">
      <c r="A843" s="4" t="inlineStr">
        <is>
          <t xml:space="preserve">BQ</t>
        </is>
      </c>
      <c r="B843" s="0" t="inlineStr">
        <is>
          <t xml:space="preserve">Banque Fictive</t>
        </is>
      </c>
      <c r="C843" s="0" t="inlineStr">
        <is>
          <t xml:space="preserve">BQ00189</t>
        </is>
      </c>
      <c r="D843" s="10">
        <v>45631</v>
      </c>
      <c r="E843" s="4" t="inlineStr">
        <is>
          <t xml:space="preserve">512000</t>
        </is>
      </c>
      <c r="F843" s="0" t="inlineStr">
        <is>
          <t xml:space="preserve">Banque Fictive</t>
        </is>
      </c>
      <c r="G843" s="0" t="inlineStr">
        <is>
          <t xml:space="preserve">DEC-F008-202411</t>
        </is>
      </c>
      <c r="H843" s="0" t="inlineStr">
        <is>
          <t xml:space="preserve">Reglement fournisseur Telecom Pro F008-202411</t>
        </is>
      </c>
      <c r="I843" s="8">
        <v>0</v>
      </c>
      <c r="J843" s="8">
        <v>576</v>
      </c>
      <c r="K843" s="0"/>
      <c r="L843" s="0"/>
      <c r="M843" s="8">
        <f>I843-J843</f>
      </c>
      <c r="N843" s="0" t="inlineStr">
        <is>
          <t xml:space="preserve">2024-12</t>
        </is>
      </c>
      <c r="O843" s="0">
        <f>INDEX(Journaux!$E$5:$E$18,MATCH("2024|"&amp;A843,Journaux!$A$5:$A$18,0))</f>
      </c>
      <c r="P843" s="0">
        <f>INDEX(Comptes!$H$5:$H$42,MATCH(E843,Comptes!$A$5:$A$42,0))</f>
      </c>
      <c r="Q843" s="0" t="inlineStr">
        <is>
          <t xml:space="preserve">5</t>
        </is>
      </c>
    </row>
    <row r="844">
      <c r="A844" s="4" t="inlineStr">
        <is>
          <t xml:space="preserve">VT</t>
        </is>
      </c>
      <c r="B844" s="0" t="inlineStr">
        <is>
          <t xml:space="preserve">Journal des ventes</t>
        </is>
      </c>
      <c r="C844" s="0" t="inlineStr">
        <is>
          <t xml:space="preserve">VT00057</t>
        </is>
      </c>
      <c r="D844" s="10">
        <v>45632</v>
      </c>
      <c r="E844" s="4" t="inlineStr">
        <is>
          <t xml:space="preserve">411000</t>
        </is>
      </c>
      <c r="F844" s="0" t="inlineStr">
        <is>
          <t xml:space="preserve">Clients</t>
        </is>
      </c>
      <c r="G844" s="0" t="inlineStr">
        <is>
          <t xml:space="preserve">FA2024-0057</t>
        </is>
      </c>
      <c r="H844" s="0" t="inlineStr">
        <is>
          <t xml:space="preserve">Facture FA2024-0057 Residence Bel Air</t>
        </is>
      </c>
      <c r="I844" s="8">
        <v>37138.48</v>
      </c>
      <c r="J844" s="8">
        <v>0</v>
      </c>
      <c r="K844" s="0"/>
      <c r="L844" s="0" t="inlineStr">
        <is>
          <t xml:space="preserve">Residence Bel Air</t>
        </is>
      </c>
      <c r="M844" s="8">
        <f>I844-J844</f>
      </c>
      <c r="N844" s="0" t="inlineStr">
        <is>
          <t xml:space="preserve">2024-12</t>
        </is>
      </c>
      <c r="O844" s="0">
        <f>INDEX(Journaux!$E$5:$E$18,MATCH("2024|"&amp;A844,Journaux!$A$5:$A$18,0))</f>
      </c>
      <c r="P844" s="0">
        <f>INDEX(Comptes!$H$5:$H$42,MATCH(E844,Comptes!$A$5:$A$42,0))</f>
      </c>
      <c r="Q844" s="0" t="inlineStr">
        <is>
          <t xml:space="preserve">4</t>
        </is>
      </c>
      <c r="R844" s="7" t="inlineStr">
        <is>
          <t xml:space="preserve">411000|C003</t>
        </is>
      </c>
    </row>
    <row r="845">
      <c r="A845" s="4" t="inlineStr">
        <is>
          <t xml:space="preserve">VT</t>
        </is>
      </c>
      <c r="B845" s="0" t="inlineStr">
        <is>
          <t xml:space="preserve">Journal des ventes</t>
        </is>
      </c>
      <c r="C845" s="0" t="inlineStr">
        <is>
          <t xml:space="preserve">VT00057</t>
        </is>
      </c>
      <c r="D845" s="10">
        <v>45632</v>
      </c>
      <c r="E845" s="4" t="inlineStr">
        <is>
          <t xml:space="preserve">701000</t>
        </is>
      </c>
      <c r="F845" s="0" t="inlineStr">
        <is>
          <t xml:space="preserve">Ventes de produits finis</t>
        </is>
      </c>
      <c r="G845" s="0" t="inlineStr">
        <is>
          <t xml:space="preserve">FA2024-0057</t>
        </is>
      </c>
      <c r="H845" s="0" t="inlineStr">
        <is>
          <t xml:space="preserve">Facture FA2024-0057 Residence Bel Air</t>
        </is>
      </c>
      <c r="I845" s="8">
        <v>0</v>
      </c>
      <c r="J845" s="8">
        <v>30948.73</v>
      </c>
      <c r="K845" s="0"/>
      <c r="L845" s="0"/>
      <c r="M845" s="8">
        <f>I845-J845</f>
      </c>
      <c r="N845" s="0" t="inlineStr">
        <is>
          <t xml:space="preserve">2024-12</t>
        </is>
      </c>
      <c r="O845" s="0">
        <f>INDEX(Journaux!$E$5:$E$18,MATCH("2024|"&amp;A845,Journaux!$A$5:$A$18,0))</f>
      </c>
      <c r="P845" s="0">
        <f>INDEX(Comptes!$H$5:$H$42,MATCH(E845,Comptes!$A$5:$A$42,0))</f>
      </c>
      <c r="Q845" s="0" t="inlineStr">
        <is>
          <t xml:space="preserve">7</t>
        </is>
      </c>
    </row>
    <row r="846">
      <c r="A846" s="4" t="inlineStr">
        <is>
          <t xml:space="preserve">VT</t>
        </is>
      </c>
      <c r="B846" s="0" t="inlineStr">
        <is>
          <t xml:space="preserve">Journal des ventes</t>
        </is>
      </c>
      <c r="C846" s="0" t="inlineStr">
        <is>
          <t xml:space="preserve">VT00057</t>
        </is>
      </c>
      <c r="D846" s="10">
        <v>45632</v>
      </c>
      <c r="E846" s="4" t="inlineStr">
        <is>
          <t xml:space="preserve">445710</t>
        </is>
      </c>
      <c r="F846" s="0" t="inlineStr">
        <is>
          <t xml:space="preserve">TVA collectee</t>
        </is>
      </c>
      <c r="G846" s="0" t="inlineStr">
        <is>
          <t xml:space="preserve">FA2024-0057</t>
        </is>
      </c>
      <c r="H846" s="0" t="inlineStr">
        <is>
          <t xml:space="preserve">Facture FA2024-0057 Residence Bel Air</t>
        </is>
      </c>
      <c r="I846" s="8">
        <v>0</v>
      </c>
      <c r="J846" s="8">
        <v>6189.75</v>
      </c>
      <c r="K846" s="0"/>
      <c r="L846" s="0"/>
      <c r="M846" s="8">
        <f>I846-J846</f>
      </c>
      <c r="N846" s="0" t="inlineStr">
        <is>
          <t xml:space="preserve">2024-12</t>
        </is>
      </c>
      <c r="O846" s="0">
        <f>INDEX(Journaux!$E$5:$E$18,MATCH("2024|"&amp;A846,Journaux!$A$5:$A$18,0))</f>
      </c>
      <c r="P846" s="0">
        <f>INDEX(Comptes!$H$5:$H$42,MATCH(E846,Comptes!$A$5:$A$42,0))</f>
      </c>
      <c r="Q846" s="0" t="inlineStr">
        <is>
          <t xml:space="preserve">4</t>
        </is>
      </c>
    </row>
    <row r="847">
      <c r="A847" s="4" t="inlineStr">
        <is>
          <t xml:space="preserve">VT</t>
        </is>
      </c>
      <c r="B847" s="0" t="inlineStr">
        <is>
          <t xml:space="preserve">Journal des ventes</t>
        </is>
      </c>
      <c r="C847" s="0" t="inlineStr">
        <is>
          <t xml:space="preserve">VT00059</t>
        </is>
      </c>
      <c r="D847" s="10">
        <v>45635</v>
      </c>
      <c r="E847" s="4" t="inlineStr">
        <is>
          <t xml:space="preserve">411000</t>
        </is>
      </c>
      <c r="F847" s="0" t="inlineStr">
        <is>
          <t xml:space="preserve">Clients</t>
        </is>
      </c>
      <c r="G847" s="0" t="inlineStr">
        <is>
          <t xml:space="preserve">FA2024-0059</t>
        </is>
      </c>
      <c r="H847" s="0" t="inlineStr">
        <is>
          <t xml:space="preserve">Facture FA2024-0059 Cabinet Varenne Associes</t>
        </is>
      </c>
      <c r="I847" s="8">
        <v>31150.6</v>
      </c>
      <c r="J847" s="8">
        <v>0</v>
      </c>
      <c r="K847" s="0"/>
      <c r="L847" s="0" t="inlineStr">
        <is>
          <t xml:space="preserve">Cabinet Varenne Associes</t>
        </is>
      </c>
      <c r="M847" s="8">
        <f>I847-J847</f>
      </c>
      <c r="N847" s="0" t="inlineStr">
        <is>
          <t xml:space="preserve">2024-12</t>
        </is>
      </c>
      <c r="O847" s="0">
        <f>INDEX(Journaux!$E$5:$E$18,MATCH("2024|"&amp;A847,Journaux!$A$5:$A$18,0))</f>
      </c>
      <c r="P847" s="0">
        <f>INDEX(Comptes!$H$5:$H$42,MATCH(E847,Comptes!$A$5:$A$42,0))</f>
      </c>
      <c r="Q847" s="0" t="inlineStr">
        <is>
          <t xml:space="preserve">4</t>
        </is>
      </c>
      <c r="R847" s="7" t="inlineStr">
        <is>
          <t xml:space="preserve">411000|C004</t>
        </is>
      </c>
    </row>
    <row r="848">
      <c r="A848" s="4" t="inlineStr">
        <is>
          <t xml:space="preserve">VT</t>
        </is>
      </c>
      <c r="B848" s="0" t="inlineStr">
        <is>
          <t xml:space="preserve">Journal des ventes</t>
        </is>
      </c>
      <c r="C848" s="0" t="inlineStr">
        <is>
          <t xml:space="preserve">VT00059</t>
        </is>
      </c>
      <c r="D848" s="10">
        <v>45635</v>
      </c>
      <c r="E848" s="4" t="inlineStr">
        <is>
          <t xml:space="preserve">701000</t>
        </is>
      </c>
      <c r="F848" s="0" t="inlineStr">
        <is>
          <t xml:space="preserve">Ventes de produits finis</t>
        </is>
      </c>
      <c r="G848" s="0" t="inlineStr">
        <is>
          <t xml:space="preserve">FA2024-0059</t>
        </is>
      </c>
      <c r="H848" s="0" t="inlineStr">
        <is>
          <t xml:space="preserve">Facture FA2024-0059 Cabinet Varenne Associes</t>
        </is>
      </c>
      <c r="I848" s="8">
        <v>0</v>
      </c>
      <c r="J848" s="8">
        <v>25958.83</v>
      </c>
      <c r="K848" s="0"/>
      <c r="L848" s="0"/>
      <c r="M848" s="8">
        <f>I848-J848</f>
      </c>
      <c r="N848" s="0" t="inlineStr">
        <is>
          <t xml:space="preserve">2024-12</t>
        </is>
      </c>
      <c r="O848" s="0">
        <f>INDEX(Journaux!$E$5:$E$18,MATCH("2024|"&amp;A848,Journaux!$A$5:$A$18,0))</f>
      </c>
      <c r="P848" s="0">
        <f>INDEX(Comptes!$H$5:$H$42,MATCH(E848,Comptes!$A$5:$A$42,0))</f>
      </c>
      <c r="Q848" s="0" t="inlineStr">
        <is>
          <t xml:space="preserve">7</t>
        </is>
      </c>
    </row>
    <row r="849">
      <c r="A849" s="4" t="inlineStr">
        <is>
          <t xml:space="preserve">VT</t>
        </is>
      </c>
      <c r="B849" s="0" t="inlineStr">
        <is>
          <t xml:space="preserve">Journal des ventes</t>
        </is>
      </c>
      <c r="C849" s="0" t="inlineStr">
        <is>
          <t xml:space="preserve">VT00059</t>
        </is>
      </c>
      <c r="D849" s="10">
        <v>45635</v>
      </c>
      <c r="E849" s="4" t="inlineStr">
        <is>
          <t xml:space="preserve">445710</t>
        </is>
      </c>
      <c r="F849" s="0" t="inlineStr">
        <is>
          <t xml:space="preserve">TVA collectee</t>
        </is>
      </c>
      <c r="G849" s="0" t="inlineStr">
        <is>
          <t xml:space="preserve">FA2024-0059</t>
        </is>
      </c>
      <c r="H849" s="0" t="inlineStr">
        <is>
          <t xml:space="preserve">Facture FA2024-0059 Cabinet Varenne Associes</t>
        </is>
      </c>
      <c r="I849" s="8">
        <v>0</v>
      </c>
      <c r="J849" s="8">
        <v>5191.77</v>
      </c>
      <c r="K849" s="0"/>
      <c r="L849" s="0"/>
      <c r="M849" s="8">
        <f>I849-J849</f>
      </c>
      <c r="N849" s="0" t="inlineStr">
        <is>
          <t xml:space="preserve">2024-12</t>
        </is>
      </c>
      <c r="O849" s="0">
        <f>INDEX(Journaux!$E$5:$E$18,MATCH("2024|"&amp;A849,Journaux!$A$5:$A$18,0))</f>
      </c>
      <c r="P849" s="0">
        <f>INDEX(Comptes!$H$5:$H$42,MATCH(E849,Comptes!$A$5:$A$42,0))</f>
      </c>
      <c r="Q849" s="0" t="inlineStr">
        <is>
          <t xml:space="preserve">4</t>
        </is>
      </c>
    </row>
    <row r="850">
      <c r="A850" s="4" t="inlineStr">
        <is>
          <t xml:space="preserve">BQ</t>
        </is>
      </c>
      <c r="B850" s="0" t="inlineStr">
        <is>
          <t xml:space="preserve">Banque Fictive</t>
        </is>
      </c>
      <c r="C850" s="0" t="inlineStr">
        <is>
          <t xml:space="preserve">BQ00035</t>
        </is>
      </c>
      <c r="D850" s="10">
        <v>45636</v>
      </c>
      <c r="E850" s="4" t="inlineStr">
        <is>
          <t xml:space="preserve">164000</t>
        </is>
      </c>
      <c r="F850" s="0" t="inlineStr">
        <is>
          <t xml:space="preserve">Emprunts aupres des etablissements de credit</t>
        </is>
      </c>
      <c r="G850" s="0" t="inlineStr">
        <is>
          <t xml:space="preserve">ECH202412</t>
        </is>
      </c>
      <c r="H850" s="0" t="inlineStr">
        <is>
          <t xml:space="preserve">Echeance emprunt 12/2024</t>
        </is>
      </c>
      <c r="I850" s="8">
        <v>2000</v>
      </c>
      <c r="J850" s="8">
        <v>0</v>
      </c>
      <c r="K850" s="0"/>
      <c r="L850" s="0"/>
      <c r="M850" s="8">
        <f>I850-J850</f>
      </c>
      <c r="N850" s="0" t="inlineStr">
        <is>
          <t xml:space="preserve">2024-12</t>
        </is>
      </c>
      <c r="O850" s="0">
        <f>INDEX(Journaux!$E$5:$E$18,MATCH("2024|"&amp;A850,Journaux!$A$5:$A$18,0))</f>
      </c>
      <c r="P850" s="0">
        <f>INDEX(Comptes!$H$5:$H$42,MATCH(E850,Comptes!$A$5:$A$42,0))</f>
      </c>
      <c r="Q850" s="0" t="inlineStr">
        <is>
          <t xml:space="preserve">1</t>
        </is>
      </c>
    </row>
    <row r="851">
      <c r="A851" s="4" t="inlineStr">
        <is>
          <t xml:space="preserve">BQ</t>
        </is>
      </c>
      <c r="B851" s="0" t="inlineStr">
        <is>
          <t xml:space="preserve">Banque Fictive</t>
        </is>
      </c>
      <c r="C851" s="0" t="inlineStr">
        <is>
          <t xml:space="preserve">BQ00035</t>
        </is>
      </c>
      <c r="D851" s="10">
        <v>45636</v>
      </c>
      <c r="E851" s="4" t="inlineStr">
        <is>
          <t xml:space="preserve">661100</t>
        </is>
      </c>
      <c r="F851" s="0" t="inlineStr">
        <is>
          <t xml:space="preserve">Interets des emprunts</t>
        </is>
      </c>
      <c r="G851" s="0" t="inlineStr">
        <is>
          <t xml:space="preserve">ECH202412</t>
        </is>
      </c>
      <c r="H851" s="0" t="inlineStr">
        <is>
          <t xml:space="preserve">Echeance emprunt 12/2024</t>
        </is>
      </c>
      <c r="I851" s="8">
        <v>226.67</v>
      </c>
      <c r="J851" s="8">
        <v>0</v>
      </c>
      <c r="K851" s="0"/>
      <c r="L851" s="0"/>
      <c r="M851" s="8">
        <f>I851-J851</f>
      </c>
      <c r="N851" s="0" t="inlineStr">
        <is>
          <t xml:space="preserve">2024-12</t>
        </is>
      </c>
      <c r="O851" s="0">
        <f>INDEX(Journaux!$E$5:$E$18,MATCH("2024|"&amp;A851,Journaux!$A$5:$A$18,0))</f>
      </c>
      <c r="P851" s="0">
        <f>INDEX(Comptes!$H$5:$H$42,MATCH(E851,Comptes!$A$5:$A$42,0))</f>
      </c>
      <c r="Q851" s="0" t="inlineStr">
        <is>
          <t xml:space="preserve">6</t>
        </is>
      </c>
    </row>
    <row r="852">
      <c r="A852" s="4" t="inlineStr">
        <is>
          <t xml:space="preserve">BQ</t>
        </is>
      </c>
      <c r="B852" s="0" t="inlineStr">
        <is>
          <t xml:space="preserve">Banque Fictive</t>
        </is>
      </c>
      <c r="C852" s="0" t="inlineStr">
        <is>
          <t xml:space="preserve">BQ00035</t>
        </is>
      </c>
      <c r="D852" s="10">
        <v>45636</v>
      </c>
      <c r="E852" s="4" t="inlineStr">
        <is>
          <t xml:space="preserve">512000</t>
        </is>
      </c>
      <c r="F852" s="0" t="inlineStr">
        <is>
          <t xml:space="preserve">Banque Fictive</t>
        </is>
      </c>
      <c r="G852" s="0" t="inlineStr">
        <is>
          <t xml:space="preserve">ECH202412</t>
        </is>
      </c>
      <c r="H852" s="0" t="inlineStr">
        <is>
          <t xml:space="preserve">Echeance emprunt 12/2024</t>
        </is>
      </c>
      <c r="I852" s="8">
        <v>0</v>
      </c>
      <c r="J852" s="8">
        <v>2226.67</v>
      </c>
      <c r="K852" s="0"/>
      <c r="L852" s="0"/>
      <c r="M852" s="8">
        <f>I852-J852</f>
      </c>
      <c r="N852" s="0" t="inlineStr">
        <is>
          <t xml:space="preserve">2024-12</t>
        </is>
      </c>
      <c r="O852" s="0">
        <f>INDEX(Journaux!$E$5:$E$18,MATCH("2024|"&amp;A852,Journaux!$A$5:$A$18,0))</f>
      </c>
      <c r="P852" s="0">
        <f>INDEX(Comptes!$H$5:$H$42,MATCH(E852,Comptes!$A$5:$A$42,0))</f>
      </c>
      <c r="Q852" s="0" t="inlineStr">
        <is>
          <t xml:space="preserve">5</t>
        </is>
      </c>
    </row>
    <row r="853">
      <c r="A853" s="4" t="inlineStr">
        <is>
          <t xml:space="preserve">VT</t>
        </is>
      </c>
      <c r="B853" s="0" t="inlineStr">
        <is>
          <t xml:space="preserve">Journal des ventes</t>
        </is>
      </c>
      <c r="C853" s="0" t="inlineStr">
        <is>
          <t xml:space="preserve">VT00062</t>
        </is>
      </c>
      <c r="D853" s="10">
        <v>45636</v>
      </c>
      <c r="E853" s="4" t="inlineStr">
        <is>
          <t xml:space="preserve">411000</t>
        </is>
      </c>
      <c r="F853" s="0" t="inlineStr">
        <is>
          <t xml:space="preserve">Clients</t>
        </is>
      </c>
      <c r="G853" s="0" t="inlineStr">
        <is>
          <t xml:space="preserve">FA2024-0062</t>
        </is>
      </c>
      <c r="H853" s="0" t="inlineStr">
        <is>
          <t xml:space="preserve">Facture FA2024-0062 Clinique du Parc</t>
        </is>
      </c>
      <c r="I853" s="8">
        <v>36694.64</v>
      </c>
      <c r="J853" s="8">
        <v>0</v>
      </c>
      <c r="K853" s="0"/>
      <c r="L853" s="0" t="inlineStr">
        <is>
          <t xml:space="preserve">Clinique du Parc</t>
        </is>
      </c>
      <c r="M853" s="8">
        <f>I853-J853</f>
      </c>
      <c r="N853" s="0" t="inlineStr">
        <is>
          <t xml:space="preserve">2024-12</t>
        </is>
      </c>
      <c r="O853" s="0">
        <f>INDEX(Journaux!$E$5:$E$18,MATCH("2024|"&amp;A853,Journaux!$A$5:$A$18,0))</f>
      </c>
      <c r="P853" s="0">
        <f>INDEX(Comptes!$H$5:$H$42,MATCH(E853,Comptes!$A$5:$A$42,0))</f>
      </c>
      <c r="Q853" s="0" t="inlineStr">
        <is>
          <t xml:space="preserve">4</t>
        </is>
      </c>
      <c r="R853" s="7" t="inlineStr">
        <is>
          <t xml:space="preserve">411000|C006</t>
        </is>
      </c>
    </row>
    <row r="854">
      <c r="A854" s="4" t="inlineStr">
        <is>
          <t xml:space="preserve">VT</t>
        </is>
      </c>
      <c r="B854" s="0" t="inlineStr">
        <is>
          <t xml:space="preserve">Journal des ventes</t>
        </is>
      </c>
      <c r="C854" s="0" t="inlineStr">
        <is>
          <t xml:space="preserve">VT00062</t>
        </is>
      </c>
      <c r="D854" s="10">
        <v>45636</v>
      </c>
      <c r="E854" s="4" t="inlineStr">
        <is>
          <t xml:space="preserve">701000</t>
        </is>
      </c>
      <c r="F854" s="0" t="inlineStr">
        <is>
          <t xml:space="preserve">Ventes de produits finis</t>
        </is>
      </c>
      <c r="G854" s="0" t="inlineStr">
        <is>
          <t xml:space="preserve">FA2024-0062</t>
        </is>
      </c>
      <c r="H854" s="0" t="inlineStr">
        <is>
          <t xml:space="preserve">Facture FA2024-0062 Clinique du Parc</t>
        </is>
      </c>
      <c r="I854" s="8">
        <v>0</v>
      </c>
      <c r="J854" s="8">
        <v>30578.87</v>
      </c>
      <c r="K854" s="0"/>
      <c r="L854" s="0"/>
      <c r="M854" s="8">
        <f>I854-J854</f>
      </c>
      <c r="N854" s="0" t="inlineStr">
        <is>
          <t xml:space="preserve">2024-12</t>
        </is>
      </c>
      <c r="O854" s="0">
        <f>INDEX(Journaux!$E$5:$E$18,MATCH("2024|"&amp;A854,Journaux!$A$5:$A$18,0))</f>
      </c>
      <c r="P854" s="0">
        <f>INDEX(Comptes!$H$5:$H$42,MATCH(E854,Comptes!$A$5:$A$42,0))</f>
      </c>
      <c r="Q854" s="0" t="inlineStr">
        <is>
          <t xml:space="preserve">7</t>
        </is>
      </c>
    </row>
    <row r="855">
      <c r="A855" s="4" t="inlineStr">
        <is>
          <t xml:space="preserve">VT</t>
        </is>
      </c>
      <c r="B855" s="0" t="inlineStr">
        <is>
          <t xml:space="preserve">Journal des ventes</t>
        </is>
      </c>
      <c r="C855" s="0" t="inlineStr">
        <is>
          <t xml:space="preserve">VT00062</t>
        </is>
      </c>
      <c r="D855" s="10">
        <v>45636</v>
      </c>
      <c r="E855" s="4" t="inlineStr">
        <is>
          <t xml:space="preserve">445710</t>
        </is>
      </c>
      <c r="F855" s="0" t="inlineStr">
        <is>
          <t xml:space="preserve">TVA collectee</t>
        </is>
      </c>
      <c r="G855" s="0" t="inlineStr">
        <is>
          <t xml:space="preserve">FA2024-0062</t>
        </is>
      </c>
      <c r="H855" s="0" t="inlineStr">
        <is>
          <t xml:space="preserve">Facture FA2024-0062 Clinique du Parc</t>
        </is>
      </c>
      <c r="I855" s="8">
        <v>0</v>
      </c>
      <c r="J855" s="8">
        <v>6115.77</v>
      </c>
      <c r="K855" s="0"/>
      <c r="L855" s="0"/>
      <c r="M855" s="8">
        <f>I855-J855</f>
      </c>
      <c r="N855" s="0" t="inlineStr">
        <is>
          <t xml:space="preserve">2024-12</t>
        </is>
      </c>
      <c r="O855" s="0">
        <f>INDEX(Journaux!$E$5:$E$18,MATCH("2024|"&amp;A855,Journaux!$A$5:$A$18,0))</f>
      </c>
      <c r="P855" s="0">
        <f>INDEX(Comptes!$H$5:$H$42,MATCH(E855,Comptes!$A$5:$A$42,0))</f>
      </c>
      <c r="Q855" s="0" t="inlineStr">
        <is>
          <t xml:space="preserve">4</t>
        </is>
      </c>
    </row>
    <row r="856">
      <c r="A856" s="4" t="inlineStr">
        <is>
          <t xml:space="preserve">BQ</t>
        </is>
      </c>
      <c r="B856" s="0" t="inlineStr">
        <is>
          <t xml:space="preserve">Banque Fictive</t>
        </is>
      </c>
      <c r="C856" s="0" t="inlineStr">
        <is>
          <t xml:space="preserve">BQ00117</t>
        </is>
      </c>
      <c r="D856" s="10">
        <v>45639</v>
      </c>
      <c r="E856" s="4" t="inlineStr">
        <is>
          <t xml:space="preserve">512000</t>
        </is>
      </c>
      <c r="F856" s="0" t="inlineStr">
        <is>
          <t xml:space="preserve">Banque Fictive</t>
        </is>
      </c>
      <c r="G856" s="0" t="inlineStr">
        <is>
          <t xml:space="preserve">ENC-FA2024-0053</t>
        </is>
      </c>
      <c r="H856" s="0" t="inlineStr">
        <is>
          <t xml:space="preserve">Reglement client Boutique Hetre et Chene FA2024-0053</t>
        </is>
      </c>
      <c r="I856" s="8">
        <v>44146.18</v>
      </c>
      <c r="J856" s="8">
        <v>0</v>
      </c>
      <c r="K856" s="0"/>
      <c r="L856" s="0"/>
      <c r="M856" s="8">
        <f>I856-J856</f>
      </c>
      <c r="N856" s="0" t="inlineStr">
        <is>
          <t xml:space="preserve">2024-12</t>
        </is>
      </c>
      <c r="O856" s="0">
        <f>INDEX(Journaux!$E$5:$E$18,MATCH("2024|"&amp;A856,Journaux!$A$5:$A$18,0))</f>
      </c>
      <c r="P856" s="0">
        <f>INDEX(Comptes!$H$5:$H$42,MATCH(E856,Comptes!$A$5:$A$42,0))</f>
      </c>
      <c r="Q856" s="0" t="inlineStr">
        <is>
          <t xml:space="preserve">5</t>
        </is>
      </c>
    </row>
    <row r="857">
      <c r="A857" s="4" t="inlineStr">
        <is>
          <t xml:space="preserve">BQ</t>
        </is>
      </c>
      <c r="B857" s="0" t="inlineStr">
        <is>
          <t xml:space="preserve">Banque Fictive</t>
        </is>
      </c>
      <c r="C857" s="0" t="inlineStr">
        <is>
          <t xml:space="preserve">BQ00117</t>
        </is>
      </c>
      <c r="D857" s="10">
        <v>45639</v>
      </c>
      <c r="E857" s="4" t="inlineStr">
        <is>
          <t xml:space="preserve">411000</t>
        </is>
      </c>
      <c r="F857" s="0" t="inlineStr">
        <is>
          <t xml:space="preserve">Clients</t>
        </is>
      </c>
      <c r="G857" s="0" t="inlineStr">
        <is>
          <t xml:space="preserve">ENC-FA2024-0053</t>
        </is>
      </c>
      <c r="H857" s="0" t="inlineStr">
        <is>
          <t xml:space="preserve">Reglement client Boutique Hetre et Chene FA2024-0053</t>
        </is>
      </c>
      <c r="I857" s="8">
        <v>0</v>
      </c>
      <c r="J857" s="8">
        <v>44146.18</v>
      </c>
      <c r="K857" s="0" t="inlineStr">
        <is>
          <t xml:space="preserve">ABE</t>
        </is>
      </c>
      <c r="L857" s="0" t="inlineStr">
        <is>
          <t xml:space="preserve">Boutique Hetre et Chene</t>
        </is>
      </c>
      <c r="M857" s="8">
        <f>I857-J857</f>
      </c>
      <c r="N857" s="0" t="inlineStr">
        <is>
          <t xml:space="preserve">2024-12</t>
        </is>
      </c>
      <c r="O857" s="0">
        <f>INDEX(Journaux!$E$5:$E$18,MATCH("2024|"&amp;A857,Journaux!$A$5:$A$18,0))</f>
      </c>
      <c r="P857" s="0">
        <f>INDEX(Comptes!$H$5:$H$42,MATCH(E857,Comptes!$A$5:$A$42,0))</f>
      </c>
      <c r="Q857" s="0" t="inlineStr">
        <is>
          <t xml:space="preserve">4</t>
        </is>
      </c>
      <c r="R857" s="7" t="inlineStr">
        <is>
          <t xml:space="preserve">411000|C007</t>
        </is>
      </c>
    </row>
    <row r="858">
      <c r="A858" s="4" t="inlineStr">
        <is>
          <t xml:space="preserve">VT</t>
        </is>
      </c>
      <c r="B858" s="0" t="inlineStr">
        <is>
          <t xml:space="preserve">Journal des ventes</t>
        </is>
      </c>
      <c r="C858" s="0" t="inlineStr">
        <is>
          <t xml:space="preserve">VT00060</t>
        </is>
      </c>
      <c r="D858" s="10">
        <v>45639</v>
      </c>
      <c r="E858" s="4" t="inlineStr">
        <is>
          <t xml:space="preserve">411000</t>
        </is>
      </c>
      <c r="F858" s="0" t="inlineStr">
        <is>
          <t xml:space="preserve">Clients</t>
        </is>
      </c>
      <c r="G858" s="0" t="inlineStr">
        <is>
          <t xml:space="preserve">FA2024-0060</t>
        </is>
      </c>
      <c r="H858" s="0" t="inlineStr">
        <is>
          <t xml:space="preserve">Facture FA2024-0060 Agence Mobilis</t>
        </is>
      </c>
      <c r="I858" s="8">
        <v>20557.5</v>
      </c>
      <c r="J858" s="8">
        <v>0</v>
      </c>
      <c r="K858" s="0"/>
      <c r="L858" s="0" t="inlineStr">
        <is>
          <t xml:space="preserve">Agence Mobilis</t>
        </is>
      </c>
      <c r="M858" s="8">
        <f>I858-J858</f>
      </c>
      <c r="N858" s="0" t="inlineStr">
        <is>
          <t xml:space="preserve">2024-12</t>
        </is>
      </c>
      <c r="O858" s="0">
        <f>INDEX(Journaux!$E$5:$E$18,MATCH("2024|"&amp;A858,Journaux!$A$5:$A$18,0))</f>
      </c>
      <c r="P858" s="0">
        <f>INDEX(Comptes!$H$5:$H$42,MATCH(E858,Comptes!$A$5:$A$42,0))</f>
      </c>
      <c r="Q858" s="0" t="inlineStr">
        <is>
          <t xml:space="preserve">4</t>
        </is>
      </c>
      <c r="R858" s="7" t="inlineStr">
        <is>
          <t xml:space="preserve">411000|C002</t>
        </is>
      </c>
    </row>
    <row r="859">
      <c r="A859" s="4" t="inlineStr">
        <is>
          <t xml:space="preserve">VT</t>
        </is>
      </c>
      <c r="B859" s="0" t="inlineStr">
        <is>
          <t xml:space="preserve">Journal des ventes</t>
        </is>
      </c>
      <c r="C859" s="0" t="inlineStr">
        <is>
          <t xml:space="preserve">VT00060</t>
        </is>
      </c>
      <c r="D859" s="10">
        <v>45639</v>
      </c>
      <c r="E859" s="4" t="inlineStr">
        <is>
          <t xml:space="preserve">701000</t>
        </is>
      </c>
      <c r="F859" s="0" t="inlineStr">
        <is>
          <t xml:space="preserve">Ventes de produits finis</t>
        </is>
      </c>
      <c r="G859" s="0" t="inlineStr">
        <is>
          <t xml:space="preserve">FA2024-0060</t>
        </is>
      </c>
      <c r="H859" s="0" t="inlineStr">
        <is>
          <t xml:space="preserve">Facture FA2024-0060 Agence Mobilis</t>
        </is>
      </c>
      <c r="I859" s="8">
        <v>0</v>
      </c>
      <c r="J859" s="8">
        <v>17131.25</v>
      </c>
      <c r="K859" s="0"/>
      <c r="L859" s="0"/>
      <c r="M859" s="8">
        <f>I859-J859</f>
      </c>
      <c r="N859" s="0" t="inlineStr">
        <is>
          <t xml:space="preserve">2024-12</t>
        </is>
      </c>
      <c r="O859" s="0">
        <f>INDEX(Journaux!$E$5:$E$18,MATCH("2024|"&amp;A859,Journaux!$A$5:$A$18,0))</f>
      </c>
      <c r="P859" s="0">
        <f>INDEX(Comptes!$H$5:$H$42,MATCH(E859,Comptes!$A$5:$A$42,0))</f>
      </c>
      <c r="Q859" s="0" t="inlineStr">
        <is>
          <t xml:space="preserve">7</t>
        </is>
      </c>
    </row>
    <row r="860">
      <c r="A860" s="4" t="inlineStr">
        <is>
          <t xml:space="preserve">VT</t>
        </is>
      </c>
      <c r="B860" s="0" t="inlineStr">
        <is>
          <t xml:space="preserve">Journal des ventes</t>
        </is>
      </c>
      <c r="C860" s="0" t="inlineStr">
        <is>
          <t xml:space="preserve">VT00060</t>
        </is>
      </c>
      <c r="D860" s="10">
        <v>45639</v>
      </c>
      <c r="E860" s="4" t="inlineStr">
        <is>
          <t xml:space="preserve">445710</t>
        </is>
      </c>
      <c r="F860" s="0" t="inlineStr">
        <is>
          <t xml:space="preserve">TVA collectee</t>
        </is>
      </c>
      <c r="G860" s="0" t="inlineStr">
        <is>
          <t xml:space="preserve">FA2024-0060</t>
        </is>
      </c>
      <c r="H860" s="0" t="inlineStr">
        <is>
          <t xml:space="preserve">Facture FA2024-0060 Agence Mobilis</t>
        </is>
      </c>
      <c r="I860" s="8">
        <v>0</v>
      </c>
      <c r="J860" s="8">
        <v>3426.25</v>
      </c>
      <c r="K860" s="0"/>
      <c r="L860" s="0"/>
      <c r="M860" s="8">
        <f>I860-J860</f>
      </c>
      <c r="N860" s="0" t="inlineStr">
        <is>
          <t xml:space="preserve">2024-12</t>
        </is>
      </c>
      <c r="O860" s="0">
        <f>INDEX(Journaux!$E$5:$E$18,MATCH("2024|"&amp;A860,Journaux!$A$5:$A$18,0))</f>
      </c>
      <c r="P860" s="0">
        <f>INDEX(Comptes!$H$5:$H$42,MATCH(E860,Comptes!$A$5:$A$42,0))</f>
      </c>
      <c r="Q860" s="0" t="inlineStr">
        <is>
          <t xml:space="preserve">4</t>
        </is>
      </c>
    </row>
    <row r="861">
      <c r="A861" s="4" t="inlineStr">
        <is>
          <t xml:space="preserve">BQ</t>
        </is>
      </c>
      <c r="B861" s="0" t="inlineStr">
        <is>
          <t xml:space="preserve">Banque Fictive</t>
        </is>
      </c>
      <c r="C861" s="0" t="inlineStr">
        <is>
          <t xml:space="preserve">BQ00059</t>
        </is>
      </c>
      <c r="D861" s="10">
        <v>45641</v>
      </c>
      <c r="E861" s="4" t="inlineStr">
        <is>
          <t xml:space="preserve">431000</t>
        </is>
      </c>
      <c r="F861" s="0" t="inlineStr">
        <is>
          <t xml:space="preserve">Securite sociale</t>
        </is>
      </c>
      <c r="G861" s="0" t="inlineStr">
        <is>
          <t xml:space="preserve">URSSAF202411</t>
        </is>
      </c>
      <c r="H861" s="0" t="inlineStr">
        <is>
          <t xml:space="preserve">Reglement URSSAF 11/2024</t>
        </is>
      </c>
      <c r="I861" s="8">
        <v>33085.21</v>
      </c>
      <c r="J861" s="8">
        <v>0</v>
      </c>
      <c r="K861" s="0"/>
      <c r="L861" s="0"/>
      <c r="M861" s="8">
        <f>I861-J861</f>
      </c>
      <c r="N861" s="0" t="inlineStr">
        <is>
          <t xml:space="preserve">2024-12</t>
        </is>
      </c>
      <c r="O861" s="0">
        <f>INDEX(Journaux!$E$5:$E$18,MATCH("2024|"&amp;A861,Journaux!$A$5:$A$18,0))</f>
      </c>
      <c r="P861" s="0">
        <f>INDEX(Comptes!$H$5:$H$42,MATCH(E861,Comptes!$A$5:$A$42,0))</f>
      </c>
      <c r="Q861" s="0" t="inlineStr">
        <is>
          <t xml:space="preserve">4</t>
        </is>
      </c>
    </row>
    <row r="862">
      <c r="A862" s="4" t="inlineStr">
        <is>
          <t xml:space="preserve">BQ</t>
        </is>
      </c>
      <c r="B862" s="0" t="inlineStr">
        <is>
          <t xml:space="preserve">Banque Fictive</t>
        </is>
      </c>
      <c r="C862" s="0" t="inlineStr">
        <is>
          <t xml:space="preserve">BQ00059</t>
        </is>
      </c>
      <c r="D862" s="10">
        <v>45641</v>
      </c>
      <c r="E862" s="4" t="inlineStr">
        <is>
          <t xml:space="preserve">512000</t>
        </is>
      </c>
      <c r="F862" s="0" t="inlineStr">
        <is>
          <t xml:space="preserve">Banque Fictive</t>
        </is>
      </c>
      <c r="G862" s="0" t="inlineStr">
        <is>
          <t xml:space="preserve">URSSAF202411</t>
        </is>
      </c>
      <c r="H862" s="0" t="inlineStr">
        <is>
          <t xml:space="preserve">Reglement URSSAF 11/2024</t>
        </is>
      </c>
      <c r="I862" s="8">
        <v>0</v>
      </c>
      <c r="J862" s="8">
        <v>33085.21</v>
      </c>
      <c r="K862" s="0"/>
      <c r="L862" s="0"/>
      <c r="M862" s="8">
        <f>I862-J862</f>
      </c>
      <c r="N862" s="0" t="inlineStr">
        <is>
          <t xml:space="preserve">2024-12</t>
        </is>
      </c>
      <c r="O862" s="0">
        <f>INDEX(Journaux!$E$5:$E$18,MATCH("2024|"&amp;A862,Journaux!$A$5:$A$18,0))</f>
      </c>
      <c r="P862" s="0">
        <f>INDEX(Comptes!$H$5:$H$42,MATCH(E862,Comptes!$A$5:$A$42,0))</f>
      </c>
      <c r="Q862" s="0" t="inlineStr">
        <is>
          <t xml:space="preserve">5</t>
        </is>
      </c>
    </row>
    <row r="863">
      <c r="A863" s="4" t="inlineStr">
        <is>
          <t xml:space="preserve">BQ</t>
        </is>
      </c>
      <c r="B863" s="0" t="inlineStr">
        <is>
          <t xml:space="preserve">Banque Fictive</t>
        </is>
      </c>
      <c r="C863" s="0" t="inlineStr">
        <is>
          <t xml:space="preserve">BQ00190</t>
        </is>
      </c>
      <c r="D863" s="10">
        <v>45641</v>
      </c>
      <c r="E863" s="4" t="inlineStr">
        <is>
          <t xml:space="preserve">635110</t>
        </is>
      </c>
      <c r="F863" s="0" t="inlineStr">
        <is>
          <t xml:space="preserve">Cotisation fonciere des entreprises</t>
        </is>
      </c>
      <c r="G863" s="0" t="inlineStr">
        <is>
          <t xml:space="preserve">CFE2024</t>
        </is>
      </c>
      <c r="H863" s="0" t="inlineStr">
        <is>
          <t xml:space="preserve">CFE 2024</t>
        </is>
      </c>
      <c r="I863" s="8">
        <v>4500</v>
      </c>
      <c r="J863" s="8">
        <v>0</v>
      </c>
      <c r="K863" s="0"/>
      <c r="L863" s="0"/>
      <c r="M863" s="8">
        <f>I863-J863</f>
      </c>
      <c r="N863" s="0" t="inlineStr">
        <is>
          <t xml:space="preserve">2024-12</t>
        </is>
      </c>
      <c r="O863" s="0">
        <f>INDEX(Journaux!$E$5:$E$18,MATCH("2024|"&amp;A863,Journaux!$A$5:$A$18,0))</f>
      </c>
      <c r="P863" s="0">
        <f>INDEX(Comptes!$H$5:$H$42,MATCH(E863,Comptes!$A$5:$A$42,0))</f>
      </c>
      <c r="Q863" s="0" t="inlineStr">
        <is>
          <t xml:space="preserve">6</t>
        </is>
      </c>
    </row>
    <row r="864">
      <c r="A864" s="4" t="inlineStr">
        <is>
          <t xml:space="preserve">BQ</t>
        </is>
      </c>
      <c r="B864" s="0" t="inlineStr">
        <is>
          <t xml:space="preserve">Banque Fictive</t>
        </is>
      </c>
      <c r="C864" s="0" t="inlineStr">
        <is>
          <t xml:space="preserve">BQ00190</t>
        </is>
      </c>
      <c r="D864" s="10">
        <v>45641</v>
      </c>
      <c r="E864" s="4" t="inlineStr">
        <is>
          <t xml:space="preserve">512000</t>
        </is>
      </c>
      <c r="F864" s="0" t="inlineStr">
        <is>
          <t xml:space="preserve">Banque Fictive</t>
        </is>
      </c>
      <c r="G864" s="0" t="inlineStr">
        <is>
          <t xml:space="preserve">CFE2024</t>
        </is>
      </c>
      <c r="H864" s="0" t="inlineStr">
        <is>
          <t xml:space="preserve">CFE 2024</t>
        </is>
      </c>
      <c r="I864" s="8">
        <v>0</v>
      </c>
      <c r="J864" s="8">
        <v>4500</v>
      </c>
      <c r="K864" s="0"/>
      <c r="L864" s="0"/>
      <c r="M864" s="8">
        <f>I864-J864</f>
      </c>
      <c r="N864" s="0" t="inlineStr">
        <is>
          <t xml:space="preserve">2024-12</t>
        </is>
      </c>
      <c r="O864" s="0">
        <f>INDEX(Journaux!$E$5:$E$18,MATCH("2024|"&amp;A864,Journaux!$A$5:$A$18,0))</f>
      </c>
      <c r="P864" s="0">
        <f>INDEX(Comptes!$H$5:$H$42,MATCH(E864,Comptes!$A$5:$A$42,0))</f>
      </c>
      <c r="Q864" s="0" t="inlineStr">
        <is>
          <t xml:space="preserve">5</t>
        </is>
      </c>
    </row>
    <row r="865">
      <c r="A865" s="4" t="inlineStr">
        <is>
          <t xml:space="preserve">BQ</t>
        </is>
      </c>
      <c r="B865" s="0" t="inlineStr">
        <is>
          <t xml:space="preserve">Banque Fictive</t>
        </is>
      </c>
      <c r="C865" s="0" t="inlineStr">
        <is>
          <t xml:space="preserve">BQ00113</t>
        </is>
      </c>
      <c r="D865" s="10">
        <v>45642</v>
      </c>
      <c r="E865" s="4" t="inlineStr">
        <is>
          <t xml:space="preserve">512000</t>
        </is>
      </c>
      <c r="F865" s="0" t="inlineStr">
        <is>
          <t xml:space="preserve">Banque Fictive</t>
        </is>
      </c>
      <c r="G865" s="0" t="inlineStr">
        <is>
          <t xml:space="preserve">ENC-FA2024-0048</t>
        </is>
      </c>
      <c r="H865" s="0" t="inlineStr">
        <is>
          <t xml:space="preserve">Reglement client Restaurant Le Comptoir FA2024-0048</t>
        </is>
      </c>
      <c r="I865" s="8">
        <v>41473.99</v>
      </c>
      <c r="J865" s="8">
        <v>0</v>
      </c>
      <c r="K865" s="0"/>
      <c r="L865" s="0"/>
      <c r="M865" s="8">
        <f>I865-J865</f>
      </c>
      <c r="N865" s="0" t="inlineStr">
        <is>
          <t xml:space="preserve">2024-12</t>
        </is>
      </c>
      <c r="O865" s="0">
        <f>INDEX(Journaux!$E$5:$E$18,MATCH("2024|"&amp;A865,Journaux!$A$5:$A$18,0))</f>
      </c>
      <c r="P865" s="0">
        <f>INDEX(Comptes!$H$5:$H$42,MATCH(E865,Comptes!$A$5:$A$42,0))</f>
      </c>
      <c r="Q865" s="0" t="inlineStr">
        <is>
          <t xml:space="preserve">5</t>
        </is>
      </c>
    </row>
    <row r="866">
      <c r="A866" s="4" t="inlineStr">
        <is>
          <t xml:space="preserve">BQ</t>
        </is>
      </c>
      <c r="B866" s="0" t="inlineStr">
        <is>
          <t xml:space="preserve">Banque Fictive</t>
        </is>
      </c>
      <c r="C866" s="0" t="inlineStr">
        <is>
          <t xml:space="preserve">BQ00113</t>
        </is>
      </c>
      <c r="D866" s="10">
        <v>45642</v>
      </c>
      <c r="E866" s="4" t="inlineStr">
        <is>
          <t xml:space="preserve">411000</t>
        </is>
      </c>
      <c r="F866" s="0" t="inlineStr">
        <is>
          <t xml:space="preserve">Clients</t>
        </is>
      </c>
      <c r="G866" s="0" t="inlineStr">
        <is>
          <t xml:space="preserve">ENC-FA2024-0048</t>
        </is>
      </c>
      <c r="H866" s="0" t="inlineStr">
        <is>
          <t xml:space="preserve">Reglement client Restaurant Le Comptoir FA2024-0048</t>
        </is>
      </c>
      <c r="I866" s="8">
        <v>0</v>
      </c>
      <c r="J866" s="8">
        <v>41473.99</v>
      </c>
      <c r="K866" s="0" t="inlineStr">
        <is>
          <t xml:space="preserve">ABA</t>
        </is>
      </c>
      <c r="L866" s="0" t="inlineStr">
        <is>
          <t xml:space="preserve">Restaurant Le Comptoir</t>
        </is>
      </c>
      <c r="M866" s="8">
        <f>I866-J866</f>
      </c>
      <c r="N866" s="0" t="inlineStr">
        <is>
          <t xml:space="preserve">2024-12</t>
        </is>
      </c>
      <c r="O866" s="0">
        <f>INDEX(Journaux!$E$5:$E$18,MATCH("2024|"&amp;A866,Journaux!$A$5:$A$18,0))</f>
      </c>
      <c r="P866" s="0">
        <f>INDEX(Comptes!$H$5:$H$42,MATCH(E866,Comptes!$A$5:$A$42,0))</f>
      </c>
      <c r="Q866" s="0" t="inlineStr">
        <is>
          <t xml:space="preserve">4</t>
        </is>
      </c>
      <c r="R866" s="7" t="inlineStr">
        <is>
          <t xml:space="preserve">411000|C005</t>
        </is>
      </c>
    </row>
    <row r="867">
      <c r="A867" s="4" t="inlineStr">
        <is>
          <t xml:space="preserve">BQ</t>
        </is>
      </c>
      <c r="B867" s="0" t="inlineStr">
        <is>
          <t xml:space="preserve">Banque Fictive</t>
        </is>
      </c>
      <c r="C867" s="0" t="inlineStr">
        <is>
          <t xml:space="preserve">BQ00118</t>
        </is>
      </c>
      <c r="D867" s="10">
        <v>45642</v>
      </c>
      <c r="E867" s="4" t="inlineStr">
        <is>
          <t xml:space="preserve">512000</t>
        </is>
      </c>
      <c r="F867" s="0" t="inlineStr">
        <is>
          <t xml:space="preserve">Banque Fictive</t>
        </is>
      </c>
      <c r="G867" s="0" t="inlineStr">
        <is>
          <t xml:space="preserve">ENC-FA2024-0055</t>
        </is>
      </c>
      <c r="H867" s="0" t="inlineStr">
        <is>
          <t xml:space="preserve">Reglement client Residence Bel Air FA2024-0055</t>
        </is>
      </c>
      <c r="I867" s="8">
        <v>70475.3</v>
      </c>
      <c r="J867" s="8">
        <v>0</v>
      </c>
      <c r="K867" s="0"/>
      <c r="L867" s="0"/>
      <c r="M867" s="8">
        <f>I867-J867</f>
      </c>
      <c r="N867" s="0" t="inlineStr">
        <is>
          <t xml:space="preserve">2024-12</t>
        </is>
      </c>
      <c r="O867" s="0">
        <f>INDEX(Journaux!$E$5:$E$18,MATCH("2024|"&amp;A867,Journaux!$A$5:$A$18,0))</f>
      </c>
      <c r="P867" s="0">
        <f>INDEX(Comptes!$H$5:$H$42,MATCH(E867,Comptes!$A$5:$A$42,0))</f>
      </c>
      <c r="Q867" s="0" t="inlineStr">
        <is>
          <t xml:space="preserve">5</t>
        </is>
      </c>
    </row>
    <row r="868">
      <c r="A868" s="4" t="inlineStr">
        <is>
          <t xml:space="preserve">BQ</t>
        </is>
      </c>
      <c r="B868" s="0" t="inlineStr">
        <is>
          <t xml:space="preserve">Banque Fictive</t>
        </is>
      </c>
      <c r="C868" s="0" t="inlineStr">
        <is>
          <t xml:space="preserve">BQ00118</t>
        </is>
      </c>
      <c r="D868" s="10">
        <v>45642</v>
      </c>
      <c r="E868" s="4" t="inlineStr">
        <is>
          <t xml:space="preserve">411000</t>
        </is>
      </c>
      <c r="F868" s="0" t="inlineStr">
        <is>
          <t xml:space="preserve">Clients</t>
        </is>
      </c>
      <c r="G868" s="0" t="inlineStr">
        <is>
          <t xml:space="preserve">ENC-FA2024-0055</t>
        </is>
      </c>
      <c r="H868" s="0" t="inlineStr">
        <is>
          <t xml:space="preserve">Reglement client Residence Bel Air FA2024-0055</t>
        </is>
      </c>
      <c r="I868" s="8">
        <v>0</v>
      </c>
      <c r="J868" s="8">
        <v>70475.3</v>
      </c>
      <c r="K868" s="0" t="inlineStr">
        <is>
          <t xml:space="preserve">ABF</t>
        </is>
      </c>
      <c r="L868" s="0" t="inlineStr">
        <is>
          <t xml:space="preserve">Residence Bel Air</t>
        </is>
      </c>
      <c r="M868" s="8">
        <f>I868-J868</f>
      </c>
      <c r="N868" s="0" t="inlineStr">
        <is>
          <t xml:space="preserve">2024-12</t>
        </is>
      </c>
      <c r="O868" s="0">
        <f>INDEX(Journaux!$E$5:$E$18,MATCH("2024|"&amp;A868,Journaux!$A$5:$A$18,0))</f>
      </c>
      <c r="P868" s="0">
        <f>INDEX(Comptes!$H$5:$H$42,MATCH(E868,Comptes!$A$5:$A$42,0))</f>
      </c>
      <c r="Q868" s="0" t="inlineStr">
        <is>
          <t xml:space="preserve">4</t>
        </is>
      </c>
      <c r="R868" s="7" t="inlineStr">
        <is>
          <t xml:space="preserve">411000|C003</t>
        </is>
      </c>
    </row>
    <row r="869">
      <c r="A869" s="4" t="inlineStr">
        <is>
          <t xml:space="preserve">BQ</t>
        </is>
      </c>
      <c r="B869" s="0" t="inlineStr">
        <is>
          <t xml:space="preserve">Banque Fictive</t>
        </is>
      </c>
      <c r="C869" s="0" t="inlineStr">
        <is>
          <t xml:space="preserve">BQ00180</t>
        </is>
      </c>
      <c r="D869" s="10">
        <v>45642</v>
      </c>
      <c r="E869" s="4" t="inlineStr">
        <is>
          <t xml:space="preserve">401000</t>
        </is>
      </c>
      <c r="F869" s="0" t="inlineStr">
        <is>
          <t xml:space="preserve">Fournisseurs</t>
        </is>
      </c>
      <c r="G869" s="0" t="inlineStr">
        <is>
          <t xml:space="preserve">DEC-F002-2024101</t>
        </is>
      </c>
      <c r="H869" s="0" t="inlineStr">
        <is>
          <t xml:space="preserve">Reglement fournisseur Quincaillerie Pro Est F002-2024101</t>
        </is>
      </c>
      <c r="I869" s="8">
        <v>53496.72</v>
      </c>
      <c r="J869" s="8">
        <v>0</v>
      </c>
      <c r="K869" s="0" t="inlineStr">
        <is>
          <t xml:space="preserve">ADP</t>
        </is>
      </c>
      <c r="L869" s="0" t="inlineStr">
        <is>
          <t xml:space="preserve">Quincaillerie Pro Est</t>
        </is>
      </c>
      <c r="M869" s="8">
        <f>I869-J869</f>
      </c>
      <c r="N869" s="0" t="inlineStr">
        <is>
          <t xml:space="preserve">2024-12</t>
        </is>
      </c>
      <c r="O869" s="0">
        <f>INDEX(Journaux!$E$5:$E$18,MATCH("2024|"&amp;A869,Journaux!$A$5:$A$18,0))</f>
      </c>
      <c r="P869" s="0">
        <f>INDEX(Comptes!$H$5:$H$42,MATCH(E869,Comptes!$A$5:$A$42,0))</f>
      </c>
      <c r="Q869" s="0" t="inlineStr">
        <is>
          <t xml:space="preserve">4</t>
        </is>
      </c>
      <c r="R869" s="7" t="inlineStr">
        <is>
          <t xml:space="preserve">401000|F002</t>
        </is>
      </c>
    </row>
    <row r="870">
      <c r="A870" s="4" t="inlineStr">
        <is>
          <t xml:space="preserve">BQ</t>
        </is>
      </c>
      <c r="B870" s="0" t="inlineStr">
        <is>
          <t xml:space="preserve">Banque Fictive</t>
        </is>
      </c>
      <c r="C870" s="0" t="inlineStr">
        <is>
          <t xml:space="preserve">BQ00180</t>
        </is>
      </c>
      <c r="D870" s="10">
        <v>45642</v>
      </c>
      <c r="E870" s="4" t="inlineStr">
        <is>
          <t xml:space="preserve">512000</t>
        </is>
      </c>
      <c r="F870" s="0" t="inlineStr">
        <is>
          <t xml:space="preserve">Banque Fictive</t>
        </is>
      </c>
      <c r="G870" s="0" t="inlineStr">
        <is>
          <t xml:space="preserve">DEC-F002-2024101</t>
        </is>
      </c>
      <c r="H870" s="0" t="inlineStr">
        <is>
          <t xml:space="preserve">Reglement fournisseur Quincaillerie Pro Est F002-2024101</t>
        </is>
      </c>
      <c r="I870" s="8">
        <v>0</v>
      </c>
      <c r="J870" s="8">
        <v>53496.72</v>
      </c>
      <c r="K870" s="0"/>
      <c r="L870" s="0"/>
      <c r="M870" s="8">
        <f>I870-J870</f>
      </c>
      <c r="N870" s="0" t="inlineStr">
        <is>
          <t xml:space="preserve">2024-12</t>
        </is>
      </c>
      <c r="O870" s="0">
        <f>INDEX(Journaux!$E$5:$E$18,MATCH("2024|"&amp;A870,Journaux!$A$5:$A$18,0))</f>
      </c>
      <c r="P870" s="0">
        <f>INDEX(Comptes!$H$5:$H$42,MATCH(E870,Comptes!$A$5:$A$42,0))</f>
      </c>
      <c r="Q870" s="0" t="inlineStr">
        <is>
          <t xml:space="preserve">5</t>
        </is>
      </c>
    </row>
    <row r="871">
      <c r="A871" s="4" t="inlineStr">
        <is>
          <t xml:space="preserve">BQ</t>
        </is>
      </c>
      <c r="B871" s="0" t="inlineStr">
        <is>
          <t xml:space="preserve">Banque Fictive</t>
        </is>
      </c>
      <c r="C871" s="0" t="inlineStr">
        <is>
          <t xml:space="preserve">BQ00181</t>
        </is>
      </c>
      <c r="D871" s="10">
        <v>45642</v>
      </c>
      <c r="E871" s="4" t="inlineStr">
        <is>
          <t xml:space="preserve">401000</t>
        </is>
      </c>
      <c r="F871" s="0" t="inlineStr">
        <is>
          <t xml:space="preserve">Fournisseurs</t>
        </is>
      </c>
      <c r="G871" s="0" t="inlineStr">
        <is>
          <t xml:space="preserve">DEC-F002-2024102</t>
        </is>
      </c>
      <c r="H871" s="0" t="inlineStr">
        <is>
          <t xml:space="preserve">Reglement fournisseur Quincaillerie Pro Est F002-2024102</t>
        </is>
      </c>
      <c r="I871" s="8">
        <v>38903.28</v>
      </c>
      <c r="J871" s="8">
        <v>0</v>
      </c>
      <c r="K871" s="0" t="inlineStr">
        <is>
          <t xml:space="preserve">ADQ</t>
        </is>
      </c>
      <c r="L871" s="0" t="inlineStr">
        <is>
          <t xml:space="preserve">Quincaillerie Pro Est</t>
        </is>
      </c>
      <c r="M871" s="8">
        <f>I871-J871</f>
      </c>
      <c r="N871" s="0" t="inlineStr">
        <is>
          <t xml:space="preserve">2024-12</t>
        </is>
      </c>
      <c r="O871" s="0">
        <f>INDEX(Journaux!$E$5:$E$18,MATCH("2024|"&amp;A871,Journaux!$A$5:$A$18,0))</f>
      </c>
      <c r="P871" s="0">
        <f>INDEX(Comptes!$H$5:$H$42,MATCH(E871,Comptes!$A$5:$A$42,0))</f>
      </c>
      <c r="Q871" s="0" t="inlineStr">
        <is>
          <t xml:space="preserve">4</t>
        </is>
      </c>
      <c r="R871" s="7" t="inlineStr">
        <is>
          <t xml:space="preserve">401000|F002</t>
        </is>
      </c>
    </row>
    <row r="872">
      <c r="A872" s="4" t="inlineStr">
        <is>
          <t xml:space="preserve">BQ</t>
        </is>
      </c>
      <c r="B872" s="0" t="inlineStr">
        <is>
          <t xml:space="preserve">Banque Fictive</t>
        </is>
      </c>
      <c r="C872" s="0" t="inlineStr">
        <is>
          <t xml:space="preserve">BQ00181</t>
        </is>
      </c>
      <c r="D872" s="10">
        <v>45642</v>
      </c>
      <c r="E872" s="4" t="inlineStr">
        <is>
          <t xml:space="preserve">512000</t>
        </is>
      </c>
      <c r="F872" s="0" t="inlineStr">
        <is>
          <t xml:space="preserve">Banque Fictive</t>
        </is>
      </c>
      <c r="G872" s="0" t="inlineStr">
        <is>
          <t xml:space="preserve">DEC-F002-2024102</t>
        </is>
      </c>
      <c r="H872" s="0" t="inlineStr">
        <is>
          <t xml:space="preserve">Reglement fournisseur Quincaillerie Pro Est F002-2024102</t>
        </is>
      </c>
      <c r="I872" s="8">
        <v>0</v>
      </c>
      <c r="J872" s="8">
        <v>38903.28</v>
      </c>
      <c r="K872" s="0"/>
      <c r="L872" s="0"/>
      <c r="M872" s="8">
        <f>I872-J872</f>
      </c>
      <c r="N872" s="0" t="inlineStr">
        <is>
          <t xml:space="preserve">2024-12</t>
        </is>
      </c>
      <c r="O872" s="0">
        <f>INDEX(Journaux!$E$5:$E$18,MATCH("2024|"&amp;A872,Journaux!$A$5:$A$18,0))</f>
      </c>
      <c r="P872" s="0">
        <f>INDEX(Comptes!$H$5:$H$42,MATCH(E872,Comptes!$A$5:$A$42,0))</f>
      </c>
      <c r="Q872" s="0" t="inlineStr">
        <is>
          <t xml:space="preserve">5</t>
        </is>
      </c>
    </row>
    <row r="873">
      <c r="A873" s="4" t="inlineStr">
        <is>
          <t xml:space="preserve">BQ</t>
        </is>
      </c>
      <c r="B873" s="0" t="inlineStr">
        <is>
          <t xml:space="preserve">Banque Fictive</t>
        </is>
      </c>
      <c r="C873" s="0" t="inlineStr">
        <is>
          <t xml:space="preserve">BQ00060</t>
        </is>
      </c>
      <c r="D873" s="10">
        <v>45646</v>
      </c>
      <c r="E873" s="4" t="inlineStr">
        <is>
          <t xml:space="preserve">445510</t>
        </is>
      </c>
      <c r="F873" s="0" t="inlineStr">
        <is>
          <t xml:space="preserve">TVA a decaisser</t>
        </is>
      </c>
      <c r="G873" s="0" t="inlineStr">
        <is>
          <t xml:space="preserve">TVA202411</t>
        </is>
      </c>
      <c r="H873" s="0" t="inlineStr">
        <is>
          <t xml:space="preserve">Reglement TVA 11/2024</t>
        </is>
      </c>
      <c r="I873" s="8">
        <v>18810.59</v>
      </c>
      <c r="J873" s="8">
        <v>0</v>
      </c>
      <c r="K873" s="0"/>
      <c r="L873" s="0"/>
      <c r="M873" s="8">
        <f>I873-J873</f>
      </c>
      <c r="N873" s="0" t="inlineStr">
        <is>
          <t xml:space="preserve">2024-12</t>
        </is>
      </c>
      <c r="O873" s="0">
        <f>INDEX(Journaux!$E$5:$E$18,MATCH("2024|"&amp;A873,Journaux!$A$5:$A$18,0))</f>
      </c>
      <c r="P873" s="0">
        <f>INDEX(Comptes!$H$5:$H$42,MATCH(E873,Comptes!$A$5:$A$42,0))</f>
      </c>
      <c r="Q873" s="0" t="inlineStr">
        <is>
          <t xml:space="preserve">4</t>
        </is>
      </c>
    </row>
    <row r="874">
      <c r="A874" s="4" t="inlineStr">
        <is>
          <t xml:space="preserve">BQ</t>
        </is>
      </c>
      <c r="B874" s="0" t="inlineStr">
        <is>
          <t xml:space="preserve">Banque Fictive</t>
        </is>
      </c>
      <c r="C874" s="0" t="inlineStr">
        <is>
          <t xml:space="preserve">BQ00060</t>
        </is>
      </c>
      <c r="D874" s="10">
        <v>45646</v>
      </c>
      <c r="E874" s="4" t="inlineStr">
        <is>
          <t xml:space="preserve">512000</t>
        </is>
      </c>
      <c r="F874" s="0" t="inlineStr">
        <is>
          <t xml:space="preserve">Banque Fictive</t>
        </is>
      </c>
      <c r="G874" s="0" t="inlineStr">
        <is>
          <t xml:space="preserve">TVA202411</t>
        </is>
      </c>
      <c r="H874" s="0" t="inlineStr">
        <is>
          <t xml:space="preserve">Reglement TVA 11/2024</t>
        </is>
      </c>
      <c r="I874" s="8">
        <v>0</v>
      </c>
      <c r="J874" s="8">
        <v>18810.59</v>
      </c>
      <c r="K874" s="0"/>
      <c r="L874" s="0"/>
      <c r="M874" s="8">
        <f>I874-J874</f>
      </c>
      <c r="N874" s="0" t="inlineStr">
        <is>
          <t xml:space="preserve">2024-12</t>
        </is>
      </c>
      <c r="O874" s="0">
        <f>INDEX(Journaux!$E$5:$E$18,MATCH("2024|"&amp;A874,Journaux!$A$5:$A$18,0))</f>
      </c>
      <c r="P874" s="0">
        <f>INDEX(Comptes!$H$5:$H$42,MATCH(E874,Comptes!$A$5:$A$42,0))</f>
      </c>
      <c r="Q874" s="0" t="inlineStr">
        <is>
          <t xml:space="preserve">5</t>
        </is>
      </c>
    </row>
    <row r="875">
      <c r="A875" s="4" t="inlineStr">
        <is>
          <t xml:space="preserve">VT</t>
        </is>
      </c>
      <c r="B875" s="0" t="inlineStr">
        <is>
          <t xml:space="preserve">Journal des ventes</t>
        </is>
      </c>
      <c r="C875" s="0" t="inlineStr">
        <is>
          <t xml:space="preserve">VT00058</t>
        </is>
      </c>
      <c r="D875" s="10">
        <v>45652</v>
      </c>
      <c r="E875" s="4" t="inlineStr">
        <is>
          <t xml:space="preserve">411000</t>
        </is>
      </c>
      <c r="F875" s="0" t="inlineStr">
        <is>
          <t xml:space="preserve">Clients</t>
        </is>
      </c>
      <c r="G875" s="0" t="inlineStr">
        <is>
          <t xml:space="preserve">FA2024-0058</t>
        </is>
      </c>
      <c r="H875" s="0" t="inlineStr">
        <is>
          <t xml:space="preserve">Facture FA2024-0058 Clinique du Parc</t>
        </is>
      </c>
      <c r="I875" s="8">
        <v>26280.64</v>
      </c>
      <c r="J875" s="8">
        <v>0</v>
      </c>
      <c r="K875" s="0"/>
      <c r="L875" s="0" t="inlineStr">
        <is>
          <t xml:space="preserve">Clinique du Parc</t>
        </is>
      </c>
      <c r="M875" s="8">
        <f>I875-J875</f>
      </c>
      <c r="N875" s="0" t="inlineStr">
        <is>
          <t xml:space="preserve">2024-12</t>
        </is>
      </c>
      <c r="O875" s="0">
        <f>INDEX(Journaux!$E$5:$E$18,MATCH("2024|"&amp;A875,Journaux!$A$5:$A$18,0))</f>
      </c>
      <c r="P875" s="0">
        <f>INDEX(Comptes!$H$5:$H$42,MATCH(E875,Comptes!$A$5:$A$42,0))</f>
      </c>
      <c r="Q875" s="0" t="inlineStr">
        <is>
          <t xml:space="preserve">4</t>
        </is>
      </c>
      <c r="R875" s="7" t="inlineStr">
        <is>
          <t xml:space="preserve">411000|C006</t>
        </is>
      </c>
    </row>
    <row r="876">
      <c r="A876" s="4" t="inlineStr">
        <is>
          <t xml:space="preserve">VT</t>
        </is>
      </c>
      <c r="B876" s="0" t="inlineStr">
        <is>
          <t xml:space="preserve">Journal des ventes</t>
        </is>
      </c>
      <c r="C876" s="0" t="inlineStr">
        <is>
          <t xml:space="preserve">VT00058</t>
        </is>
      </c>
      <c r="D876" s="10">
        <v>45652</v>
      </c>
      <c r="E876" s="4" t="inlineStr">
        <is>
          <t xml:space="preserve">701000</t>
        </is>
      </c>
      <c r="F876" s="0" t="inlineStr">
        <is>
          <t xml:space="preserve">Ventes de produits finis</t>
        </is>
      </c>
      <c r="G876" s="0" t="inlineStr">
        <is>
          <t xml:space="preserve">FA2024-0058</t>
        </is>
      </c>
      <c r="H876" s="0" t="inlineStr">
        <is>
          <t xml:space="preserve">Facture FA2024-0058 Clinique du Parc</t>
        </is>
      </c>
      <c r="I876" s="8">
        <v>0</v>
      </c>
      <c r="J876" s="8">
        <v>21900.53</v>
      </c>
      <c r="K876" s="0"/>
      <c r="L876" s="0"/>
      <c r="M876" s="8">
        <f>I876-J876</f>
      </c>
      <c r="N876" s="0" t="inlineStr">
        <is>
          <t xml:space="preserve">2024-12</t>
        </is>
      </c>
      <c r="O876" s="0">
        <f>INDEX(Journaux!$E$5:$E$18,MATCH("2024|"&amp;A876,Journaux!$A$5:$A$18,0))</f>
      </c>
      <c r="P876" s="0">
        <f>INDEX(Comptes!$H$5:$H$42,MATCH(E876,Comptes!$A$5:$A$42,0))</f>
      </c>
      <c r="Q876" s="0" t="inlineStr">
        <is>
          <t xml:space="preserve">7</t>
        </is>
      </c>
    </row>
    <row r="877">
      <c r="A877" s="4" t="inlineStr">
        <is>
          <t xml:space="preserve">VT</t>
        </is>
      </c>
      <c r="B877" s="0" t="inlineStr">
        <is>
          <t xml:space="preserve">Journal des ventes</t>
        </is>
      </c>
      <c r="C877" s="0" t="inlineStr">
        <is>
          <t xml:space="preserve">VT00058</t>
        </is>
      </c>
      <c r="D877" s="10">
        <v>45652</v>
      </c>
      <c r="E877" s="4" t="inlineStr">
        <is>
          <t xml:space="preserve">445710</t>
        </is>
      </c>
      <c r="F877" s="0" t="inlineStr">
        <is>
          <t xml:space="preserve">TVA collectee</t>
        </is>
      </c>
      <c r="G877" s="0" t="inlineStr">
        <is>
          <t xml:space="preserve">FA2024-0058</t>
        </is>
      </c>
      <c r="H877" s="0" t="inlineStr">
        <is>
          <t xml:space="preserve">Facture FA2024-0058 Clinique du Parc</t>
        </is>
      </c>
      <c r="I877" s="8">
        <v>0</v>
      </c>
      <c r="J877" s="8">
        <v>4380.11</v>
      </c>
      <c r="K877" s="0"/>
      <c r="L877" s="0"/>
      <c r="M877" s="8">
        <f>I877-J877</f>
      </c>
      <c r="N877" s="0" t="inlineStr">
        <is>
          <t xml:space="preserve">2024-12</t>
        </is>
      </c>
      <c r="O877" s="0">
        <f>INDEX(Journaux!$E$5:$E$18,MATCH("2024|"&amp;A877,Journaux!$A$5:$A$18,0))</f>
      </c>
      <c r="P877" s="0">
        <f>INDEX(Comptes!$H$5:$H$42,MATCH(E877,Comptes!$A$5:$A$42,0))</f>
      </c>
      <c r="Q877" s="0" t="inlineStr">
        <is>
          <t xml:space="preserve">4</t>
        </is>
      </c>
    </row>
    <row r="878">
      <c r="A878" s="4" t="inlineStr">
        <is>
          <t xml:space="preserve">VT</t>
        </is>
      </c>
      <c r="B878" s="0" t="inlineStr">
        <is>
          <t xml:space="preserve">Journal des ventes</t>
        </is>
      </c>
      <c r="C878" s="0" t="inlineStr">
        <is>
          <t xml:space="preserve">VT00061</t>
        </is>
      </c>
      <c r="D878" s="10">
        <v>45653</v>
      </c>
      <c r="E878" s="4" t="inlineStr">
        <is>
          <t xml:space="preserve">411000</t>
        </is>
      </c>
      <c r="F878" s="0" t="inlineStr">
        <is>
          <t xml:space="preserve">Clients</t>
        </is>
      </c>
      <c r="G878" s="0" t="inlineStr">
        <is>
          <t xml:space="preserve">FA2024-0061</t>
        </is>
      </c>
      <c r="H878" s="0" t="inlineStr">
        <is>
          <t xml:space="preserve">Facture FA2024-0061 Coworking Atelier 9</t>
        </is>
      </c>
      <c r="I878" s="8">
        <v>38178.13</v>
      </c>
      <c r="J878" s="8">
        <v>0</v>
      </c>
      <c r="K878" s="0"/>
      <c r="L878" s="0" t="inlineStr">
        <is>
          <t xml:space="preserve">Coworking Atelier 9</t>
        </is>
      </c>
      <c r="M878" s="8">
        <f>I878-J878</f>
      </c>
      <c r="N878" s="0" t="inlineStr">
        <is>
          <t xml:space="preserve">2024-12</t>
        </is>
      </c>
      <c r="O878" s="0">
        <f>INDEX(Journaux!$E$5:$E$18,MATCH("2024|"&amp;A878,Journaux!$A$5:$A$18,0))</f>
      </c>
      <c r="P878" s="0">
        <f>INDEX(Comptes!$H$5:$H$42,MATCH(E878,Comptes!$A$5:$A$42,0))</f>
      </c>
      <c r="Q878" s="0" t="inlineStr">
        <is>
          <t xml:space="preserve">4</t>
        </is>
      </c>
      <c r="R878" s="7" t="inlineStr">
        <is>
          <t xml:space="preserve">411000|C008</t>
        </is>
      </c>
    </row>
    <row r="879">
      <c r="A879" s="4" t="inlineStr">
        <is>
          <t xml:space="preserve">VT</t>
        </is>
      </c>
      <c r="B879" s="0" t="inlineStr">
        <is>
          <t xml:space="preserve">Journal des ventes</t>
        </is>
      </c>
      <c r="C879" s="0" t="inlineStr">
        <is>
          <t xml:space="preserve">VT00061</t>
        </is>
      </c>
      <c r="D879" s="10">
        <v>45653</v>
      </c>
      <c r="E879" s="4" t="inlineStr">
        <is>
          <t xml:space="preserve">701000</t>
        </is>
      </c>
      <c r="F879" s="0" t="inlineStr">
        <is>
          <t xml:space="preserve">Ventes de produits finis</t>
        </is>
      </c>
      <c r="G879" s="0" t="inlineStr">
        <is>
          <t xml:space="preserve">FA2024-0061</t>
        </is>
      </c>
      <c r="H879" s="0" t="inlineStr">
        <is>
          <t xml:space="preserve">Facture FA2024-0061 Coworking Atelier 9</t>
        </is>
      </c>
      <c r="I879" s="8">
        <v>0</v>
      </c>
      <c r="J879" s="8">
        <v>31815.11</v>
      </c>
      <c r="K879" s="0"/>
      <c r="L879" s="0"/>
      <c r="M879" s="8">
        <f>I879-J879</f>
      </c>
      <c r="N879" s="0" t="inlineStr">
        <is>
          <t xml:space="preserve">2024-12</t>
        </is>
      </c>
      <c r="O879" s="0">
        <f>INDEX(Journaux!$E$5:$E$18,MATCH("2024|"&amp;A879,Journaux!$A$5:$A$18,0))</f>
      </c>
      <c r="P879" s="0">
        <f>INDEX(Comptes!$H$5:$H$42,MATCH(E879,Comptes!$A$5:$A$42,0))</f>
      </c>
      <c r="Q879" s="0" t="inlineStr">
        <is>
          <t xml:space="preserve">7</t>
        </is>
      </c>
    </row>
    <row r="880">
      <c r="A880" s="4" t="inlineStr">
        <is>
          <t xml:space="preserve">VT</t>
        </is>
      </c>
      <c r="B880" s="0" t="inlineStr">
        <is>
          <t xml:space="preserve">Journal des ventes</t>
        </is>
      </c>
      <c r="C880" s="0" t="inlineStr">
        <is>
          <t xml:space="preserve">VT00061</t>
        </is>
      </c>
      <c r="D880" s="10">
        <v>45653</v>
      </c>
      <c r="E880" s="4" t="inlineStr">
        <is>
          <t xml:space="preserve">445710</t>
        </is>
      </c>
      <c r="F880" s="0" t="inlineStr">
        <is>
          <t xml:space="preserve">TVA collectee</t>
        </is>
      </c>
      <c r="G880" s="0" t="inlineStr">
        <is>
          <t xml:space="preserve">FA2024-0061</t>
        </is>
      </c>
      <c r="H880" s="0" t="inlineStr">
        <is>
          <t xml:space="preserve">Facture FA2024-0061 Coworking Atelier 9</t>
        </is>
      </c>
      <c r="I880" s="8">
        <v>0</v>
      </c>
      <c r="J880" s="8">
        <v>6363.02</v>
      </c>
      <c r="K880" s="0"/>
      <c r="L880" s="0"/>
      <c r="M880" s="8">
        <f>I880-J880</f>
      </c>
      <c r="N880" s="0" t="inlineStr">
        <is>
          <t xml:space="preserve">2024-12</t>
        </is>
      </c>
      <c r="O880" s="0">
        <f>INDEX(Journaux!$E$5:$E$18,MATCH("2024|"&amp;A880,Journaux!$A$5:$A$18,0))</f>
      </c>
      <c r="P880" s="0">
        <f>INDEX(Comptes!$H$5:$H$42,MATCH(E880,Comptes!$A$5:$A$42,0))</f>
      </c>
      <c r="Q880" s="0" t="inlineStr">
        <is>
          <t xml:space="preserve">4</t>
        </is>
      </c>
    </row>
    <row r="881">
      <c r="A881" s="4" t="inlineStr">
        <is>
          <t xml:space="preserve">AC</t>
        </is>
      </c>
      <c r="B881" s="0" t="inlineStr">
        <is>
          <t xml:space="preserve">Journal des achats</t>
        </is>
      </c>
      <c r="C881" s="0" t="inlineStr">
        <is>
          <t xml:space="preserve">AC00067</t>
        </is>
      </c>
      <c r="D881" s="10">
        <v>45655</v>
      </c>
      <c r="E881" s="4" t="inlineStr">
        <is>
          <t xml:space="preserve">601000</t>
        </is>
      </c>
      <c r="F881" s="0" t="inlineStr">
        <is>
          <t xml:space="preserve">Achats de matieres premieres</t>
        </is>
      </c>
      <c r="G881" s="0" t="inlineStr">
        <is>
          <t xml:space="preserve">F003-2024121</t>
        </is>
      </c>
      <c r="H881" s="0" t="inlineStr">
        <is>
          <t xml:space="preserve">Facture Vernis et Finitions F003-2024121</t>
        </is>
      </c>
      <c r="I881" s="8">
        <v>28731.16</v>
      </c>
      <c r="J881" s="8">
        <v>0</v>
      </c>
      <c r="K881" s="0"/>
      <c r="L881" s="0"/>
      <c r="M881" s="8">
        <f>I881-J881</f>
      </c>
      <c r="N881" s="0" t="inlineStr">
        <is>
          <t xml:space="preserve">2024-12</t>
        </is>
      </c>
      <c r="O881" s="0">
        <f>INDEX(Journaux!$E$5:$E$18,MATCH("2024|"&amp;A881,Journaux!$A$5:$A$18,0))</f>
      </c>
      <c r="P881" s="0">
        <f>INDEX(Comptes!$H$5:$H$42,MATCH(E881,Comptes!$A$5:$A$42,0))</f>
      </c>
      <c r="Q881" s="0" t="inlineStr">
        <is>
          <t xml:space="preserve">6</t>
        </is>
      </c>
    </row>
    <row r="882">
      <c r="A882" s="4" t="inlineStr">
        <is>
          <t xml:space="preserve">AC</t>
        </is>
      </c>
      <c r="B882" s="0" t="inlineStr">
        <is>
          <t xml:space="preserve">Journal des achats</t>
        </is>
      </c>
      <c r="C882" s="0" t="inlineStr">
        <is>
          <t xml:space="preserve">AC00067</t>
        </is>
      </c>
      <c r="D882" s="10">
        <v>45655</v>
      </c>
      <c r="E882" s="4" t="inlineStr">
        <is>
          <t xml:space="preserve">445660</t>
        </is>
      </c>
      <c r="F882" s="0" t="inlineStr">
        <is>
          <t xml:space="preserve">TVA deductible sur ABS</t>
        </is>
      </c>
      <c r="G882" s="0" t="inlineStr">
        <is>
          <t xml:space="preserve">F003-2024121</t>
        </is>
      </c>
      <c r="H882" s="0" t="inlineStr">
        <is>
          <t xml:space="preserve">Facture Vernis et Finitions F003-2024121</t>
        </is>
      </c>
      <c r="I882" s="8">
        <v>5746.23</v>
      </c>
      <c r="J882" s="8">
        <v>0</v>
      </c>
      <c r="K882" s="0"/>
      <c r="L882" s="0"/>
      <c r="M882" s="8">
        <f>I882-J882</f>
      </c>
      <c r="N882" s="0" t="inlineStr">
        <is>
          <t xml:space="preserve">2024-12</t>
        </is>
      </c>
      <c r="O882" s="0">
        <f>INDEX(Journaux!$E$5:$E$18,MATCH("2024|"&amp;A882,Journaux!$A$5:$A$18,0))</f>
      </c>
      <c r="P882" s="0">
        <f>INDEX(Comptes!$H$5:$H$42,MATCH(E882,Comptes!$A$5:$A$42,0))</f>
      </c>
      <c r="Q882" s="0" t="inlineStr">
        <is>
          <t xml:space="preserve">4</t>
        </is>
      </c>
    </row>
    <row r="883">
      <c r="A883" s="4" t="inlineStr">
        <is>
          <t xml:space="preserve">AC</t>
        </is>
      </c>
      <c r="B883" s="0" t="inlineStr">
        <is>
          <t xml:space="preserve">Journal des achats</t>
        </is>
      </c>
      <c r="C883" s="0" t="inlineStr">
        <is>
          <t xml:space="preserve">AC00067</t>
        </is>
      </c>
      <c r="D883" s="10">
        <v>45655</v>
      </c>
      <c r="E883" s="4" t="inlineStr">
        <is>
          <t xml:space="preserve">401000</t>
        </is>
      </c>
      <c r="F883" s="0" t="inlineStr">
        <is>
          <t xml:space="preserve">Fournisseurs</t>
        </is>
      </c>
      <c r="G883" s="0" t="inlineStr">
        <is>
          <t xml:space="preserve">F003-2024121</t>
        </is>
      </c>
      <c r="H883" s="0" t="inlineStr">
        <is>
          <t xml:space="preserve">Facture Vernis et Finitions F003-2024121</t>
        </is>
      </c>
      <c r="I883" s="8">
        <v>0</v>
      </c>
      <c r="J883" s="8">
        <v>34477.39</v>
      </c>
      <c r="K883" s="0"/>
      <c r="L883" s="0" t="inlineStr">
        <is>
          <t xml:space="preserve">Vernis et Finitions</t>
        </is>
      </c>
      <c r="M883" s="8">
        <f>I883-J883</f>
      </c>
      <c r="N883" s="0" t="inlineStr">
        <is>
          <t xml:space="preserve">2024-12</t>
        </is>
      </c>
      <c r="O883" s="0">
        <f>INDEX(Journaux!$E$5:$E$18,MATCH("2024|"&amp;A883,Journaux!$A$5:$A$18,0))</f>
      </c>
      <c r="P883" s="0">
        <f>INDEX(Comptes!$H$5:$H$42,MATCH(E883,Comptes!$A$5:$A$42,0))</f>
      </c>
      <c r="Q883" s="0" t="inlineStr">
        <is>
          <t xml:space="preserve">4</t>
        </is>
      </c>
      <c r="R883" s="7" t="inlineStr">
        <is>
          <t xml:space="preserve">401000|F003</t>
        </is>
      </c>
    </row>
    <row r="884">
      <c r="A884" s="4" t="inlineStr">
        <is>
          <t xml:space="preserve">BQ</t>
        </is>
      </c>
      <c r="B884" s="0" t="inlineStr">
        <is>
          <t xml:space="preserve">Banque Fictive</t>
        </is>
      </c>
      <c r="C884" s="0" t="inlineStr">
        <is>
          <t xml:space="preserve">BQ00186</t>
        </is>
      </c>
      <c r="D884" s="10">
        <v>45656</v>
      </c>
      <c r="E884" s="4" t="inlineStr">
        <is>
          <t xml:space="preserve">401000</t>
        </is>
      </c>
      <c r="F884" s="0" t="inlineStr">
        <is>
          <t xml:space="preserve">Fournisseurs</t>
        </is>
      </c>
      <c r="G884" s="0" t="inlineStr">
        <is>
          <t xml:space="preserve">DEC-F002-2024112</t>
        </is>
      </c>
      <c r="H884" s="0" t="inlineStr">
        <is>
          <t xml:space="preserve">Reglement fournisseur Quincaillerie Pro Est F002-2024112</t>
        </is>
      </c>
      <c r="I884" s="8">
        <v>39809.99</v>
      </c>
      <c r="J884" s="8">
        <v>0</v>
      </c>
      <c r="K884" s="0" t="inlineStr">
        <is>
          <t xml:space="preserve">ADV</t>
        </is>
      </c>
      <c r="L884" s="0" t="inlineStr">
        <is>
          <t xml:space="preserve">Quincaillerie Pro Est</t>
        </is>
      </c>
      <c r="M884" s="8">
        <f>I884-J884</f>
      </c>
      <c r="N884" s="0" t="inlineStr">
        <is>
          <t xml:space="preserve">2024-12</t>
        </is>
      </c>
      <c r="O884" s="0">
        <f>INDEX(Journaux!$E$5:$E$18,MATCH("2024|"&amp;A884,Journaux!$A$5:$A$18,0))</f>
      </c>
      <c r="P884" s="0">
        <f>INDEX(Comptes!$H$5:$H$42,MATCH(E884,Comptes!$A$5:$A$42,0))</f>
      </c>
      <c r="Q884" s="0" t="inlineStr">
        <is>
          <t xml:space="preserve">4</t>
        </is>
      </c>
      <c r="R884" s="7" t="inlineStr">
        <is>
          <t xml:space="preserve">401000|F002</t>
        </is>
      </c>
    </row>
    <row r="885">
      <c r="A885" s="4" t="inlineStr">
        <is>
          <t xml:space="preserve">BQ</t>
        </is>
      </c>
      <c r="B885" s="0" t="inlineStr">
        <is>
          <t xml:space="preserve">Banque Fictive</t>
        </is>
      </c>
      <c r="C885" s="0" t="inlineStr">
        <is>
          <t xml:space="preserve">BQ00186</t>
        </is>
      </c>
      <c r="D885" s="10">
        <v>45656</v>
      </c>
      <c r="E885" s="4" t="inlineStr">
        <is>
          <t xml:space="preserve">512000</t>
        </is>
      </c>
      <c r="F885" s="0" t="inlineStr">
        <is>
          <t xml:space="preserve">Banque Fictive</t>
        </is>
      </c>
      <c r="G885" s="0" t="inlineStr">
        <is>
          <t xml:space="preserve">DEC-F002-2024112</t>
        </is>
      </c>
      <c r="H885" s="0" t="inlineStr">
        <is>
          <t xml:space="preserve">Reglement fournisseur Quincaillerie Pro Est F002-2024112</t>
        </is>
      </c>
      <c r="I885" s="8">
        <v>0</v>
      </c>
      <c r="J885" s="8">
        <v>39809.99</v>
      </c>
      <c r="K885" s="0"/>
      <c r="L885" s="0"/>
      <c r="M885" s="8">
        <f>I885-J885</f>
      </c>
      <c r="N885" s="0" t="inlineStr">
        <is>
          <t xml:space="preserve">2024-12</t>
        </is>
      </c>
      <c r="O885" s="0">
        <f>INDEX(Journaux!$E$5:$E$18,MATCH("2024|"&amp;A885,Journaux!$A$5:$A$18,0))</f>
      </c>
      <c r="P885" s="0">
        <f>INDEX(Comptes!$H$5:$H$42,MATCH(E885,Comptes!$A$5:$A$42,0))</f>
      </c>
      <c r="Q885" s="0" t="inlineStr">
        <is>
          <t xml:space="preserve">5</t>
        </is>
      </c>
    </row>
    <row r="886">
      <c r="A886" s="4" t="inlineStr">
        <is>
          <t xml:space="preserve">BQ</t>
        </is>
      </c>
      <c r="B886" s="0" t="inlineStr">
        <is>
          <t xml:space="preserve">Banque Fictive</t>
        </is>
      </c>
      <c r="C886" s="0" t="inlineStr">
        <is>
          <t xml:space="preserve">BQ00034</t>
        </is>
      </c>
      <c r="D886" s="10">
        <v>45657</v>
      </c>
      <c r="E886" s="4" t="inlineStr">
        <is>
          <t xml:space="preserve">421000</t>
        </is>
      </c>
      <c r="F886" s="0" t="inlineStr">
        <is>
          <t xml:space="preserve">Personnel remunerations dues</t>
        </is>
      </c>
      <c r="G886" s="0" t="inlineStr">
        <is>
          <t xml:space="preserve">VIRSAL202412</t>
        </is>
      </c>
      <c r="H886" s="0" t="inlineStr">
        <is>
          <t xml:space="preserve">Virement salaires 12/2024</t>
        </is>
      </c>
      <c r="I886" s="8">
        <v>40575.26</v>
      </c>
      <c r="J886" s="8">
        <v>0</v>
      </c>
      <c r="K886" s="0"/>
      <c r="L886" s="0"/>
      <c r="M886" s="8">
        <f>I886-J886</f>
      </c>
      <c r="N886" s="0" t="inlineStr">
        <is>
          <t xml:space="preserve">2024-12</t>
        </is>
      </c>
      <c r="O886" s="0">
        <f>INDEX(Journaux!$E$5:$E$18,MATCH("2024|"&amp;A886,Journaux!$A$5:$A$18,0))</f>
      </c>
      <c r="P886" s="0">
        <f>INDEX(Comptes!$H$5:$H$42,MATCH(E886,Comptes!$A$5:$A$42,0))</f>
      </c>
      <c r="Q886" s="0" t="inlineStr">
        <is>
          <t xml:space="preserve">4</t>
        </is>
      </c>
    </row>
    <row r="887">
      <c r="A887" s="4" t="inlineStr">
        <is>
          <t xml:space="preserve">BQ</t>
        </is>
      </c>
      <c r="B887" s="0" t="inlineStr">
        <is>
          <t xml:space="preserve">Banque Fictive</t>
        </is>
      </c>
      <c r="C887" s="0" t="inlineStr">
        <is>
          <t xml:space="preserve">BQ00034</t>
        </is>
      </c>
      <c r="D887" s="10">
        <v>45657</v>
      </c>
      <c r="E887" s="4" t="inlineStr">
        <is>
          <t xml:space="preserve">512000</t>
        </is>
      </c>
      <c r="F887" s="0" t="inlineStr">
        <is>
          <t xml:space="preserve">Banque Fictive</t>
        </is>
      </c>
      <c r="G887" s="0" t="inlineStr">
        <is>
          <t xml:space="preserve">VIRSAL202412</t>
        </is>
      </c>
      <c r="H887" s="0" t="inlineStr">
        <is>
          <t xml:space="preserve">Virement salaires 12/2024</t>
        </is>
      </c>
      <c r="I887" s="8">
        <v>0</v>
      </c>
      <c r="J887" s="8">
        <v>40575.26</v>
      </c>
      <c r="K887" s="0"/>
      <c r="L887" s="0"/>
      <c r="M887" s="8">
        <f>I887-J887</f>
      </c>
      <c r="N887" s="0" t="inlineStr">
        <is>
          <t xml:space="preserve">2024-12</t>
        </is>
      </c>
      <c r="O887" s="0">
        <f>INDEX(Journaux!$E$5:$E$18,MATCH("2024|"&amp;A887,Journaux!$A$5:$A$18,0))</f>
      </c>
      <c r="P887" s="0">
        <f>INDEX(Comptes!$H$5:$H$42,MATCH(E887,Comptes!$A$5:$A$42,0))</f>
      </c>
      <c r="Q887" s="0" t="inlineStr">
        <is>
          <t xml:space="preserve">5</t>
        </is>
      </c>
    </row>
    <row r="888">
      <c r="A888" s="4" t="inlineStr">
        <is>
          <t xml:space="preserve">BQ</t>
        </is>
      </c>
      <c r="B888" s="0" t="inlineStr">
        <is>
          <t xml:space="preserve">Banque Fictive</t>
        </is>
      </c>
      <c r="C888" s="0" t="inlineStr">
        <is>
          <t xml:space="preserve">BQ00036</t>
        </is>
      </c>
      <c r="D888" s="10">
        <v>45657</v>
      </c>
      <c r="E888" s="4" t="inlineStr">
        <is>
          <t xml:space="preserve">627000</t>
        </is>
      </c>
      <c r="F888" s="0" t="inlineStr">
        <is>
          <t xml:space="preserve">Services bancaires</t>
        </is>
      </c>
      <c r="G888" s="0" t="inlineStr">
        <is>
          <t xml:space="preserve">FRB202412</t>
        </is>
      </c>
      <c r="H888" s="0" t="inlineStr">
        <is>
          <t xml:space="preserve">Frais bancaires 12/2024</t>
        </is>
      </c>
      <c r="I888" s="8">
        <v>85</v>
      </c>
      <c r="J888" s="8">
        <v>0</v>
      </c>
      <c r="K888" s="0"/>
      <c r="L888" s="0"/>
      <c r="M888" s="8">
        <f>I888-J888</f>
      </c>
      <c r="N888" s="0" t="inlineStr">
        <is>
          <t xml:space="preserve">2024-12</t>
        </is>
      </c>
      <c r="O888" s="0">
        <f>INDEX(Journaux!$E$5:$E$18,MATCH("2024|"&amp;A888,Journaux!$A$5:$A$18,0))</f>
      </c>
      <c r="P888" s="0">
        <f>INDEX(Comptes!$H$5:$H$42,MATCH(E888,Comptes!$A$5:$A$42,0))</f>
      </c>
      <c r="Q888" s="0" t="inlineStr">
        <is>
          <t xml:space="preserve">6</t>
        </is>
      </c>
    </row>
    <row r="889">
      <c r="A889" s="4" t="inlineStr">
        <is>
          <t xml:space="preserve">BQ</t>
        </is>
      </c>
      <c r="B889" s="0" t="inlineStr">
        <is>
          <t xml:space="preserve">Banque Fictive</t>
        </is>
      </c>
      <c r="C889" s="0" t="inlineStr">
        <is>
          <t xml:space="preserve">BQ00036</t>
        </is>
      </c>
      <c r="D889" s="10">
        <v>45657</v>
      </c>
      <c r="E889" s="4" t="inlineStr">
        <is>
          <t xml:space="preserve">512000</t>
        </is>
      </c>
      <c r="F889" s="0" t="inlineStr">
        <is>
          <t xml:space="preserve">Banque Fictive</t>
        </is>
      </c>
      <c r="G889" s="0" t="inlineStr">
        <is>
          <t xml:space="preserve">FRB202412</t>
        </is>
      </c>
      <c r="H889" s="0" t="inlineStr">
        <is>
          <t xml:space="preserve">Frais bancaires 12/2024</t>
        </is>
      </c>
      <c r="I889" s="8">
        <v>0</v>
      </c>
      <c r="J889" s="8">
        <v>85</v>
      </c>
      <c r="K889" s="0"/>
      <c r="L889" s="0"/>
      <c r="M889" s="8">
        <f>I889-J889</f>
      </c>
      <c r="N889" s="0" t="inlineStr">
        <is>
          <t xml:space="preserve">2024-12</t>
        </is>
      </c>
      <c r="O889" s="0">
        <f>INDEX(Journaux!$E$5:$E$18,MATCH("2024|"&amp;A889,Journaux!$A$5:$A$18,0))</f>
      </c>
      <c r="P889" s="0">
        <f>INDEX(Comptes!$H$5:$H$42,MATCH(E889,Comptes!$A$5:$A$42,0))</f>
      </c>
      <c r="Q889" s="0" t="inlineStr">
        <is>
          <t xml:space="preserve">5</t>
        </is>
      </c>
    </row>
    <row r="890">
      <c r="A890" s="4" t="inlineStr">
        <is>
          <t xml:space="preserve">BQ</t>
        </is>
      </c>
      <c r="B890" s="0" t="inlineStr">
        <is>
          <t xml:space="preserve">Banque Fictive</t>
        </is>
      </c>
      <c r="C890" s="0" t="inlineStr">
        <is>
          <t xml:space="preserve">BQ00119</t>
        </is>
      </c>
      <c r="D890" s="10">
        <v>45657</v>
      </c>
      <c r="E890" s="4" t="inlineStr">
        <is>
          <t xml:space="preserve">512000</t>
        </is>
      </c>
      <c r="F890" s="0" t="inlineStr">
        <is>
          <t xml:space="preserve">Banque Fictive</t>
        </is>
      </c>
      <c r="G890" s="0" t="inlineStr">
        <is>
          <t xml:space="preserve">ENC-FA2024-0056</t>
        </is>
      </c>
      <c r="H890" s="0" t="inlineStr">
        <is>
          <t xml:space="preserve">Reglement client Clinique du Parc FA2024-0056</t>
        </is>
      </c>
      <c r="I890" s="8">
        <v>37139.6</v>
      </c>
      <c r="J890" s="8">
        <v>0</v>
      </c>
      <c r="K890" s="0"/>
      <c r="L890" s="0"/>
      <c r="M890" s="8">
        <f>I890-J890</f>
      </c>
      <c r="N890" s="0" t="inlineStr">
        <is>
          <t xml:space="preserve">2024-12</t>
        </is>
      </c>
      <c r="O890" s="0">
        <f>INDEX(Journaux!$E$5:$E$18,MATCH("2024|"&amp;A890,Journaux!$A$5:$A$18,0))</f>
      </c>
      <c r="P890" s="0">
        <f>INDEX(Comptes!$H$5:$H$42,MATCH(E890,Comptes!$A$5:$A$42,0))</f>
      </c>
      <c r="Q890" s="0" t="inlineStr">
        <is>
          <t xml:space="preserve">5</t>
        </is>
      </c>
    </row>
    <row r="891">
      <c r="A891" s="4" t="inlineStr">
        <is>
          <t xml:space="preserve">BQ</t>
        </is>
      </c>
      <c r="B891" s="0" t="inlineStr">
        <is>
          <t xml:space="preserve">Banque Fictive</t>
        </is>
      </c>
      <c r="C891" s="0" t="inlineStr">
        <is>
          <t xml:space="preserve">BQ00119</t>
        </is>
      </c>
      <c r="D891" s="10">
        <v>45657</v>
      </c>
      <c r="E891" s="4" t="inlineStr">
        <is>
          <t xml:space="preserve">411000</t>
        </is>
      </c>
      <c r="F891" s="0" t="inlineStr">
        <is>
          <t xml:space="preserve">Clients</t>
        </is>
      </c>
      <c r="G891" s="0" t="inlineStr">
        <is>
          <t xml:space="preserve">ENC-FA2024-0056</t>
        </is>
      </c>
      <c r="H891" s="0" t="inlineStr">
        <is>
          <t xml:space="preserve">Reglement client Clinique du Parc FA2024-0056</t>
        </is>
      </c>
      <c r="I891" s="8">
        <v>0</v>
      </c>
      <c r="J891" s="8">
        <v>37139.6</v>
      </c>
      <c r="K891" s="0" t="inlineStr">
        <is>
          <t xml:space="preserve">ABG</t>
        </is>
      </c>
      <c r="L891" s="0" t="inlineStr">
        <is>
          <t xml:space="preserve">Clinique du Parc</t>
        </is>
      </c>
      <c r="M891" s="8">
        <f>I891-J891</f>
      </c>
      <c r="N891" s="0" t="inlineStr">
        <is>
          <t xml:space="preserve">2024-12</t>
        </is>
      </c>
      <c r="O891" s="0">
        <f>INDEX(Journaux!$E$5:$E$18,MATCH("2024|"&amp;A891,Journaux!$A$5:$A$18,0))</f>
      </c>
      <c r="P891" s="0">
        <f>INDEX(Comptes!$H$5:$H$42,MATCH(E891,Comptes!$A$5:$A$42,0))</f>
      </c>
      <c r="Q891" s="0" t="inlineStr">
        <is>
          <t xml:space="preserve">4</t>
        </is>
      </c>
      <c r="R891" s="7" t="inlineStr">
        <is>
          <t xml:space="preserve">411000|C006</t>
        </is>
      </c>
    </row>
    <row r="892">
      <c r="A892" s="4" t="inlineStr">
        <is>
          <t xml:space="preserve">INV</t>
        </is>
      </c>
      <c r="B892" s="0" t="inlineStr">
        <is>
          <t xml:space="preserve">Inventaire</t>
        </is>
      </c>
      <c r="C892" s="0" t="inlineStr">
        <is>
          <t xml:space="preserve">INV00001</t>
        </is>
      </c>
      <c r="D892" s="10">
        <v>45657</v>
      </c>
      <c r="E892" s="4" t="inlineStr">
        <is>
          <t xml:space="preserve">603100</t>
        </is>
      </c>
      <c r="F892" s="0" t="inlineStr">
        <is>
          <t xml:space="preserve">Variation des stocks de matieres premieres</t>
        </is>
      </c>
      <c r="G892" s="0" t="inlineStr">
        <is>
          <t xml:space="preserve">INV2024-1</t>
        </is>
      </c>
      <c r="H892" s="0" t="inlineStr">
        <is>
          <t xml:space="preserve">Annulation stock initial 2024</t>
        </is>
      </c>
      <c r="I892" s="8">
        <v>45000</v>
      </c>
      <c r="J892" s="8">
        <v>0</v>
      </c>
      <c r="K892" s="0"/>
      <c r="L892" s="0"/>
      <c r="M892" s="8">
        <f>I892-J892</f>
      </c>
      <c r="N892" s="0" t="inlineStr">
        <is>
          <t xml:space="preserve">2024-12</t>
        </is>
      </c>
      <c r="O892" s="0">
        <f>INDEX(Journaux!$E$5:$E$18,MATCH("2024|"&amp;A892,Journaux!$A$5:$A$18,0))</f>
      </c>
      <c r="P892" s="0">
        <f>INDEX(Comptes!$H$5:$H$42,MATCH(E892,Comptes!$A$5:$A$42,0))</f>
      </c>
      <c r="Q892" s="0" t="inlineStr">
        <is>
          <t xml:space="preserve">6</t>
        </is>
      </c>
    </row>
    <row r="893">
      <c r="A893" s="4" t="inlineStr">
        <is>
          <t xml:space="preserve">INV</t>
        </is>
      </c>
      <c r="B893" s="0" t="inlineStr">
        <is>
          <t xml:space="preserve">Inventaire</t>
        </is>
      </c>
      <c r="C893" s="0" t="inlineStr">
        <is>
          <t xml:space="preserve">INV00001</t>
        </is>
      </c>
      <c r="D893" s="10">
        <v>45657</v>
      </c>
      <c r="E893" s="4" t="inlineStr">
        <is>
          <t xml:space="preserve">310000</t>
        </is>
      </c>
      <c r="F893" s="0" t="inlineStr">
        <is>
          <t xml:space="preserve">Stocks de matieres premieres</t>
        </is>
      </c>
      <c r="G893" s="0" t="inlineStr">
        <is>
          <t xml:space="preserve">INV2024-1</t>
        </is>
      </c>
      <c r="H893" s="0" t="inlineStr">
        <is>
          <t xml:space="preserve">Annulation stock initial 2024</t>
        </is>
      </c>
      <c r="I893" s="8">
        <v>0</v>
      </c>
      <c r="J893" s="8">
        <v>45000</v>
      </c>
      <c r="K893" s="0"/>
      <c r="L893" s="0"/>
      <c r="M893" s="8">
        <f>I893-J893</f>
      </c>
      <c r="N893" s="0" t="inlineStr">
        <is>
          <t xml:space="preserve">2024-12</t>
        </is>
      </c>
      <c r="O893" s="0">
        <f>INDEX(Journaux!$E$5:$E$18,MATCH("2024|"&amp;A893,Journaux!$A$5:$A$18,0))</f>
      </c>
      <c r="P893" s="0">
        <f>INDEX(Comptes!$H$5:$H$42,MATCH(E893,Comptes!$A$5:$A$42,0))</f>
      </c>
      <c r="Q893" s="0" t="inlineStr">
        <is>
          <t xml:space="preserve">3</t>
        </is>
      </c>
    </row>
    <row r="894">
      <c r="A894" s="4" t="inlineStr">
        <is>
          <t xml:space="preserve">INV</t>
        </is>
      </c>
      <c r="B894" s="0" t="inlineStr">
        <is>
          <t xml:space="preserve">Inventaire</t>
        </is>
      </c>
      <c r="C894" s="0" t="inlineStr">
        <is>
          <t xml:space="preserve">INV00002</t>
        </is>
      </c>
      <c r="D894" s="10">
        <v>45657</v>
      </c>
      <c r="E894" s="4" t="inlineStr">
        <is>
          <t xml:space="preserve">310000</t>
        </is>
      </c>
      <c r="F894" s="0" t="inlineStr">
        <is>
          <t xml:space="preserve">Stocks de matieres premieres</t>
        </is>
      </c>
      <c r="G894" s="0" t="inlineStr">
        <is>
          <t xml:space="preserve">INV2024-2</t>
        </is>
      </c>
      <c r="H894" s="0" t="inlineStr">
        <is>
          <t xml:space="preserve">Stock final au 31/12/2024</t>
        </is>
      </c>
      <c r="I894" s="8">
        <v>52000</v>
      </c>
      <c r="J894" s="8">
        <v>0</v>
      </c>
      <c r="K894" s="0"/>
      <c r="L894" s="0"/>
      <c r="M894" s="8">
        <f>I894-J894</f>
      </c>
      <c r="N894" s="0" t="inlineStr">
        <is>
          <t xml:space="preserve">2024-12</t>
        </is>
      </c>
      <c r="O894" s="0">
        <f>INDEX(Journaux!$E$5:$E$18,MATCH("2024|"&amp;A894,Journaux!$A$5:$A$18,0))</f>
      </c>
      <c r="P894" s="0">
        <f>INDEX(Comptes!$H$5:$H$42,MATCH(E894,Comptes!$A$5:$A$42,0))</f>
      </c>
      <c r="Q894" s="0" t="inlineStr">
        <is>
          <t xml:space="preserve">3</t>
        </is>
      </c>
    </row>
    <row r="895">
      <c r="A895" s="4" t="inlineStr">
        <is>
          <t xml:space="preserve">INV</t>
        </is>
      </c>
      <c r="B895" s="0" t="inlineStr">
        <is>
          <t xml:space="preserve">Inventaire</t>
        </is>
      </c>
      <c r="C895" s="0" t="inlineStr">
        <is>
          <t xml:space="preserve">INV00002</t>
        </is>
      </c>
      <c r="D895" s="10">
        <v>45657</v>
      </c>
      <c r="E895" s="4" t="inlineStr">
        <is>
          <t xml:space="preserve">603100</t>
        </is>
      </c>
      <c r="F895" s="0" t="inlineStr">
        <is>
          <t xml:space="preserve">Variation des stocks de matieres premieres</t>
        </is>
      </c>
      <c r="G895" s="0" t="inlineStr">
        <is>
          <t xml:space="preserve">INV2024-2</t>
        </is>
      </c>
      <c r="H895" s="0" t="inlineStr">
        <is>
          <t xml:space="preserve">Stock final au 31/12/2024</t>
        </is>
      </c>
      <c r="I895" s="8">
        <v>0</v>
      </c>
      <c r="J895" s="8">
        <v>52000</v>
      </c>
      <c r="K895" s="0"/>
      <c r="L895" s="0"/>
      <c r="M895" s="8">
        <f>I895-J895</f>
      </c>
      <c r="N895" s="0" t="inlineStr">
        <is>
          <t xml:space="preserve">2024-12</t>
        </is>
      </c>
      <c r="O895" s="0">
        <f>INDEX(Journaux!$E$5:$E$18,MATCH("2024|"&amp;A895,Journaux!$A$5:$A$18,0))</f>
      </c>
      <c r="P895" s="0">
        <f>INDEX(Comptes!$H$5:$H$42,MATCH(E895,Comptes!$A$5:$A$42,0))</f>
      </c>
      <c r="Q895" s="0" t="inlineStr">
        <is>
          <t xml:space="preserve">6</t>
        </is>
      </c>
    </row>
    <row r="896">
      <c r="A896" s="4" t="inlineStr">
        <is>
          <t xml:space="preserve">OD</t>
        </is>
      </c>
      <c r="B896" s="0" t="inlineStr">
        <is>
          <t xml:space="preserve">Operations diverses</t>
        </is>
      </c>
      <c r="C896" s="0" t="inlineStr">
        <is>
          <t xml:space="preserve">OD00012</t>
        </is>
      </c>
      <c r="D896" s="10">
        <v>45657</v>
      </c>
      <c r="E896" s="4" t="inlineStr">
        <is>
          <t xml:space="preserve">445710</t>
        </is>
      </c>
      <c r="F896" s="0" t="inlineStr">
        <is>
          <t xml:space="preserve">TVA collectee</t>
        </is>
      </c>
      <c r="G896" s="0" t="inlineStr">
        <is>
          <t xml:space="preserve">CA3-202412</t>
        </is>
      </c>
      <c r="H896" s="0" t="inlineStr">
        <is>
          <t xml:space="preserve">Declaration TVA 12/2024</t>
        </is>
      </c>
      <c r="I896" s="8">
        <v>31666.67</v>
      </c>
      <c r="J896" s="8">
        <v>0</v>
      </c>
      <c r="K896" s="0"/>
      <c r="L896" s="0"/>
      <c r="M896" s="8">
        <f>I896-J896</f>
      </c>
      <c r="N896" s="0" t="inlineStr">
        <is>
          <t xml:space="preserve">2024-12</t>
        </is>
      </c>
      <c r="O896" s="0">
        <f>INDEX(Journaux!$E$5:$E$18,MATCH("2024|"&amp;A896,Journaux!$A$5:$A$18,0))</f>
      </c>
      <c r="P896" s="0">
        <f>INDEX(Comptes!$H$5:$H$42,MATCH(E896,Comptes!$A$5:$A$42,0))</f>
      </c>
      <c r="Q896" s="0" t="inlineStr">
        <is>
          <t xml:space="preserve">4</t>
        </is>
      </c>
    </row>
    <row r="897">
      <c r="A897" s="4" t="inlineStr">
        <is>
          <t xml:space="preserve">OD</t>
        </is>
      </c>
      <c r="B897" s="0" t="inlineStr">
        <is>
          <t xml:space="preserve">Operations diverses</t>
        </is>
      </c>
      <c r="C897" s="0" t="inlineStr">
        <is>
          <t xml:space="preserve">OD00012</t>
        </is>
      </c>
      <c r="D897" s="10">
        <v>45657</v>
      </c>
      <c r="E897" s="4" t="inlineStr">
        <is>
          <t xml:space="preserve">445660</t>
        </is>
      </c>
      <c r="F897" s="0" t="inlineStr">
        <is>
          <t xml:space="preserve">TVA deductible sur ABS</t>
        </is>
      </c>
      <c r="G897" s="0" t="inlineStr">
        <is>
          <t xml:space="preserve">CA3-202412</t>
        </is>
      </c>
      <c r="H897" s="0" t="inlineStr">
        <is>
          <t xml:space="preserve">Declaration TVA 12/2024</t>
        </is>
      </c>
      <c r="I897" s="8">
        <v>0</v>
      </c>
      <c r="J897" s="8">
        <v>16870.81</v>
      </c>
      <c r="K897" s="0"/>
      <c r="L897" s="0"/>
      <c r="M897" s="8">
        <f>I897-J897</f>
      </c>
      <c r="N897" s="0" t="inlineStr">
        <is>
          <t xml:space="preserve">2024-12</t>
        </is>
      </c>
      <c r="O897" s="0">
        <f>INDEX(Journaux!$E$5:$E$18,MATCH("2024|"&amp;A897,Journaux!$A$5:$A$18,0))</f>
      </c>
      <c r="P897" s="0">
        <f>INDEX(Comptes!$H$5:$H$42,MATCH(E897,Comptes!$A$5:$A$42,0))</f>
      </c>
      <c r="Q897" s="0" t="inlineStr">
        <is>
          <t xml:space="preserve">4</t>
        </is>
      </c>
    </row>
    <row r="898">
      <c r="A898" s="4" t="inlineStr">
        <is>
          <t xml:space="preserve">OD</t>
        </is>
      </c>
      <c r="B898" s="0" t="inlineStr">
        <is>
          <t xml:space="preserve">Operations diverses</t>
        </is>
      </c>
      <c r="C898" s="0" t="inlineStr">
        <is>
          <t xml:space="preserve">OD00012</t>
        </is>
      </c>
      <c r="D898" s="10">
        <v>45657</v>
      </c>
      <c r="E898" s="4" t="inlineStr">
        <is>
          <t xml:space="preserve">445510</t>
        </is>
      </c>
      <c r="F898" s="0" t="inlineStr">
        <is>
          <t xml:space="preserve">TVA a decaisser</t>
        </is>
      </c>
      <c r="G898" s="0" t="inlineStr">
        <is>
          <t xml:space="preserve">CA3-202412</t>
        </is>
      </c>
      <c r="H898" s="0" t="inlineStr">
        <is>
          <t xml:space="preserve">Declaration TVA 12/2024</t>
        </is>
      </c>
      <c r="I898" s="8">
        <v>0</v>
      </c>
      <c r="J898" s="8">
        <v>14795.86</v>
      </c>
      <c r="K898" s="0"/>
      <c r="L898" s="0"/>
      <c r="M898" s="8">
        <f>I898-J898</f>
      </c>
      <c r="N898" s="0" t="inlineStr">
        <is>
          <t xml:space="preserve">2024-12</t>
        </is>
      </c>
      <c r="O898" s="0">
        <f>INDEX(Journaux!$E$5:$E$18,MATCH("2024|"&amp;A898,Journaux!$A$5:$A$18,0))</f>
      </c>
      <c r="P898" s="0">
        <f>INDEX(Comptes!$H$5:$H$42,MATCH(E898,Comptes!$A$5:$A$42,0))</f>
      </c>
      <c r="Q898" s="0" t="inlineStr">
        <is>
          <t xml:space="preserve">4</t>
        </is>
      </c>
    </row>
    <row r="899">
      <c r="A899" s="4" t="inlineStr">
        <is>
          <t xml:space="preserve">OD</t>
        </is>
      </c>
      <c r="B899" s="0" t="inlineStr">
        <is>
          <t xml:space="preserve">Operations diverses</t>
        </is>
      </c>
      <c r="C899" s="0" t="inlineStr">
        <is>
          <t xml:space="preserve">OD00013</t>
        </is>
      </c>
      <c r="D899" s="10">
        <v>45657</v>
      </c>
      <c r="E899" s="4" t="inlineStr">
        <is>
          <t xml:space="preserve">681120</t>
        </is>
      </c>
      <c r="F899" s="0" t="inlineStr">
        <is>
          <t xml:space="preserve">Dotations aux amortissements des immobilisations corporelles</t>
        </is>
      </c>
      <c r="G899" s="0" t="inlineStr">
        <is>
          <t xml:space="preserve">DAP2024</t>
        </is>
      </c>
      <c r="H899" s="0" t="inlineStr">
        <is>
          <t xml:space="preserve">Dotations aux amortissements 2024</t>
        </is>
      </c>
      <c r="I899" s="8">
        <v>23000</v>
      </c>
      <c r="J899" s="8">
        <v>0</v>
      </c>
      <c r="K899" s="0"/>
      <c r="L899" s="0"/>
      <c r="M899" s="8">
        <f>I899-J899</f>
      </c>
      <c r="N899" s="0" t="inlineStr">
        <is>
          <t xml:space="preserve">2024-12</t>
        </is>
      </c>
      <c r="O899" s="0">
        <f>INDEX(Journaux!$E$5:$E$18,MATCH("2024|"&amp;A899,Journaux!$A$5:$A$18,0))</f>
      </c>
      <c r="P899" s="0">
        <f>INDEX(Comptes!$H$5:$H$42,MATCH(E899,Comptes!$A$5:$A$42,0))</f>
      </c>
      <c r="Q899" s="0" t="inlineStr">
        <is>
          <t xml:space="preserve">6</t>
        </is>
      </c>
    </row>
    <row r="900">
      <c r="A900" s="4" t="inlineStr">
        <is>
          <t xml:space="preserve">OD</t>
        </is>
      </c>
      <c r="B900" s="0" t="inlineStr">
        <is>
          <t xml:space="preserve">Operations diverses</t>
        </is>
      </c>
      <c r="C900" s="0" t="inlineStr">
        <is>
          <t xml:space="preserve">OD00013</t>
        </is>
      </c>
      <c r="D900" s="10">
        <v>45657</v>
      </c>
      <c r="E900" s="4" t="inlineStr">
        <is>
          <t xml:space="preserve">281540</t>
        </is>
      </c>
      <c r="F900" s="0" t="inlineStr">
        <is>
          <t xml:space="preserve">Amortissements materiel industriel</t>
        </is>
      </c>
      <c r="G900" s="0" t="inlineStr">
        <is>
          <t xml:space="preserve">DAP2024</t>
        </is>
      </c>
      <c r="H900" s="0" t="inlineStr">
        <is>
          <t xml:space="preserve">Dotations aux amortissements 2024</t>
        </is>
      </c>
      <c r="I900" s="8">
        <v>0</v>
      </c>
      <c r="J900" s="8">
        <v>18000</v>
      </c>
      <c r="K900" s="0"/>
      <c r="L900" s="0"/>
      <c r="M900" s="8">
        <f>I900-J900</f>
      </c>
      <c r="N900" s="0" t="inlineStr">
        <is>
          <t xml:space="preserve">2024-12</t>
        </is>
      </c>
      <c r="O900" s="0">
        <f>INDEX(Journaux!$E$5:$E$18,MATCH("2024|"&amp;A900,Journaux!$A$5:$A$18,0))</f>
      </c>
      <c r="P900" s="0">
        <f>INDEX(Comptes!$H$5:$H$42,MATCH(E900,Comptes!$A$5:$A$42,0))</f>
      </c>
      <c r="Q900" s="0" t="inlineStr">
        <is>
          <t xml:space="preserve">2</t>
        </is>
      </c>
    </row>
    <row r="901">
      <c r="A901" s="4" t="inlineStr">
        <is>
          <t xml:space="preserve">OD</t>
        </is>
      </c>
      <c r="B901" s="0" t="inlineStr">
        <is>
          <t xml:space="preserve">Operations diverses</t>
        </is>
      </c>
      <c r="C901" s="0" t="inlineStr">
        <is>
          <t xml:space="preserve">OD00013</t>
        </is>
      </c>
      <c r="D901" s="10">
        <v>45657</v>
      </c>
      <c r="E901" s="4" t="inlineStr">
        <is>
          <t xml:space="preserve">281830</t>
        </is>
      </c>
      <c r="F901" s="0" t="inlineStr">
        <is>
          <t xml:space="preserve">Amortissements materiel de bureau</t>
        </is>
      </c>
      <c r="G901" s="0" t="inlineStr">
        <is>
          <t xml:space="preserve">DAP2024</t>
        </is>
      </c>
      <c r="H901" s="0" t="inlineStr">
        <is>
          <t xml:space="preserve">Dotations aux amortissements 2024</t>
        </is>
      </c>
      <c r="I901" s="8">
        <v>0</v>
      </c>
      <c r="J901" s="8">
        <v>5000</v>
      </c>
      <c r="K901" s="0"/>
      <c r="L901" s="0"/>
      <c r="M901" s="8">
        <f>I901-J901</f>
      </c>
      <c r="N901" s="0" t="inlineStr">
        <is>
          <t xml:space="preserve">2024-12</t>
        </is>
      </c>
      <c r="O901" s="0">
        <f>INDEX(Journaux!$E$5:$E$18,MATCH("2024|"&amp;A901,Journaux!$A$5:$A$18,0))</f>
      </c>
      <c r="P901" s="0">
        <f>INDEX(Comptes!$H$5:$H$42,MATCH(E901,Comptes!$A$5:$A$42,0))</f>
      </c>
      <c r="Q901" s="0" t="inlineStr">
        <is>
          <t xml:space="preserve">2</t>
        </is>
      </c>
    </row>
    <row r="902">
      <c r="A902" s="4" t="inlineStr">
        <is>
          <t xml:space="preserve">OD</t>
        </is>
      </c>
      <c r="B902" s="0" t="inlineStr">
        <is>
          <t xml:space="preserve">Operations diverses</t>
        </is>
      </c>
      <c r="C902" s="0" t="inlineStr">
        <is>
          <t xml:space="preserve">OD00014</t>
        </is>
      </c>
      <c r="D902" s="10">
        <v>45657</v>
      </c>
      <c r="E902" s="4" t="inlineStr">
        <is>
          <t xml:space="preserve">695000</t>
        </is>
      </c>
      <c r="F902" s="0" t="inlineStr">
        <is>
          <t xml:space="preserve">Impots sur les benefices</t>
        </is>
      </c>
      <c r="G902" s="0" t="inlineStr">
        <is>
          <t xml:space="preserve">IS2024</t>
        </is>
      </c>
      <c r="H902" s="0" t="inlineStr">
        <is>
          <t xml:space="preserve">Impot sur les societes 2024</t>
        </is>
      </c>
      <c r="I902" s="8">
        <v>9067.03</v>
      </c>
      <c r="J902" s="8">
        <v>0</v>
      </c>
      <c r="K902" s="0"/>
      <c r="L902" s="0"/>
      <c r="M902" s="8">
        <f>I902-J902</f>
      </c>
      <c r="N902" s="0" t="inlineStr">
        <is>
          <t xml:space="preserve">2024-12</t>
        </is>
      </c>
      <c r="O902" s="0">
        <f>INDEX(Journaux!$E$5:$E$18,MATCH("2024|"&amp;A902,Journaux!$A$5:$A$18,0))</f>
      </c>
      <c r="P902" s="0">
        <f>INDEX(Comptes!$H$5:$H$42,MATCH(E902,Comptes!$A$5:$A$42,0))</f>
      </c>
      <c r="Q902" s="0" t="inlineStr">
        <is>
          <t xml:space="preserve">6</t>
        </is>
      </c>
    </row>
    <row r="903">
      <c r="A903" s="4" t="inlineStr">
        <is>
          <t xml:space="preserve">OD</t>
        </is>
      </c>
      <c r="B903" s="0" t="inlineStr">
        <is>
          <t xml:space="preserve">Operations diverses</t>
        </is>
      </c>
      <c r="C903" s="0" t="inlineStr">
        <is>
          <t xml:space="preserve">OD00014</t>
        </is>
      </c>
      <c r="D903" s="10">
        <v>45657</v>
      </c>
      <c r="E903" s="4" t="inlineStr">
        <is>
          <t xml:space="preserve">444000</t>
        </is>
      </c>
      <c r="F903" s="0" t="inlineStr">
        <is>
          <t xml:space="preserve">Etat impot sur les benefices</t>
        </is>
      </c>
      <c r="G903" s="0" t="inlineStr">
        <is>
          <t xml:space="preserve">IS2024</t>
        </is>
      </c>
      <c r="H903" s="0" t="inlineStr">
        <is>
          <t xml:space="preserve">Impot sur les societes 2024</t>
        </is>
      </c>
      <c r="I903" s="8">
        <v>0</v>
      </c>
      <c r="J903" s="8">
        <v>9067.03</v>
      </c>
      <c r="K903" s="0"/>
      <c r="L903" s="0"/>
      <c r="M903" s="8">
        <f>I903-J903</f>
      </c>
      <c r="N903" s="0" t="inlineStr">
        <is>
          <t xml:space="preserve">2024-12</t>
        </is>
      </c>
      <c r="O903" s="0">
        <f>INDEX(Journaux!$E$5:$E$18,MATCH("2024|"&amp;A903,Journaux!$A$5:$A$18,0))</f>
      </c>
      <c r="P903" s="0">
        <f>INDEX(Comptes!$H$5:$H$42,MATCH(E903,Comptes!$A$5:$A$42,0))</f>
      </c>
      <c r="Q903" s="0" t="inlineStr">
        <is>
          <t xml:space="preserve">4</t>
        </is>
      </c>
    </row>
    <row r="904">
      <c r="A904" s="4" t="inlineStr">
        <is>
          <t xml:space="preserve">SA</t>
        </is>
      </c>
      <c r="B904" s="0" t="inlineStr">
        <is>
          <t xml:space="preserve">Salaires</t>
        </is>
      </c>
      <c r="C904" s="0" t="inlineStr">
        <is>
          <t xml:space="preserve">SA00012</t>
        </is>
      </c>
      <c r="D904" s="10">
        <v>45657</v>
      </c>
      <c r="E904" s="4" t="inlineStr">
        <is>
          <t xml:space="preserve">641000</t>
        </is>
      </c>
      <c r="F904" s="0" t="inlineStr">
        <is>
          <t xml:space="preserve">Remunerations du personnel</t>
        </is>
      </c>
      <c r="G904" s="0" t="inlineStr">
        <is>
          <t xml:space="preserve">PAIE202412</t>
        </is>
      </c>
      <c r="H904" s="0" t="inlineStr">
        <is>
          <t xml:space="preserve">Paie 12/2024</t>
        </is>
      </c>
      <c r="I904" s="8">
        <v>52019.56</v>
      </c>
      <c r="J904" s="8">
        <v>0</v>
      </c>
      <c r="K904" s="0"/>
      <c r="L904" s="0"/>
      <c r="M904" s="8">
        <f>I904-J904</f>
      </c>
      <c r="N904" s="0" t="inlineStr">
        <is>
          <t xml:space="preserve">2024-12</t>
        </is>
      </c>
      <c r="O904" s="0">
        <f>INDEX(Journaux!$E$5:$E$18,MATCH("2024|"&amp;A904,Journaux!$A$5:$A$18,0))</f>
      </c>
      <c r="P904" s="0">
        <f>INDEX(Comptes!$H$5:$H$42,MATCH(E904,Comptes!$A$5:$A$42,0))</f>
      </c>
      <c r="Q904" s="0" t="inlineStr">
        <is>
          <t xml:space="preserve">6</t>
        </is>
      </c>
    </row>
    <row r="905">
      <c r="A905" s="4" t="inlineStr">
        <is>
          <t xml:space="preserve">SA</t>
        </is>
      </c>
      <c r="B905" s="0" t="inlineStr">
        <is>
          <t xml:space="preserve">Salaires</t>
        </is>
      </c>
      <c r="C905" s="0" t="inlineStr">
        <is>
          <t xml:space="preserve">SA00012</t>
        </is>
      </c>
      <c r="D905" s="10">
        <v>45657</v>
      </c>
      <c r="E905" s="4" t="inlineStr">
        <is>
          <t xml:space="preserve">645100</t>
        </is>
      </c>
      <c r="F905" s="0" t="inlineStr">
        <is>
          <t xml:space="preserve">Cotisations URSSAF</t>
        </is>
      </c>
      <c r="G905" s="0" t="inlineStr">
        <is>
          <t xml:space="preserve">PAIE202412</t>
        </is>
      </c>
      <c r="H905" s="0" t="inlineStr">
        <is>
          <t xml:space="preserve">Paie 12/2024</t>
        </is>
      </c>
      <c r="I905" s="8">
        <v>21848.22</v>
      </c>
      <c r="J905" s="8">
        <v>0</v>
      </c>
      <c r="K905" s="0"/>
      <c r="L905" s="0"/>
      <c r="M905" s="8">
        <f>I905-J905</f>
      </c>
      <c r="N905" s="0" t="inlineStr">
        <is>
          <t xml:space="preserve">2024-12</t>
        </is>
      </c>
      <c r="O905" s="0">
        <f>INDEX(Journaux!$E$5:$E$18,MATCH("2024|"&amp;A905,Journaux!$A$5:$A$18,0))</f>
      </c>
      <c r="P905" s="0">
        <f>INDEX(Comptes!$H$5:$H$42,MATCH(E905,Comptes!$A$5:$A$42,0))</f>
      </c>
      <c r="Q905" s="0" t="inlineStr">
        <is>
          <t xml:space="preserve">6</t>
        </is>
      </c>
    </row>
    <row r="906">
      <c r="A906" s="4" t="inlineStr">
        <is>
          <t xml:space="preserve">SA</t>
        </is>
      </c>
      <c r="B906" s="0" t="inlineStr">
        <is>
          <t xml:space="preserve">Salaires</t>
        </is>
      </c>
      <c r="C906" s="0" t="inlineStr">
        <is>
          <t xml:space="preserve">SA00012</t>
        </is>
      </c>
      <c r="D906" s="10">
        <v>45657</v>
      </c>
      <c r="E906" s="4" t="inlineStr">
        <is>
          <t xml:space="preserve">421000</t>
        </is>
      </c>
      <c r="F906" s="0" t="inlineStr">
        <is>
          <t xml:space="preserve">Personnel remunerations dues</t>
        </is>
      </c>
      <c r="G906" s="0" t="inlineStr">
        <is>
          <t xml:space="preserve">PAIE202412</t>
        </is>
      </c>
      <c r="H906" s="0" t="inlineStr">
        <is>
          <t xml:space="preserve">Paie 12/2024</t>
        </is>
      </c>
      <c r="I906" s="8">
        <v>0</v>
      </c>
      <c r="J906" s="8">
        <v>40575.26</v>
      </c>
      <c r="K906" s="0"/>
      <c r="L906" s="0"/>
      <c r="M906" s="8">
        <f>I906-J906</f>
      </c>
      <c r="N906" s="0" t="inlineStr">
        <is>
          <t xml:space="preserve">2024-12</t>
        </is>
      </c>
      <c r="O906" s="0">
        <f>INDEX(Journaux!$E$5:$E$18,MATCH("2024|"&amp;A906,Journaux!$A$5:$A$18,0))</f>
      </c>
      <c r="P906" s="0">
        <f>INDEX(Comptes!$H$5:$H$42,MATCH(E906,Comptes!$A$5:$A$42,0))</f>
      </c>
      <c r="Q906" s="0" t="inlineStr">
        <is>
          <t xml:space="preserve">4</t>
        </is>
      </c>
    </row>
    <row r="907">
      <c r="A907" s="4" t="inlineStr">
        <is>
          <t xml:space="preserve">SA</t>
        </is>
      </c>
      <c r="B907" s="0" t="inlineStr">
        <is>
          <t xml:space="preserve">Salaires</t>
        </is>
      </c>
      <c r="C907" s="0" t="inlineStr">
        <is>
          <t xml:space="preserve">SA00012</t>
        </is>
      </c>
      <c r="D907" s="10">
        <v>45657</v>
      </c>
      <c r="E907" s="4" t="inlineStr">
        <is>
          <t xml:space="preserve">431000</t>
        </is>
      </c>
      <c r="F907" s="0" t="inlineStr">
        <is>
          <t xml:space="preserve">Securite sociale</t>
        </is>
      </c>
      <c r="G907" s="0" t="inlineStr">
        <is>
          <t xml:space="preserve">PAIE202412</t>
        </is>
      </c>
      <c r="H907" s="0" t="inlineStr">
        <is>
          <t xml:space="preserve">Paie 12/2024</t>
        </is>
      </c>
      <c r="I907" s="8">
        <v>0</v>
      </c>
      <c r="J907" s="8">
        <v>33292.52</v>
      </c>
      <c r="K907" s="0"/>
      <c r="L907" s="0"/>
      <c r="M907" s="8">
        <f>I907-J907</f>
      </c>
      <c r="N907" s="0" t="inlineStr">
        <is>
          <t xml:space="preserve">2024-12</t>
        </is>
      </c>
      <c r="O907" s="0">
        <f>INDEX(Journaux!$E$5:$E$18,MATCH("2024|"&amp;A907,Journaux!$A$5:$A$18,0))</f>
      </c>
      <c r="P907" s="0">
        <f>INDEX(Comptes!$H$5:$H$42,MATCH(E907,Comptes!$A$5:$A$42,0))</f>
      </c>
      <c r="Q907" s="0" t="inlineStr">
        <is>
          <t xml:space="preserve">4</t>
        </is>
      </c>
    </row>
  </sheetData>
  <autoFilter ref="A1:R907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2.75"/>
  <cols>
    <col min="1" max="1" width="7" customWidth="1"/>
    <col min="2" max="2" width="16" customWidth="1"/>
    <col min="3" max="3" width="9" customWidth="1"/>
    <col min="4" max="4" width="11" customWidth="1"/>
    <col min="5" max="5" width="13" customWidth="1"/>
    <col min="6" max="6" width="28" customWidth="1"/>
    <col min="7" max="7" width="10" customWidth="1"/>
    <col min="8" max="8" width="30" customWidth="1"/>
    <col min="9" max="9" width="12" customWidth="1"/>
    <col min="10" max="10" width="12" customWidth="1"/>
    <col min="11" max="11" width="7" customWidth="1"/>
    <col min="12" max="12" width="26" customWidth="1"/>
    <col min="13" max="13" width="13" customWidth="1"/>
    <col min="14" max="14" width="9" customWidth="1"/>
    <col min="15" max="15" width="12" customWidth="1"/>
    <col min="16" max="16" width="20" customWidth="1"/>
    <col min="17" max="17" width="6" customWidth="1"/>
  </cols>
  <sheetData>
    <row r="1">
      <c r="A1" s="3" t="inlineStr">
        <is>
          <t xml:space="preserve">JournalCode</t>
        </is>
      </c>
      <c r="B1" s="3" t="inlineStr">
        <is>
          <t xml:space="preserve">JournalLib</t>
        </is>
      </c>
      <c r="C1" s="3" t="inlineStr">
        <is>
          <t xml:space="preserve">EcritureNum</t>
        </is>
      </c>
      <c r="D1" s="3" t="inlineStr">
        <is>
          <t xml:space="preserve">EcritureDate</t>
        </is>
      </c>
      <c r="E1" s="3" t="inlineStr">
        <is>
          <t xml:space="preserve">CompteNum</t>
        </is>
      </c>
      <c r="F1" s="3" t="inlineStr">
        <is>
          <t xml:space="preserve">CompteLib</t>
        </is>
      </c>
      <c r="G1" s="3" t="inlineStr">
        <is>
          <t xml:space="preserve">PieceRef</t>
        </is>
      </c>
      <c r="H1" s="3" t="inlineStr">
        <is>
          <t xml:space="preserve">EcritureLib</t>
        </is>
      </c>
      <c r="I1" s="3" t="inlineStr">
        <is>
          <t xml:space="preserve">Debit</t>
        </is>
      </c>
      <c r="J1" s="3" t="inlineStr">
        <is>
          <t xml:space="preserve">Credit</t>
        </is>
      </c>
      <c r="K1" s="3" t="inlineStr">
        <is>
          <t xml:space="preserve">EcritureLet</t>
        </is>
      </c>
      <c r="L1" s="3" t="inlineStr">
        <is>
          <t xml:space="preserve">Tiers</t>
        </is>
      </c>
      <c r="M1" s="3" t="inlineStr">
        <is>
          <t xml:space="preserve">Montant (D-C)</t>
        </is>
      </c>
      <c r="N1" s="3" t="inlineStr">
        <is>
          <t xml:space="preserve">Mois</t>
        </is>
      </c>
      <c r="O1" s="3" t="inlineStr">
        <is>
          <t xml:space="preserve">Type journal</t>
        </is>
      </c>
      <c r="P1" s="3" t="inlineStr">
        <is>
          <t xml:space="preserve">Agrégat Vestis</t>
        </is>
      </c>
      <c r="Q1" s="3" t="inlineStr">
        <is>
          <t xml:space="preserve">Classe</t>
        </is>
      </c>
      <c r="R1" s="3" t="inlineStr">
        <is>
          <t xml:space="preserve">Clé tiers</t>
        </is>
      </c>
    </row>
    <row r="2">
      <c r="A2" s="4" t="inlineStr">
        <is>
          <t xml:space="preserve">AN</t>
        </is>
      </c>
      <c r="B2" s="0" t="inlineStr">
        <is>
          <t xml:space="preserve">A-nouveaux</t>
        </is>
      </c>
      <c r="C2" s="0" t="inlineStr">
        <is>
          <t xml:space="preserve">AN00001</t>
        </is>
      </c>
      <c r="D2" s="10">
        <v>45658</v>
      </c>
      <c r="E2" s="4" t="inlineStr">
        <is>
          <t xml:space="preserve">101300</t>
        </is>
      </c>
      <c r="F2" s="0" t="inlineStr">
        <is>
          <t xml:space="preserve">Capital souscrit appele verse</t>
        </is>
      </c>
      <c r="G2" s="0" t="inlineStr">
        <is>
          <t xml:space="preserve">AN2025</t>
        </is>
      </c>
      <c r="H2" s="0" t="inlineStr">
        <is>
          <t xml:space="preserve">A-nouveaux 2025</t>
        </is>
      </c>
      <c r="I2" s="8">
        <v>0</v>
      </c>
      <c r="J2" s="8">
        <v>100000</v>
      </c>
      <c r="K2" s="0"/>
      <c r="L2" s="0"/>
      <c r="M2" s="8">
        <f>I2-J2</f>
      </c>
      <c r="N2" s="0" t="inlineStr">
        <is>
          <t xml:space="preserve">2025-01</t>
        </is>
      </c>
      <c r="O2" s="0">
        <f>INDEX(Journaux!$E$5:$E$18,MATCH("2025|"&amp;A2,Journaux!$A$5:$A$18,0))</f>
      </c>
      <c r="P2" s="0">
        <f>INDEX(Comptes!$K$5:$K$42,MATCH(E2,Comptes!$A$5:$A$42,0))</f>
      </c>
      <c r="Q2" s="0" t="inlineStr">
        <is>
          <t xml:space="preserve">1</t>
        </is>
      </c>
    </row>
    <row r="3">
      <c r="A3" s="4" t="inlineStr">
        <is>
          <t xml:space="preserve">AN</t>
        </is>
      </c>
      <c r="B3" s="0" t="inlineStr">
        <is>
          <t xml:space="preserve">A-nouveaux</t>
        </is>
      </c>
      <c r="C3" s="0" t="inlineStr">
        <is>
          <t xml:space="preserve">AN00001</t>
        </is>
      </c>
      <c r="D3" s="10">
        <v>45658</v>
      </c>
      <c r="E3" s="4" t="inlineStr">
        <is>
          <t xml:space="preserve">106100</t>
        </is>
      </c>
      <c r="F3" s="0" t="inlineStr">
        <is>
          <t xml:space="preserve">Reserve legale</t>
        </is>
      </c>
      <c r="G3" s="0" t="inlineStr">
        <is>
          <t xml:space="preserve">AN2025</t>
        </is>
      </c>
      <c r="H3" s="0" t="inlineStr">
        <is>
          <t xml:space="preserve">A-nouveaux 2025</t>
        </is>
      </c>
      <c r="I3" s="8">
        <v>0</v>
      </c>
      <c r="J3" s="8">
        <v>10000</v>
      </c>
      <c r="K3" s="0"/>
      <c r="L3" s="0"/>
      <c r="M3" s="8">
        <f>I3-J3</f>
      </c>
      <c r="N3" s="0" t="inlineStr">
        <is>
          <t xml:space="preserve">2025-01</t>
        </is>
      </c>
      <c r="O3" s="0">
        <f>INDEX(Journaux!$E$5:$E$18,MATCH("2025|"&amp;A3,Journaux!$A$5:$A$18,0))</f>
      </c>
      <c r="P3" s="0">
        <f>INDEX(Comptes!$K$5:$K$42,MATCH(E3,Comptes!$A$5:$A$42,0))</f>
      </c>
      <c r="Q3" s="0" t="inlineStr">
        <is>
          <t xml:space="preserve">1</t>
        </is>
      </c>
    </row>
    <row r="4">
      <c r="A4" s="4" t="inlineStr">
        <is>
          <t xml:space="preserve">AN</t>
        </is>
      </c>
      <c r="B4" s="0" t="inlineStr">
        <is>
          <t xml:space="preserve">A-nouveaux</t>
        </is>
      </c>
      <c r="C4" s="0" t="inlineStr">
        <is>
          <t xml:space="preserve">AN00001</t>
        </is>
      </c>
      <c r="D4" s="10">
        <v>45658</v>
      </c>
      <c r="E4" s="4" t="inlineStr">
        <is>
          <t xml:space="preserve">110000</t>
        </is>
      </c>
      <c r="F4" s="0" t="inlineStr">
        <is>
          <t xml:space="preserve">Report a nouveau</t>
        </is>
      </c>
      <c r="G4" s="0" t="inlineStr">
        <is>
          <t xml:space="preserve">AN2025</t>
        </is>
      </c>
      <c r="H4" s="0" t="inlineStr">
        <is>
          <t xml:space="preserve">A-nouveaux 2025</t>
        </is>
      </c>
      <c r="I4" s="8">
        <v>0</v>
      </c>
      <c r="J4" s="8">
        <v>68000</v>
      </c>
      <c r="K4" s="0"/>
      <c r="L4" s="0"/>
      <c r="M4" s="8">
        <f>I4-J4</f>
      </c>
      <c r="N4" s="0" t="inlineStr">
        <is>
          <t xml:space="preserve">2025-01</t>
        </is>
      </c>
      <c r="O4" s="0">
        <f>INDEX(Journaux!$E$5:$E$18,MATCH("2025|"&amp;A4,Journaux!$A$5:$A$18,0))</f>
      </c>
      <c r="P4" s="0">
        <f>INDEX(Comptes!$K$5:$K$42,MATCH(E4,Comptes!$A$5:$A$42,0))</f>
      </c>
      <c r="Q4" s="0" t="inlineStr">
        <is>
          <t xml:space="preserve">1</t>
        </is>
      </c>
    </row>
    <row r="5">
      <c r="A5" s="4" t="inlineStr">
        <is>
          <t xml:space="preserve">AN</t>
        </is>
      </c>
      <c r="B5" s="0" t="inlineStr">
        <is>
          <t xml:space="preserve">A-nouveaux</t>
        </is>
      </c>
      <c r="C5" s="0" t="inlineStr">
        <is>
          <t xml:space="preserve">AN00001</t>
        </is>
      </c>
      <c r="D5" s="10">
        <v>45658</v>
      </c>
      <c r="E5" s="4" t="inlineStr">
        <is>
          <t xml:space="preserve">164000</t>
        </is>
      </c>
      <c r="F5" s="0" t="inlineStr">
        <is>
          <t xml:space="preserve">Emprunts aupres des etablissements de credit</t>
        </is>
      </c>
      <c r="G5" s="0" t="inlineStr">
        <is>
          <t xml:space="preserve">AN2025</t>
        </is>
      </c>
      <c r="H5" s="0" t="inlineStr">
        <is>
          <t xml:space="preserve">A-nouveaux 2025</t>
        </is>
      </c>
      <c r="I5" s="8">
        <v>0</v>
      </c>
      <c r="J5" s="8">
        <v>66000</v>
      </c>
      <c r="K5" s="0"/>
      <c r="L5" s="0"/>
      <c r="M5" s="8">
        <f>I5-J5</f>
      </c>
      <c r="N5" s="0" t="inlineStr">
        <is>
          <t xml:space="preserve">2025-01</t>
        </is>
      </c>
      <c r="O5" s="0">
        <f>INDEX(Journaux!$E$5:$E$18,MATCH("2025|"&amp;A5,Journaux!$A$5:$A$18,0))</f>
      </c>
      <c r="P5" s="0">
        <f>INDEX(Comptes!$K$5:$K$42,MATCH(E5,Comptes!$A$5:$A$42,0))</f>
      </c>
      <c r="Q5" s="0" t="inlineStr">
        <is>
          <t xml:space="preserve">1</t>
        </is>
      </c>
    </row>
    <row r="6">
      <c r="A6" s="4" t="inlineStr">
        <is>
          <t xml:space="preserve">AN</t>
        </is>
      </c>
      <c r="B6" s="0" t="inlineStr">
        <is>
          <t xml:space="preserve">A-nouveaux</t>
        </is>
      </c>
      <c r="C6" s="0" t="inlineStr">
        <is>
          <t xml:space="preserve">AN00001</t>
        </is>
      </c>
      <c r="D6" s="10">
        <v>45658</v>
      </c>
      <c r="E6" s="4" t="inlineStr">
        <is>
          <t xml:space="preserve">215400</t>
        </is>
      </c>
      <c r="F6" s="0" t="inlineStr">
        <is>
          <t xml:space="preserve">Materiel industriel</t>
        </is>
      </c>
      <c r="G6" s="0" t="inlineStr">
        <is>
          <t xml:space="preserve">AN2025</t>
        </is>
      </c>
      <c r="H6" s="0" t="inlineStr">
        <is>
          <t xml:space="preserve">A-nouveaux 2025</t>
        </is>
      </c>
      <c r="I6" s="8">
        <v>180000</v>
      </c>
      <c r="J6" s="8">
        <v>0</v>
      </c>
      <c r="K6" s="0"/>
      <c r="L6" s="0"/>
      <c r="M6" s="8">
        <f>I6-J6</f>
      </c>
      <c r="N6" s="0" t="inlineStr">
        <is>
          <t xml:space="preserve">2025-01</t>
        </is>
      </c>
      <c r="O6" s="0">
        <f>INDEX(Journaux!$E$5:$E$18,MATCH("2025|"&amp;A6,Journaux!$A$5:$A$18,0))</f>
      </c>
      <c r="P6" s="0">
        <f>INDEX(Comptes!$K$5:$K$42,MATCH(E6,Comptes!$A$5:$A$42,0))</f>
      </c>
      <c r="Q6" s="0" t="inlineStr">
        <is>
          <t xml:space="preserve">2</t>
        </is>
      </c>
    </row>
    <row r="7">
      <c r="A7" s="4" t="inlineStr">
        <is>
          <t xml:space="preserve">AN</t>
        </is>
      </c>
      <c r="B7" s="0" t="inlineStr">
        <is>
          <t xml:space="preserve">A-nouveaux</t>
        </is>
      </c>
      <c r="C7" s="0" t="inlineStr">
        <is>
          <t xml:space="preserve">AN00001</t>
        </is>
      </c>
      <c r="D7" s="10">
        <v>45658</v>
      </c>
      <c r="E7" s="4" t="inlineStr">
        <is>
          <t xml:space="preserve">218300</t>
        </is>
      </c>
      <c r="F7" s="0" t="inlineStr">
        <is>
          <t xml:space="preserve">Materiel de bureau et informatique</t>
        </is>
      </c>
      <c r="G7" s="0" t="inlineStr">
        <is>
          <t xml:space="preserve">AN2025</t>
        </is>
      </c>
      <c r="H7" s="0" t="inlineStr">
        <is>
          <t xml:space="preserve">A-nouveaux 2025</t>
        </is>
      </c>
      <c r="I7" s="8">
        <v>25000</v>
      </c>
      <c r="J7" s="8">
        <v>0</v>
      </c>
      <c r="K7" s="0"/>
      <c r="L7" s="0"/>
      <c r="M7" s="8">
        <f>I7-J7</f>
      </c>
      <c r="N7" s="0" t="inlineStr">
        <is>
          <t xml:space="preserve">2025-01</t>
        </is>
      </c>
      <c r="O7" s="0">
        <f>INDEX(Journaux!$E$5:$E$18,MATCH("2025|"&amp;A7,Journaux!$A$5:$A$18,0))</f>
      </c>
      <c r="P7" s="0">
        <f>INDEX(Comptes!$K$5:$K$42,MATCH(E7,Comptes!$A$5:$A$42,0))</f>
      </c>
      <c r="Q7" s="0" t="inlineStr">
        <is>
          <t xml:space="preserve">2</t>
        </is>
      </c>
    </row>
    <row r="8">
      <c r="A8" s="4" t="inlineStr">
        <is>
          <t xml:space="preserve">AN</t>
        </is>
      </c>
      <c r="B8" s="0" t="inlineStr">
        <is>
          <t xml:space="preserve">A-nouveaux</t>
        </is>
      </c>
      <c r="C8" s="0" t="inlineStr">
        <is>
          <t xml:space="preserve">AN00001</t>
        </is>
      </c>
      <c r="D8" s="10">
        <v>45658</v>
      </c>
      <c r="E8" s="4" t="inlineStr">
        <is>
          <t xml:space="preserve">281540</t>
        </is>
      </c>
      <c r="F8" s="0" t="inlineStr">
        <is>
          <t xml:space="preserve">Amortissements materiel industriel</t>
        </is>
      </c>
      <c r="G8" s="0" t="inlineStr">
        <is>
          <t xml:space="preserve">AN2025</t>
        </is>
      </c>
      <c r="H8" s="0" t="inlineStr">
        <is>
          <t xml:space="preserve">A-nouveaux 2025</t>
        </is>
      </c>
      <c r="I8" s="8">
        <v>0</v>
      </c>
      <c r="J8" s="8">
        <v>88000</v>
      </c>
      <c r="K8" s="0"/>
      <c r="L8" s="0"/>
      <c r="M8" s="8">
        <f>I8-J8</f>
      </c>
      <c r="N8" s="0" t="inlineStr">
        <is>
          <t xml:space="preserve">2025-01</t>
        </is>
      </c>
      <c r="O8" s="0">
        <f>INDEX(Journaux!$E$5:$E$18,MATCH("2025|"&amp;A8,Journaux!$A$5:$A$18,0))</f>
      </c>
      <c r="P8" s="0">
        <f>INDEX(Comptes!$K$5:$K$42,MATCH(E8,Comptes!$A$5:$A$42,0))</f>
      </c>
      <c r="Q8" s="0" t="inlineStr">
        <is>
          <t xml:space="preserve">2</t>
        </is>
      </c>
    </row>
    <row r="9">
      <c r="A9" s="4" t="inlineStr">
        <is>
          <t xml:space="preserve">AN</t>
        </is>
      </c>
      <c r="B9" s="0" t="inlineStr">
        <is>
          <t xml:space="preserve">A-nouveaux</t>
        </is>
      </c>
      <c r="C9" s="0" t="inlineStr">
        <is>
          <t xml:space="preserve">AN00001</t>
        </is>
      </c>
      <c r="D9" s="10">
        <v>45658</v>
      </c>
      <c r="E9" s="4" t="inlineStr">
        <is>
          <t xml:space="preserve">281830</t>
        </is>
      </c>
      <c r="F9" s="0" t="inlineStr">
        <is>
          <t xml:space="preserve">Amortissements materiel de bureau</t>
        </is>
      </c>
      <c r="G9" s="0" t="inlineStr">
        <is>
          <t xml:space="preserve">AN2025</t>
        </is>
      </c>
      <c r="H9" s="0" t="inlineStr">
        <is>
          <t xml:space="preserve">A-nouveaux 2025</t>
        </is>
      </c>
      <c r="I9" s="8">
        <v>0</v>
      </c>
      <c r="J9" s="8">
        <v>17000</v>
      </c>
      <c r="K9" s="0"/>
      <c r="L9" s="0"/>
      <c r="M9" s="8">
        <f>I9-J9</f>
      </c>
      <c r="N9" s="0" t="inlineStr">
        <is>
          <t xml:space="preserve">2025-01</t>
        </is>
      </c>
      <c r="O9" s="0">
        <f>INDEX(Journaux!$E$5:$E$18,MATCH("2025|"&amp;A9,Journaux!$A$5:$A$18,0))</f>
      </c>
      <c r="P9" s="0">
        <f>INDEX(Comptes!$K$5:$K$42,MATCH(E9,Comptes!$A$5:$A$42,0))</f>
      </c>
      <c r="Q9" s="0" t="inlineStr">
        <is>
          <t xml:space="preserve">2</t>
        </is>
      </c>
    </row>
    <row r="10">
      <c r="A10" s="4" t="inlineStr">
        <is>
          <t xml:space="preserve">AN</t>
        </is>
      </c>
      <c r="B10" s="0" t="inlineStr">
        <is>
          <t xml:space="preserve">A-nouveaux</t>
        </is>
      </c>
      <c r="C10" s="0" t="inlineStr">
        <is>
          <t xml:space="preserve">AN00001</t>
        </is>
      </c>
      <c r="D10" s="10">
        <v>45658</v>
      </c>
      <c r="E10" s="4" t="inlineStr">
        <is>
          <t xml:space="preserve">310000</t>
        </is>
      </c>
      <c r="F10" s="0" t="inlineStr">
        <is>
          <t xml:space="preserve">Stocks de matieres premieres</t>
        </is>
      </c>
      <c r="G10" s="0" t="inlineStr">
        <is>
          <t xml:space="preserve">AN2025</t>
        </is>
      </c>
      <c r="H10" s="0" t="inlineStr">
        <is>
          <t xml:space="preserve">A-nouveaux 2025</t>
        </is>
      </c>
      <c r="I10" s="8">
        <v>52000</v>
      </c>
      <c r="J10" s="8">
        <v>0</v>
      </c>
      <c r="K10" s="0"/>
      <c r="L10" s="0"/>
      <c r="M10" s="8">
        <f>I10-J10</f>
      </c>
      <c r="N10" s="0" t="inlineStr">
        <is>
          <t xml:space="preserve">2025-01</t>
        </is>
      </c>
      <c r="O10" s="0">
        <f>INDEX(Journaux!$E$5:$E$18,MATCH("2025|"&amp;A10,Journaux!$A$5:$A$18,0))</f>
      </c>
      <c r="P10" s="0">
        <f>INDEX(Comptes!$K$5:$K$42,MATCH(E10,Comptes!$A$5:$A$42,0))</f>
      </c>
      <c r="Q10" s="0" t="inlineStr">
        <is>
          <t xml:space="preserve">3</t>
        </is>
      </c>
    </row>
    <row r="11">
      <c r="A11" s="4" t="inlineStr">
        <is>
          <t xml:space="preserve">AN</t>
        </is>
      </c>
      <c r="B11" s="0" t="inlineStr">
        <is>
          <t xml:space="preserve">A-nouveaux</t>
        </is>
      </c>
      <c r="C11" s="0" t="inlineStr">
        <is>
          <t xml:space="preserve">AN00001</t>
        </is>
      </c>
      <c r="D11" s="10">
        <v>45658</v>
      </c>
      <c r="E11" s="4" t="inlineStr">
        <is>
          <t xml:space="preserve">431000</t>
        </is>
      </c>
      <c r="F11" s="0" t="inlineStr">
        <is>
          <t xml:space="preserve">Securite sociale</t>
        </is>
      </c>
      <c r="G11" s="0" t="inlineStr">
        <is>
          <t xml:space="preserve">AN2025</t>
        </is>
      </c>
      <c r="H11" s="0" t="inlineStr">
        <is>
          <t xml:space="preserve">A-nouveaux 2025</t>
        </is>
      </c>
      <c r="I11" s="8">
        <v>0</v>
      </c>
      <c r="J11" s="8">
        <v>33292.52</v>
      </c>
      <c r="K11" s="0"/>
      <c r="L11" s="0"/>
      <c r="M11" s="8">
        <f>I11-J11</f>
      </c>
      <c r="N11" s="0" t="inlineStr">
        <is>
          <t xml:space="preserve">2025-01</t>
        </is>
      </c>
      <c r="O11" s="0">
        <f>INDEX(Journaux!$E$5:$E$18,MATCH("2025|"&amp;A11,Journaux!$A$5:$A$18,0))</f>
      </c>
      <c r="P11" s="0">
        <f>INDEX(Comptes!$K$5:$K$42,MATCH(E11,Comptes!$A$5:$A$42,0))</f>
      </c>
      <c r="Q11" s="0" t="inlineStr">
        <is>
          <t xml:space="preserve">4</t>
        </is>
      </c>
    </row>
    <row r="12">
      <c r="A12" s="4" t="inlineStr">
        <is>
          <t xml:space="preserve">AN</t>
        </is>
      </c>
      <c r="B12" s="0" t="inlineStr">
        <is>
          <t xml:space="preserve">A-nouveaux</t>
        </is>
      </c>
      <c r="C12" s="0" t="inlineStr">
        <is>
          <t xml:space="preserve">AN00001</t>
        </is>
      </c>
      <c r="D12" s="10">
        <v>45658</v>
      </c>
      <c r="E12" s="4" t="inlineStr">
        <is>
          <t xml:space="preserve">444000</t>
        </is>
      </c>
      <c r="F12" s="0" t="inlineStr">
        <is>
          <t xml:space="preserve">Etat impot sur les benefices</t>
        </is>
      </c>
      <c r="G12" s="0" t="inlineStr">
        <is>
          <t xml:space="preserve">AN2025</t>
        </is>
      </c>
      <c r="H12" s="0" t="inlineStr">
        <is>
          <t xml:space="preserve">A-nouveaux 2025</t>
        </is>
      </c>
      <c r="I12" s="8">
        <v>0</v>
      </c>
      <c r="J12" s="8">
        <v>9067.03</v>
      </c>
      <c r="K12" s="0"/>
      <c r="L12" s="0"/>
      <c r="M12" s="8">
        <f>I12-J12</f>
      </c>
      <c r="N12" s="0" t="inlineStr">
        <is>
          <t xml:space="preserve">2025-01</t>
        </is>
      </c>
      <c r="O12" s="0">
        <f>INDEX(Journaux!$E$5:$E$18,MATCH("2025|"&amp;A12,Journaux!$A$5:$A$18,0))</f>
      </c>
      <c r="P12" s="0">
        <f>INDEX(Comptes!$K$5:$K$42,MATCH(E12,Comptes!$A$5:$A$42,0))</f>
      </c>
      <c r="Q12" s="0" t="inlineStr">
        <is>
          <t xml:space="preserve">4</t>
        </is>
      </c>
    </row>
    <row r="13">
      <c r="A13" s="4" t="inlineStr">
        <is>
          <t xml:space="preserve">AN</t>
        </is>
      </c>
      <c r="B13" s="0" t="inlineStr">
        <is>
          <t xml:space="preserve">A-nouveaux</t>
        </is>
      </c>
      <c r="C13" s="0" t="inlineStr">
        <is>
          <t xml:space="preserve">AN00001</t>
        </is>
      </c>
      <c r="D13" s="10">
        <v>45658</v>
      </c>
      <c r="E13" s="4" t="inlineStr">
        <is>
          <t xml:space="preserve">445510</t>
        </is>
      </c>
      <c r="F13" s="0" t="inlineStr">
        <is>
          <t xml:space="preserve">TVA a decaisser</t>
        </is>
      </c>
      <c r="G13" s="0" t="inlineStr">
        <is>
          <t xml:space="preserve">AN2025</t>
        </is>
      </c>
      <c r="H13" s="0" t="inlineStr">
        <is>
          <t xml:space="preserve">A-nouveaux 2025</t>
        </is>
      </c>
      <c r="I13" s="8">
        <v>0</v>
      </c>
      <c r="J13" s="8">
        <v>14795.86</v>
      </c>
      <c r="K13" s="0"/>
      <c r="L13" s="0"/>
      <c r="M13" s="8">
        <f>I13-J13</f>
      </c>
      <c r="N13" s="0" t="inlineStr">
        <is>
          <t xml:space="preserve">2025-01</t>
        </is>
      </c>
      <c r="O13" s="0">
        <f>INDEX(Journaux!$E$5:$E$18,MATCH("2025|"&amp;A13,Journaux!$A$5:$A$18,0))</f>
      </c>
      <c r="P13" s="0">
        <f>INDEX(Comptes!$K$5:$K$42,MATCH(E13,Comptes!$A$5:$A$42,0))</f>
      </c>
      <c r="Q13" s="0" t="inlineStr">
        <is>
          <t xml:space="preserve">4</t>
        </is>
      </c>
    </row>
    <row r="14">
      <c r="A14" s="4" t="inlineStr">
        <is>
          <t xml:space="preserve">AN</t>
        </is>
      </c>
      <c r="B14" s="0" t="inlineStr">
        <is>
          <t xml:space="preserve">A-nouveaux</t>
        </is>
      </c>
      <c r="C14" s="0" t="inlineStr">
        <is>
          <t xml:space="preserve">AN00001</t>
        </is>
      </c>
      <c r="D14" s="10">
        <v>45658</v>
      </c>
      <c r="E14" s="4" t="inlineStr">
        <is>
          <t xml:space="preserve">455100</t>
        </is>
      </c>
      <c r="F14" s="0" t="inlineStr">
        <is>
          <t xml:space="preserve">Compte courant d'associe</t>
        </is>
      </c>
      <c r="G14" s="0" t="inlineStr">
        <is>
          <t xml:space="preserve">AN2025</t>
        </is>
      </c>
      <c r="H14" s="0" t="inlineStr">
        <is>
          <t xml:space="preserve">A-nouveaux 2025</t>
        </is>
      </c>
      <c r="I14" s="8">
        <v>0</v>
      </c>
      <c r="J14" s="8">
        <v>15000</v>
      </c>
      <c r="K14" s="0"/>
      <c r="L14" s="0"/>
      <c r="M14" s="8">
        <f>I14-J14</f>
      </c>
      <c r="N14" s="0" t="inlineStr">
        <is>
          <t xml:space="preserve">2025-01</t>
        </is>
      </c>
      <c r="O14" s="0">
        <f>INDEX(Journaux!$E$5:$E$18,MATCH("2025|"&amp;A14,Journaux!$A$5:$A$18,0))</f>
      </c>
      <c r="P14" s="0">
        <f>INDEX(Comptes!$K$5:$K$42,MATCH(E14,Comptes!$A$5:$A$42,0))</f>
      </c>
      <c r="Q14" s="0" t="inlineStr">
        <is>
          <t xml:space="preserve">4</t>
        </is>
      </c>
    </row>
    <row r="15">
      <c r="A15" s="4" t="inlineStr">
        <is>
          <t xml:space="preserve">AN</t>
        </is>
      </c>
      <c r="B15" s="0" t="inlineStr">
        <is>
          <t xml:space="preserve">A-nouveaux</t>
        </is>
      </c>
      <c r="C15" s="0" t="inlineStr">
        <is>
          <t xml:space="preserve">AN00001</t>
        </is>
      </c>
      <c r="D15" s="10">
        <v>45658</v>
      </c>
      <c r="E15" s="4" t="inlineStr">
        <is>
          <t xml:space="preserve">512000</t>
        </is>
      </c>
      <c r="F15" s="0" t="inlineStr">
        <is>
          <t xml:space="preserve">Banque Fictive</t>
        </is>
      </c>
      <c r="G15" s="0" t="inlineStr">
        <is>
          <t xml:space="preserve">AN2025</t>
        </is>
      </c>
      <c r="H15" s="0" t="inlineStr">
        <is>
          <t xml:space="preserve">A-nouveaux 2025</t>
        </is>
      </c>
      <c r="I15" s="8">
        <v>111111.24</v>
      </c>
      <c r="J15" s="8">
        <v>0</v>
      </c>
      <c r="K15" s="0"/>
      <c r="L15" s="0"/>
      <c r="M15" s="8">
        <f>I15-J15</f>
      </c>
      <c r="N15" s="0" t="inlineStr">
        <is>
          <t xml:space="preserve">2025-01</t>
        </is>
      </c>
      <c r="O15" s="0">
        <f>INDEX(Journaux!$E$5:$E$18,MATCH("2025|"&amp;A15,Journaux!$A$5:$A$18,0))</f>
      </c>
      <c r="P15" s="0">
        <f>INDEX(Comptes!$K$5:$K$42,MATCH(E15,Comptes!$A$5:$A$42,0))</f>
      </c>
      <c r="Q15" s="0" t="inlineStr">
        <is>
          <t xml:space="preserve">5</t>
        </is>
      </c>
    </row>
    <row r="16">
      <c r="A16" s="4" t="inlineStr">
        <is>
          <t xml:space="preserve">AN</t>
        </is>
      </c>
      <c r="B16" s="0" t="inlineStr">
        <is>
          <t xml:space="preserve">A-nouveaux</t>
        </is>
      </c>
      <c r="C16" s="0" t="inlineStr">
        <is>
          <t xml:space="preserve">AN00001</t>
        </is>
      </c>
      <c r="D16" s="10">
        <v>45658</v>
      </c>
      <c r="E16" s="4" t="inlineStr">
        <is>
          <t xml:space="preserve">120000</t>
        </is>
      </c>
      <c r="F16" s="0" t="inlineStr">
        <is>
          <t xml:space="preserve">Resultat de l'exercice</t>
        </is>
      </c>
      <c r="G16" s="0" t="inlineStr">
        <is>
          <t xml:space="preserve">AN2025</t>
        </is>
      </c>
      <c r="H16" s="0" t="inlineStr">
        <is>
          <t xml:space="preserve">A-nouveaux 2025</t>
        </is>
      </c>
      <c r="I16" s="8">
        <v>0</v>
      </c>
      <c r="J16" s="8">
        <v>51379.86</v>
      </c>
      <c r="K16" s="0"/>
      <c r="L16" s="0"/>
      <c r="M16" s="8">
        <f>I16-J16</f>
      </c>
      <c r="N16" s="0" t="inlineStr">
        <is>
          <t xml:space="preserve">2025-01</t>
        </is>
      </c>
      <c r="O16" s="0">
        <f>INDEX(Journaux!$E$5:$E$18,MATCH("2025|"&amp;A16,Journaux!$A$5:$A$18,0))</f>
      </c>
      <c r="P16" s="0">
        <f>INDEX(Comptes!$K$5:$K$42,MATCH(E16,Comptes!$A$5:$A$42,0))</f>
      </c>
      <c r="Q16" s="0" t="inlineStr">
        <is>
          <t xml:space="preserve">1</t>
        </is>
      </c>
    </row>
    <row r="17">
      <c r="A17" s="4" t="inlineStr">
        <is>
          <t xml:space="preserve">AN</t>
        </is>
      </c>
      <c r="B17" s="0" t="inlineStr">
        <is>
          <t xml:space="preserve">A-nouveaux</t>
        </is>
      </c>
      <c r="C17" s="0" t="inlineStr">
        <is>
          <t xml:space="preserve">AN00001</t>
        </is>
      </c>
      <c r="D17" s="10">
        <v>45658</v>
      </c>
      <c r="E17" s="4" t="inlineStr">
        <is>
          <t xml:space="preserve">411000</t>
        </is>
      </c>
      <c r="F17" s="0" t="inlineStr">
        <is>
          <t xml:space="preserve">Clients</t>
        </is>
      </c>
      <c r="G17" s="0" t="inlineStr">
        <is>
          <t xml:space="preserve">AN2025</t>
        </is>
      </c>
      <c r="H17" s="0" t="inlineStr">
        <is>
          <t xml:space="preserve">A-nouveaux 2025</t>
        </is>
      </c>
      <c r="I17" s="8">
        <v>32352.62</v>
      </c>
      <c r="J17" s="8">
        <v>0</v>
      </c>
      <c r="K17" s="0" t="inlineStr">
        <is>
          <t xml:space="preserve">AAA</t>
        </is>
      </c>
      <c r="L17" s="0" t="inlineStr">
        <is>
          <t xml:space="preserve">Coworking Atelier 9</t>
        </is>
      </c>
      <c r="M17" s="8">
        <f>I17-J17</f>
      </c>
      <c r="N17" s="0" t="inlineStr">
        <is>
          <t xml:space="preserve">2025-01</t>
        </is>
      </c>
      <c r="O17" s="0">
        <f>INDEX(Journaux!$E$5:$E$18,MATCH("2025|"&amp;A17,Journaux!$A$5:$A$18,0))</f>
      </c>
      <c r="P17" s="0">
        <f>INDEX(Comptes!$K$5:$K$42,MATCH(E17,Comptes!$A$5:$A$42,0))</f>
      </c>
      <c r="Q17" s="0" t="inlineStr">
        <is>
          <t xml:space="preserve">4</t>
        </is>
      </c>
      <c r="R17" s="7" t="inlineStr">
        <is>
          <t xml:space="preserve">411000|C008</t>
        </is>
      </c>
    </row>
    <row r="18">
      <c r="A18" s="4" t="inlineStr">
        <is>
          <t xml:space="preserve">AN</t>
        </is>
      </c>
      <c r="B18" s="0" t="inlineStr">
        <is>
          <t xml:space="preserve">A-nouveaux</t>
        </is>
      </c>
      <c r="C18" s="0" t="inlineStr">
        <is>
          <t xml:space="preserve">AN00001</t>
        </is>
      </c>
      <c r="D18" s="10">
        <v>45658</v>
      </c>
      <c r="E18" s="4" t="inlineStr">
        <is>
          <t xml:space="preserve">411000</t>
        </is>
      </c>
      <c r="F18" s="0" t="inlineStr">
        <is>
          <t xml:space="preserve">Clients</t>
        </is>
      </c>
      <c r="G18" s="0" t="inlineStr">
        <is>
          <t xml:space="preserve">AN2025</t>
        </is>
      </c>
      <c r="H18" s="0" t="inlineStr">
        <is>
          <t xml:space="preserve">A-nouveaux 2025</t>
        </is>
      </c>
      <c r="I18" s="8">
        <v>35886.29</v>
      </c>
      <c r="J18" s="8">
        <v>0</v>
      </c>
      <c r="K18" s="0" t="inlineStr">
        <is>
          <t xml:space="preserve">AAB</t>
        </is>
      </c>
      <c r="L18" s="0" t="inlineStr">
        <is>
          <t xml:space="preserve">Agence Mobilis</t>
        </is>
      </c>
      <c r="M18" s="8">
        <f>I18-J18</f>
      </c>
      <c r="N18" s="0" t="inlineStr">
        <is>
          <t xml:space="preserve">2025-01</t>
        </is>
      </c>
      <c r="O18" s="0">
        <f>INDEX(Journaux!$E$5:$E$18,MATCH("2025|"&amp;A18,Journaux!$A$5:$A$18,0))</f>
      </c>
      <c r="P18" s="0">
        <f>INDEX(Comptes!$K$5:$K$42,MATCH(E18,Comptes!$A$5:$A$42,0))</f>
      </c>
      <c r="Q18" s="0" t="inlineStr">
        <is>
          <t xml:space="preserve">4</t>
        </is>
      </c>
      <c r="R18" s="7" t="inlineStr">
        <is>
          <t xml:space="preserve">411000|C002</t>
        </is>
      </c>
    </row>
    <row r="19">
      <c r="A19" s="4" t="inlineStr">
        <is>
          <t xml:space="preserve">AN</t>
        </is>
      </c>
      <c r="B19" s="0" t="inlineStr">
        <is>
          <t xml:space="preserve">A-nouveaux</t>
        </is>
      </c>
      <c r="C19" s="0" t="inlineStr">
        <is>
          <t xml:space="preserve">AN00001</t>
        </is>
      </c>
      <c r="D19" s="10">
        <v>45658</v>
      </c>
      <c r="E19" s="4" t="inlineStr">
        <is>
          <t xml:space="preserve">411000</t>
        </is>
      </c>
      <c r="F19" s="0" t="inlineStr">
        <is>
          <t xml:space="preserve">Clients</t>
        </is>
      </c>
      <c r="G19" s="0" t="inlineStr">
        <is>
          <t xml:space="preserve">AN2025</t>
        </is>
      </c>
      <c r="H19" s="0" t="inlineStr">
        <is>
          <t xml:space="preserve">A-nouveaux 2025</t>
        </is>
      </c>
      <c r="I19" s="8">
        <v>37138.48</v>
      </c>
      <c r="J19" s="8">
        <v>0</v>
      </c>
      <c r="K19" s="0" t="inlineStr">
        <is>
          <t xml:space="preserve">AAC</t>
        </is>
      </c>
      <c r="L19" s="0" t="inlineStr">
        <is>
          <t xml:space="preserve">Residence Bel Air</t>
        </is>
      </c>
      <c r="M19" s="8">
        <f>I19-J19</f>
      </c>
      <c r="N19" s="0" t="inlineStr">
        <is>
          <t xml:space="preserve">2025-01</t>
        </is>
      </c>
      <c r="O19" s="0">
        <f>INDEX(Journaux!$E$5:$E$18,MATCH("2025|"&amp;A19,Journaux!$A$5:$A$18,0))</f>
      </c>
      <c r="P19" s="0">
        <f>INDEX(Comptes!$K$5:$K$42,MATCH(E19,Comptes!$A$5:$A$42,0))</f>
      </c>
      <c r="Q19" s="0" t="inlineStr">
        <is>
          <t xml:space="preserve">4</t>
        </is>
      </c>
      <c r="R19" s="7" t="inlineStr">
        <is>
          <t xml:space="preserve">411000|C003</t>
        </is>
      </c>
    </row>
    <row r="20">
      <c r="A20" s="4" t="inlineStr">
        <is>
          <t xml:space="preserve">AN</t>
        </is>
      </c>
      <c r="B20" s="0" t="inlineStr">
        <is>
          <t xml:space="preserve">A-nouveaux</t>
        </is>
      </c>
      <c r="C20" s="0" t="inlineStr">
        <is>
          <t xml:space="preserve">AN00001</t>
        </is>
      </c>
      <c r="D20" s="10">
        <v>45658</v>
      </c>
      <c r="E20" s="4" t="inlineStr">
        <is>
          <t xml:space="preserve">411000</t>
        </is>
      </c>
      <c r="F20" s="0" t="inlineStr">
        <is>
          <t xml:space="preserve">Clients</t>
        </is>
      </c>
      <c r="G20" s="0" t="inlineStr">
        <is>
          <t xml:space="preserve">AN2025</t>
        </is>
      </c>
      <c r="H20" s="0" t="inlineStr">
        <is>
          <t xml:space="preserve">A-nouveaux 2025</t>
        </is>
      </c>
      <c r="I20" s="8">
        <v>26280.64</v>
      </c>
      <c r="J20" s="8">
        <v>0</v>
      </c>
      <c r="K20" s="0" t="inlineStr">
        <is>
          <t xml:space="preserve">AAD</t>
        </is>
      </c>
      <c r="L20" s="0" t="inlineStr">
        <is>
          <t xml:space="preserve">Clinique du Parc</t>
        </is>
      </c>
      <c r="M20" s="8">
        <f>I20-J20</f>
      </c>
      <c r="N20" s="0" t="inlineStr">
        <is>
          <t xml:space="preserve">2025-01</t>
        </is>
      </c>
      <c r="O20" s="0">
        <f>INDEX(Journaux!$E$5:$E$18,MATCH("2025|"&amp;A20,Journaux!$A$5:$A$18,0))</f>
      </c>
      <c r="P20" s="0">
        <f>INDEX(Comptes!$K$5:$K$42,MATCH(E20,Comptes!$A$5:$A$42,0))</f>
      </c>
      <c r="Q20" s="0" t="inlineStr">
        <is>
          <t xml:space="preserve">4</t>
        </is>
      </c>
      <c r="R20" s="7" t="inlineStr">
        <is>
          <t xml:space="preserve">411000|C006</t>
        </is>
      </c>
    </row>
    <row r="21">
      <c r="A21" s="4" t="inlineStr">
        <is>
          <t xml:space="preserve">AN</t>
        </is>
      </c>
      <c r="B21" s="0" t="inlineStr">
        <is>
          <t xml:space="preserve">A-nouveaux</t>
        </is>
      </c>
      <c r="C21" s="0" t="inlineStr">
        <is>
          <t xml:space="preserve">AN00001</t>
        </is>
      </c>
      <c r="D21" s="10">
        <v>45658</v>
      </c>
      <c r="E21" s="4" t="inlineStr">
        <is>
          <t xml:space="preserve">411000</t>
        </is>
      </c>
      <c r="F21" s="0" t="inlineStr">
        <is>
          <t xml:space="preserve">Clients</t>
        </is>
      </c>
      <c r="G21" s="0" t="inlineStr">
        <is>
          <t xml:space="preserve">AN2025</t>
        </is>
      </c>
      <c r="H21" s="0" t="inlineStr">
        <is>
          <t xml:space="preserve">A-nouveaux 2025</t>
        </is>
      </c>
      <c r="I21" s="8">
        <v>31150.6</v>
      </c>
      <c r="J21" s="8">
        <v>0</v>
      </c>
      <c r="K21" s="0" t="inlineStr">
        <is>
          <t xml:space="preserve">AAE</t>
        </is>
      </c>
      <c r="L21" s="0" t="inlineStr">
        <is>
          <t xml:space="preserve">Cabinet Varenne Associes</t>
        </is>
      </c>
      <c r="M21" s="8">
        <f>I21-J21</f>
      </c>
      <c r="N21" s="0" t="inlineStr">
        <is>
          <t xml:space="preserve">2025-01</t>
        </is>
      </c>
      <c r="O21" s="0">
        <f>INDEX(Journaux!$E$5:$E$18,MATCH("2025|"&amp;A21,Journaux!$A$5:$A$18,0))</f>
      </c>
      <c r="P21" s="0">
        <f>INDEX(Comptes!$K$5:$K$42,MATCH(E21,Comptes!$A$5:$A$42,0))</f>
      </c>
      <c r="Q21" s="0" t="inlineStr">
        <is>
          <t xml:space="preserve">4</t>
        </is>
      </c>
      <c r="R21" s="7" t="inlineStr">
        <is>
          <t xml:space="preserve">411000|C004</t>
        </is>
      </c>
    </row>
    <row r="22">
      <c r="A22" s="4" t="inlineStr">
        <is>
          <t xml:space="preserve">AN</t>
        </is>
      </c>
      <c r="B22" s="0" t="inlineStr">
        <is>
          <t xml:space="preserve">A-nouveaux</t>
        </is>
      </c>
      <c r="C22" s="0" t="inlineStr">
        <is>
          <t xml:space="preserve">AN00001</t>
        </is>
      </c>
      <c r="D22" s="10">
        <v>45658</v>
      </c>
      <c r="E22" s="4" t="inlineStr">
        <is>
          <t xml:space="preserve">411000</t>
        </is>
      </c>
      <c r="F22" s="0" t="inlineStr">
        <is>
          <t xml:space="preserve">Clients</t>
        </is>
      </c>
      <c r="G22" s="0" t="inlineStr">
        <is>
          <t xml:space="preserve">AN2025</t>
        </is>
      </c>
      <c r="H22" s="0" t="inlineStr">
        <is>
          <t xml:space="preserve">A-nouveaux 2025</t>
        </is>
      </c>
      <c r="I22" s="8">
        <v>20557.5</v>
      </c>
      <c r="J22" s="8">
        <v>0</v>
      </c>
      <c r="K22" s="0" t="inlineStr">
        <is>
          <t xml:space="preserve">AAF</t>
        </is>
      </c>
      <c r="L22" s="0" t="inlineStr">
        <is>
          <t xml:space="preserve">Agence Mobilis</t>
        </is>
      </c>
      <c r="M22" s="8">
        <f>I22-J22</f>
      </c>
      <c r="N22" s="0" t="inlineStr">
        <is>
          <t xml:space="preserve">2025-01</t>
        </is>
      </c>
      <c r="O22" s="0">
        <f>INDEX(Journaux!$E$5:$E$18,MATCH("2025|"&amp;A22,Journaux!$A$5:$A$18,0))</f>
      </c>
      <c r="P22" s="0">
        <f>INDEX(Comptes!$K$5:$K$42,MATCH(E22,Comptes!$A$5:$A$42,0))</f>
      </c>
      <c r="Q22" s="0" t="inlineStr">
        <is>
          <t xml:space="preserve">4</t>
        </is>
      </c>
      <c r="R22" s="7" t="inlineStr">
        <is>
          <t xml:space="preserve">411000|C002</t>
        </is>
      </c>
    </row>
    <row r="23">
      <c r="A23" s="4" t="inlineStr">
        <is>
          <t xml:space="preserve">AN</t>
        </is>
      </c>
      <c r="B23" s="0" t="inlineStr">
        <is>
          <t xml:space="preserve">A-nouveaux</t>
        </is>
      </c>
      <c r="C23" s="0" t="inlineStr">
        <is>
          <t xml:space="preserve">AN00001</t>
        </is>
      </c>
      <c r="D23" s="10">
        <v>45658</v>
      </c>
      <c r="E23" s="4" t="inlineStr">
        <is>
          <t xml:space="preserve">411000</t>
        </is>
      </c>
      <c r="F23" s="0" t="inlineStr">
        <is>
          <t xml:space="preserve">Clients</t>
        </is>
      </c>
      <c r="G23" s="0" t="inlineStr">
        <is>
          <t xml:space="preserve">AN2025</t>
        </is>
      </c>
      <c r="H23" s="0" t="inlineStr">
        <is>
          <t xml:space="preserve">A-nouveaux 2025</t>
        </is>
      </c>
      <c r="I23" s="8">
        <v>38178.13</v>
      </c>
      <c r="J23" s="8">
        <v>0</v>
      </c>
      <c r="K23" s="0" t="inlineStr">
        <is>
          <t xml:space="preserve">AAG</t>
        </is>
      </c>
      <c r="L23" s="0" t="inlineStr">
        <is>
          <t xml:space="preserve">Coworking Atelier 9</t>
        </is>
      </c>
      <c r="M23" s="8">
        <f>I23-J23</f>
      </c>
      <c r="N23" s="0" t="inlineStr">
        <is>
          <t xml:space="preserve">2025-01</t>
        </is>
      </c>
      <c r="O23" s="0">
        <f>INDEX(Journaux!$E$5:$E$18,MATCH("2025|"&amp;A23,Journaux!$A$5:$A$18,0))</f>
      </c>
      <c r="P23" s="0">
        <f>INDEX(Comptes!$K$5:$K$42,MATCH(E23,Comptes!$A$5:$A$42,0))</f>
      </c>
      <c r="Q23" s="0" t="inlineStr">
        <is>
          <t xml:space="preserve">4</t>
        </is>
      </c>
      <c r="R23" s="7" t="inlineStr">
        <is>
          <t xml:space="preserve">411000|C008</t>
        </is>
      </c>
    </row>
    <row r="24">
      <c r="A24" s="4" t="inlineStr">
        <is>
          <t xml:space="preserve">AN</t>
        </is>
      </c>
      <c r="B24" s="0" t="inlineStr">
        <is>
          <t xml:space="preserve">A-nouveaux</t>
        </is>
      </c>
      <c r="C24" s="0" t="inlineStr">
        <is>
          <t xml:space="preserve">AN00001</t>
        </is>
      </c>
      <c r="D24" s="10">
        <v>45658</v>
      </c>
      <c r="E24" s="4" t="inlineStr">
        <is>
          <t xml:space="preserve">411000</t>
        </is>
      </c>
      <c r="F24" s="0" t="inlineStr">
        <is>
          <t xml:space="preserve">Clients</t>
        </is>
      </c>
      <c r="G24" s="0" t="inlineStr">
        <is>
          <t xml:space="preserve">AN2025</t>
        </is>
      </c>
      <c r="H24" s="0" t="inlineStr">
        <is>
          <t xml:space="preserve">A-nouveaux 2025</t>
        </is>
      </c>
      <c r="I24" s="8">
        <v>36694.64</v>
      </c>
      <c r="J24" s="8">
        <v>0</v>
      </c>
      <c r="K24" s="0" t="inlineStr">
        <is>
          <t xml:space="preserve">AAH</t>
        </is>
      </c>
      <c r="L24" s="0" t="inlineStr">
        <is>
          <t xml:space="preserve">Clinique du Parc</t>
        </is>
      </c>
      <c r="M24" s="8">
        <f>I24-J24</f>
      </c>
      <c r="N24" s="0" t="inlineStr">
        <is>
          <t xml:space="preserve">2025-01</t>
        </is>
      </c>
      <c r="O24" s="0">
        <f>INDEX(Journaux!$E$5:$E$18,MATCH("2025|"&amp;A24,Journaux!$A$5:$A$18,0))</f>
      </c>
      <c r="P24" s="0">
        <f>INDEX(Comptes!$K$5:$K$42,MATCH(E24,Comptes!$A$5:$A$42,0))</f>
      </c>
      <c r="Q24" s="0" t="inlineStr">
        <is>
          <t xml:space="preserve">4</t>
        </is>
      </c>
      <c r="R24" s="7" t="inlineStr">
        <is>
          <t xml:space="preserve">411000|C006</t>
        </is>
      </c>
    </row>
    <row r="25">
      <c r="A25" s="4" t="inlineStr">
        <is>
          <t xml:space="preserve">AN</t>
        </is>
      </c>
      <c r="B25" s="0" t="inlineStr">
        <is>
          <t xml:space="preserve">A-nouveaux</t>
        </is>
      </c>
      <c r="C25" s="0" t="inlineStr">
        <is>
          <t xml:space="preserve">AN00001</t>
        </is>
      </c>
      <c r="D25" s="10">
        <v>45658</v>
      </c>
      <c r="E25" s="4" t="inlineStr">
        <is>
          <t xml:space="preserve">401000</t>
        </is>
      </c>
      <c r="F25" s="0" t="inlineStr">
        <is>
          <t xml:space="preserve">Fournisseurs</t>
        </is>
      </c>
      <c r="G25" s="0" t="inlineStr">
        <is>
          <t xml:space="preserve">AN2025</t>
        </is>
      </c>
      <c r="H25" s="0" t="inlineStr">
        <is>
          <t xml:space="preserve">A-nouveaux 2025</t>
        </is>
      </c>
      <c r="I25" s="8">
        <v>0</v>
      </c>
      <c r="J25" s="8">
        <v>52590.01</v>
      </c>
      <c r="K25" s="0" t="inlineStr">
        <is>
          <t xml:space="preserve">ABB</t>
        </is>
      </c>
      <c r="L25" s="0" t="inlineStr">
        <is>
          <t xml:space="preserve">Quincaillerie Pro Est</t>
        </is>
      </c>
      <c r="M25" s="8">
        <f>I25-J25</f>
      </c>
      <c r="N25" s="0" t="inlineStr">
        <is>
          <t xml:space="preserve">2025-01</t>
        </is>
      </c>
      <c r="O25" s="0">
        <f>INDEX(Journaux!$E$5:$E$18,MATCH("2025|"&amp;A25,Journaux!$A$5:$A$18,0))</f>
      </c>
      <c r="P25" s="0">
        <f>INDEX(Comptes!$K$5:$K$42,MATCH(E25,Comptes!$A$5:$A$42,0))</f>
      </c>
      <c r="Q25" s="0" t="inlineStr">
        <is>
          <t xml:space="preserve">4</t>
        </is>
      </c>
      <c r="R25" s="7" t="inlineStr">
        <is>
          <t xml:space="preserve">401000|F002</t>
        </is>
      </c>
    </row>
    <row r="26">
      <c r="A26" s="4" t="inlineStr">
        <is>
          <t xml:space="preserve">AN</t>
        </is>
      </c>
      <c r="B26" s="0" t="inlineStr">
        <is>
          <t xml:space="preserve">A-nouveaux</t>
        </is>
      </c>
      <c r="C26" s="0" t="inlineStr">
        <is>
          <t xml:space="preserve">AN00001</t>
        </is>
      </c>
      <c r="D26" s="10">
        <v>45658</v>
      </c>
      <c r="E26" s="4" t="inlineStr">
        <is>
          <t xml:space="preserve">401000</t>
        </is>
      </c>
      <c r="F26" s="0" t="inlineStr">
        <is>
          <t xml:space="preserve">Fournisseurs</t>
        </is>
      </c>
      <c r="G26" s="0" t="inlineStr">
        <is>
          <t xml:space="preserve">AN2025</t>
        </is>
      </c>
      <c r="H26" s="0" t="inlineStr">
        <is>
          <t xml:space="preserve">A-nouveaux 2025</t>
        </is>
      </c>
      <c r="I26" s="8">
        <v>0</v>
      </c>
      <c r="J26" s="8">
        <v>34477.39</v>
      </c>
      <c r="K26" s="0" t="inlineStr">
        <is>
          <t xml:space="preserve">ABC</t>
        </is>
      </c>
      <c r="L26" s="0" t="inlineStr">
        <is>
          <t xml:space="preserve">Vernis et Finitions</t>
        </is>
      </c>
      <c r="M26" s="8">
        <f>I26-J26</f>
      </c>
      <c r="N26" s="0" t="inlineStr">
        <is>
          <t xml:space="preserve">2025-01</t>
        </is>
      </c>
      <c r="O26" s="0">
        <f>INDEX(Journaux!$E$5:$E$18,MATCH("2025|"&amp;A26,Journaux!$A$5:$A$18,0))</f>
      </c>
      <c r="P26" s="0">
        <f>INDEX(Comptes!$K$5:$K$42,MATCH(E26,Comptes!$A$5:$A$42,0))</f>
      </c>
      <c r="Q26" s="0" t="inlineStr">
        <is>
          <t xml:space="preserve">4</t>
        </is>
      </c>
      <c r="R26" s="7" t="inlineStr">
        <is>
          <t xml:space="preserve">401000|F003</t>
        </is>
      </c>
    </row>
    <row r="27">
      <c r="A27" s="4" t="inlineStr">
        <is>
          <t xml:space="preserve">AN</t>
        </is>
      </c>
      <c r="B27" s="0" t="inlineStr">
        <is>
          <t xml:space="preserve">A-nouveaux</t>
        </is>
      </c>
      <c r="C27" s="0" t="inlineStr">
        <is>
          <t xml:space="preserve">AN00001</t>
        </is>
      </c>
      <c r="D27" s="10">
        <v>45658</v>
      </c>
      <c r="E27" s="4" t="inlineStr">
        <is>
          <t xml:space="preserve">401000</t>
        </is>
      </c>
      <c r="F27" s="0" t="inlineStr">
        <is>
          <t xml:space="preserve">Fournisseurs</t>
        </is>
      </c>
      <c r="G27" s="0" t="inlineStr">
        <is>
          <t xml:space="preserve">AN2025</t>
        </is>
      </c>
      <c r="H27" s="0" t="inlineStr">
        <is>
          <t xml:space="preserve">A-nouveaux 2025</t>
        </is>
      </c>
      <c r="I27" s="8">
        <v>0</v>
      </c>
      <c r="J27" s="8">
        <v>45322.61</v>
      </c>
      <c r="K27" s="0" t="inlineStr">
        <is>
          <t xml:space="preserve">ABD</t>
        </is>
      </c>
      <c r="L27" s="0" t="inlineStr">
        <is>
          <t xml:space="preserve">Quincaillerie Pro Est</t>
        </is>
      </c>
      <c r="M27" s="8">
        <f>I27-J27</f>
      </c>
      <c r="N27" s="0" t="inlineStr">
        <is>
          <t xml:space="preserve">2025-01</t>
        </is>
      </c>
      <c r="O27" s="0">
        <f>INDEX(Journaux!$E$5:$E$18,MATCH("2025|"&amp;A27,Journaux!$A$5:$A$18,0))</f>
      </c>
      <c r="P27" s="0">
        <f>INDEX(Comptes!$K$5:$K$42,MATCH(E27,Comptes!$A$5:$A$42,0))</f>
      </c>
      <c r="Q27" s="0" t="inlineStr">
        <is>
          <t xml:space="preserve">4</t>
        </is>
      </c>
      <c r="R27" s="7" t="inlineStr">
        <is>
          <t xml:space="preserve">401000|F002</t>
        </is>
      </c>
    </row>
    <row r="28">
      <c r="A28" s="4" t="inlineStr">
        <is>
          <t xml:space="preserve">AN</t>
        </is>
      </c>
      <c r="B28" s="0" t="inlineStr">
        <is>
          <t xml:space="preserve">A-nouveaux</t>
        </is>
      </c>
      <c r="C28" s="0" t="inlineStr">
        <is>
          <t xml:space="preserve">AN00001</t>
        </is>
      </c>
      <c r="D28" s="10">
        <v>45658</v>
      </c>
      <c r="E28" s="4" t="inlineStr">
        <is>
          <t xml:space="preserve">401000</t>
        </is>
      </c>
      <c r="F28" s="0" t="inlineStr">
        <is>
          <t xml:space="preserve">Fournisseurs</t>
        </is>
      </c>
      <c r="G28" s="0" t="inlineStr">
        <is>
          <t xml:space="preserve">AN2025</t>
        </is>
      </c>
      <c r="H28" s="0" t="inlineStr">
        <is>
          <t xml:space="preserve">A-nouveaux 2025</t>
        </is>
      </c>
      <c r="I28" s="8">
        <v>0</v>
      </c>
      <c r="J28" s="8">
        <v>10200</v>
      </c>
      <c r="K28" s="0" t="inlineStr">
        <is>
          <t xml:space="preserve">ABE</t>
        </is>
      </c>
      <c r="L28" s="0" t="inlineStr">
        <is>
          <t xml:space="preserve">SCI Les Halles</t>
        </is>
      </c>
      <c r="M28" s="8">
        <f>I28-J28</f>
      </c>
      <c r="N28" s="0" t="inlineStr">
        <is>
          <t xml:space="preserve">2025-01</t>
        </is>
      </c>
      <c r="O28" s="0">
        <f>INDEX(Journaux!$E$5:$E$18,MATCH("2025|"&amp;A28,Journaux!$A$5:$A$18,0))</f>
      </c>
      <c r="P28" s="0">
        <f>INDEX(Comptes!$K$5:$K$42,MATCH(E28,Comptes!$A$5:$A$42,0))</f>
      </c>
      <c r="Q28" s="0" t="inlineStr">
        <is>
          <t xml:space="preserve">4</t>
        </is>
      </c>
      <c r="R28" s="7" t="inlineStr">
        <is>
          <t xml:space="preserve">401000|F004</t>
        </is>
      </c>
    </row>
    <row r="29">
      <c r="A29" s="4" t="inlineStr">
        <is>
          <t xml:space="preserve">AN</t>
        </is>
      </c>
      <c r="B29" s="0" t="inlineStr">
        <is>
          <t xml:space="preserve">A-nouveaux</t>
        </is>
      </c>
      <c r="C29" s="0" t="inlineStr">
        <is>
          <t xml:space="preserve">AN00001</t>
        </is>
      </c>
      <c r="D29" s="10">
        <v>45658</v>
      </c>
      <c r="E29" s="4" t="inlineStr">
        <is>
          <t xml:space="preserve">401000</t>
        </is>
      </c>
      <c r="F29" s="0" t="inlineStr">
        <is>
          <t xml:space="preserve">Fournisseurs</t>
        </is>
      </c>
      <c r="G29" s="0" t="inlineStr">
        <is>
          <t xml:space="preserve">AN2025</t>
        </is>
      </c>
      <c r="H29" s="0" t="inlineStr">
        <is>
          <t xml:space="preserve">A-nouveaux 2025</t>
        </is>
      </c>
      <c r="I29" s="8">
        <v>0</v>
      </c>
      <c r="J29" s="8">
        <v>3448.86</v>
      </c>
      <c r="K29" s="0" t="inlineStr">
        <is>
          <t xml:space="preserve">ABF</t>
        </is>
      </c>
      <c r="L29" s="0" t="inlineStr">
        <is>
          <t xml:space="preserve">Energie Plus</t>
        </is>
      </c>
      <c r="M29" s="8">
        <f>I29-J29</f>
      </c>
      <c r="N29" s="0" t="inlineStr">
        <is>
          <t xml:space="preserve">2025-01</t>
        </is>
      </c>
      <c r="O29" s="0">
        <f>INDEX(Journaux!$E$5:$E$18,MATCH("2025|"&amp;A29,Journaux!$A$5:$A$18,0))</f>
      </c>
      <c r="P29" s="0">
        <f>INDEX(Comptes!$K$5:$K$42,MATCH(E29,Comptes!$A$5:$A$42,0))</f>
      </c>
      <c r="Q29" s="0" t="inlineStr">
        <is>
          <t xml:space="preserve">4</t>
        </is>
      </c>
      <c r="R29" s="7" t="inlineStr">
        <is>
          <t xml:space="preserve">401000|F005</t>
        </is>
      </c>
    </row>
    <row r="30">
      <c r="A30" s="4" t="inlineStr">
        <is>
          <t xml:space="preserve">AN</t>
        </is>
      </c>
      <c r="B30" s="0" t="inlineStr">
        <is>
          <t xml:space="preserve">A-nouveaux</t>
        </is>
      </c>
      <c r="C30" s="0" t="inlineStr">
        <is>
          <t xml:space="preserve">AN00001</t>
        </is>
      </c>
      <c r="D30" s="10">
        <v>45658</v>
      </c>
      <c r="E30" s="4" t="inlineStr">
        <is>
          <t xml:space="preserve">401000</t>
        </is>
      </c>
      <c r="F30" s="0" t="inlineStr">
        <is>
          <t xml:space="preserve">Fournisseurs</t>
        </is>
      </c>
      <c r="G30" s="0" t="inlineStr">
        <is>
          <t xml:space="preserve">AN2025</t>
        </is>
      </c>
      <c r="H30" s="0" t="inlineStr">
        <is>
          <t xml:space="preserve">A-nouveaux 2025</t>
        </is>
      </c>
      <c r="I30" s="8">
        <v>0</v>
      </c>
      <c r="J30" s="8">
        <v>576</v>
      </c>
      <c r="K30" s="0" t="inlineStr">
        <is>
          <t xml:space="preserve">ABG</t>
        </is>
      </c>
      <c r="L30" s="0" t="inlineStr">
        <is>
          <t xml:space="preserve">Telecom Pro</t>
        </is>
      </c>
      <c r="M30" s="8">
        <f>I30-J30</f>
      </c>
      <c r="N30" s="0" t="inlineStr">
        <is>
          <t xml:space="preserve">2025-01</t>
        </is>
      </c>
      <c r="O30" s="0">
        <f>INDEX(Journaux!$E$5:$E$18,MATCH("2025|"&amp;A30,Journaux!$A$5:$A$18,0))</f>
      </c>
      <c r="P30" s="0">
        <f>INDEX(Comptes!$K$5:$K$42,MATCH(E30,Comptes!$A$5:$A$42,0))</f>
      </c>
      <c r="Q30" s="0" t="inlineStr">
        <is>
          <t xml:space="preserve">4</t>
        </is>
      </c>
      <c r="R30" s="7" t="inlineStr">
        <is>
          <t xml:space="preserve">401000|F008</t>
        </is>
      </c>
    </row>
    <row r="31">
      <c r="A31" s="4" t="inlineStr">
        <is>
          <t xml:space="preserve">AN</t>
        </is>
      </c>
      <c r="B31" s="0" t="inlineStr">
        <is>
          <t xml:space="preserve">A-nouveaux</t>
        </is>
      </c>
      <c r="C31" s="0" t="inlineStr">
        <is>
          <t xml:space="preserve">AN00001</t>
        </is>
      </c>
      <c r="D31" s="10">
        <v>45658</v>
      </c>
      <c r="E31" s="4" t="inlineStr">
        <is>
          <t xml:space="preserve">401000</t>
        </is>
      </c>
      <c r="F31" s="0" t="inlineStr">
        <is>
          <t xml:space="preserve">Fournisseurs</t>
        </is>
      </c>
      <c r="G31" s="0" t="inlineStr">
        <is>
          <t xml:space="preserve">AN2025</t>
        </is>
      </c>
      <c r="H31" s="0" t="inlineStr">
        <is>
          <t xml:space="preserve">A-nouveaux 2025</t>
        </is>
      </c>
      <c r="I31" s="8">
        <v>0</v>
      </c>
      <c r="J31" s="8">
        <v>7200</v>
      </c>
      <c r="K31" s="0" t="inlineStr">
        <is>
          <t xml:space="preserve">ABH</t>
        </is>
      </c>
      <c r="L31" s="0" t="inlineStr">
        <is>
          <t xml:space="preserve">Cabinet Comptable Exemple</t>
        </is>
      </c>
      <c r="M31" s="8">
        <f>I31-J31</f>
      </c>
      <c r="N31" s="0" t="inlineStr">
        <is>
          <t xml:space="preserve">2025-01</t>
        </is>
      </c>
      <c r="O31" s="0">
        <f>INDEX(Journaux!$E$5:$E$18,MATCH("2025|"&amp;A31,Journaux!$A$5:$A$18,0))</f>
      </c>
      <c r="P31" s="0">
        <f>INDEX(Comptes!$K$5:$K$42,MATCH(E31,Comptes!$A$5:$A$42,0))</f>
      </c>
      <c r="Q31" s="0" t="inlineStr">
        <is>
          <t xml:space="preserve">4</t>
        </is>
      </c>
      <c r="R31" s="7" t="inlineStr">
        <is>
          <t xml:space="preserve">401000|F007</t>
        </is>
      </c>
    </row>
    <row r="32">
      <c r="A32" s="4" t="inlineStr">
        <is>
          <t xml:space="preserve">AC</t>
        </is>
      </c>
      <c r="B32" s="0" t="inlineStr">
        <is>
          <t xml:space="preserve">Journal des achats</t>
        </is>
      </c>
      <c r="C32" s="0" t="inlineStr">
        <is>
          <t xml:space="preserve">AC00004</t>
        </is>
      </c>
      <c r="D32" s="10">
        <v>45662</v>
      </c>
      <c r="E32" s="4" t="inlineStr">
        <is>
          <t xml:space="preserve">613200</t>
        </is>
      </c>
      <c r="F32" s="0" t="inlineStr">
        <is>
          <t xml:space="preserve">Locations immobilieres</t>
        </is>
      </c>
      <c r="G32" s="0" t="inlineStr">
        <is>
          <t xml:space="preserve">F004-202501</t>
        </is>
      </c>
      <c r="H32" s="0" t="inlineStr">
        <is>
          <t xml:space="preserve">Facture SCI Les Halles 2025-01</t>
        </is>
      </c>
      <c r="I32" s="8">
        <v>8500</v>
      </c>
      <c r="J32" s="8">
        <v>0</v>
      </c>
      <c r="K32" s="0"/>
      <c r="L32" s="0"/>
      <c r="M32" s="8">
        <f>I32-J32</f>
      </c>
      <c r="N32" s="0" t="inlineStr">
        <is>
          <t xml:space="preserve">2025-01</t>
        </is>
      </c>
      <c r="O32" s="0">
        <f>INDEX(Journaux!$E$5:$E$18,MATCH("2025|"&amp;A32,Journaux!$A$5:$A$18,0))</f>
      </c>
      <c r="P32" s="0">
        <f>INDEX(Comptes!$K$5:$K$42,MATCH(E32,Comptes!$A$5:$A$42,0))</f>
      </c>
      <c r="Q32" s="0" t="inlineStr">
        <is>
          <t xml:space="preserve">6</t>
        </is>
      </c>
    </row>
    <row r="33">
      <c r="A33" s="4" t="inlineStr">
        <is>
          <t xml:space="preserve">AC</t>
        </is>
      </c>
      <c r="B33" s="0" t="inlineStr">
        <is>
          <t xml:space="preserve">Journal des achats</t>
        </is>
      </c>
      <c r="C33" s="0" t="inlineStr">
        <is>
          <t xml:space="preserve">AC00004</t>
        </is>
      </c>
      <c r="D33" s="10">
        <v>45662</v>
      </c>
      <c r="E33" s="4" t="inlineStr">
        <is>
          <t xml:space="preserve">445660</t>
        </is>
      </c>
      <c r="F33" s="0" t="inlineStr">
        <is>
          <t xml:space="preserve">TVA deductible sur ABS</t>
        </is>
      </c>
      <c r="G33" s="0" t="inlineStr">
        <is>
          <t xml:space="preserve">F004-202501</t>
        </is>
      </c>
      <c r="H33" s="0" t="inlineStr">
        <is>
          <t xml:space="preserve">Facture SCI Les Halles 2025-01</t>
        </is>
      </c>
      <c r="I33" s="8">
        <v>1700</v>
      </c>
      <c r="J33" s="8">
        <v>0</v>
      </c>
      <c r="K33" s="0"/>
      <c r="L33" s="0"/>
      <c r="M33" s="8">
        <f>I33-J33</f>
      </c>
      <c r="N33" s="0" t="inlineStr">
        <is>
          <t xml:space="preserve">2025-01</t>
        </is>
      </c>
      <c r="O33" s="0">
        <f>INDEX(Journaux!$E$5:$E$18,MATCH("2025|"&amp;A33,Journaux!$A$5:$A$18,0))</f>
      </c>
      <c r="P33" s="0">
        <f>INDEX(Comptes!$K$5:$K$42,MATCH(E33,Comptes!$A$5:$A$42,0))</f>
      </c>
      <c r="Q33" s="0" t="inlineStr">
        <is>
          <t xml:space="preserve">4</t>
        </is>
      </c>
    </row>
    <row r="34">
      <c r="A34" s="4" t="inlineStr">
        <is>
          <t xml:space="preserve">AC</t>
        </is>
      </c>
      <c r="B34" s="0" t="inlineStr">
        <is>
          <t xml:space="preserve">Journal des achats</t>
        </is>
      </c>
      <c r="C34" s="0" t="inlineStr">
        <is>
          <t xml:space="preserve">AC00004</t>
        </is>
      </c>
      <c r="D34" s="10">
        <v>45662</v>
      </c>
      <c r="E34" s="4" t="inlineStr">
        <is>
          <t xml:space="preserve">401000</t>
        </is>
      </c>
      <c r="F34" s="0" t="inlineStr">
        <is>
          <t xml:space="preserve">Fournisseurs</t>
        </is>
      </c>
      <c r="G34" s="0" t="inlineStr">
        <is>
          <t xml:space="preserve">F004-202501</t>
        </is>
      </c>
      <c r="H34" s="0" t="inlineStr">
        <is>
          <t xml:space="preserve">Facture SCI Les Halles 2025-01</t>
        </is>
      </c>
      <c r="I34" s="8">
        <v>0</v>
      </c>
      <c r="J34" s="8">
        <v>10200</v>
      </c>
      <c r="K34" s="0" t="inlineStr">
        <is>
          <t xml:space="preserve">ABL</t>
        </is>
      </c>
      <c r="L34" s="0" t="inlineStr">
        <is>
          <t xml:space="preserve">SCI Les Halles</t>
        </is>
      </c>
      <c r="M34" s="8">
        <f>I34-J34</f>
      </c>
      <c r="N34" s="0" t="inlineStr">
        <is>
          <t xml:space="preserve">2025-01</t>
        </is>
      </c>
      <c r="O34" s="0">
        <f>INDEX(Journaux!$E$5:$E$18,MATCH("2025|"&amp;A34,Journaux!$A$5:$A$18,0))</f>
      </c>
      <c r="P34" s="0">
        <f>INDEX(Comptes!$K$5:$K$42,MATCH(E34,Comptes!$A$5:$A$42,0))</f>
      </c>
      <c r="Q34" s="0" t="inlineStr">
        <is>
          <t xml:space="preserve">4</t>
        </is>
      </c>
      <c r="R34" s="7" t="inlineStr">
        <is>
          <t xml:space="preserve">401000|F004</t>
        </is>
      </c>
    </row>
    <row r="35">
      <c r="A35" s="4" t="inlineStr">
        <is>
          <t xml:space="preserve">AC</t>
        </is>
      </c>
      <c r="B35" s="0" t="inlineStr">
        <is>
          <t xml:space="preserve">Journal des achats</t>
        </is>
      </c>
      <c r="C35" s="0" t="inlineStr">
        <is>
          <t xml:space="preserve">AC00005</t>
        </is>
      </c>
      <c r="D35" s="10">
        <v>45662</v>
      </c>
      <c r="E35" s="4" t="inlineStr">
        <is>
          <t xml:space="preserve">606100</t>
        </is>
      </c>
      <c r="F35" s="0" t="inlineStr">
        <is>
          <t xml:space="preserve">Fournitures non stockables energie</t>
        </is>
      </c>
      <c r="G35" s="0" t="inlineStr">
        <is>
          <t xml:space="preserve">F005-202501</t>
        </is>
      </c>
      <c r="H35" s="0" t="inlineStr">
        <is>
          <t xml:space="preserve">Facture Energie Plus 2025-01</t>
        </is>
      </c>
      <c r="I35" s="8">
        <v>2757.27</v>
      </c>
      <c r="J35" s="8">
        <v>0</v>
      </c>
      <c r="K35" s="0"/>
      <c r="L35" s="0"/>
      <c r="M35" s="8">
        <f>I35-J35</f>
      </c>
      <c r="N35" s="0" t="inlineStr">
        <is>
          <t xml:space="preserve">2025-01</t>
        </is>
      </c>
      <c r="O35" s="0">
        <f>INDEX(Journaux!$E$5:$E$18,MATCH("2025|"&amp;A35,Journaux!$A$5:$A$18,0))</f>
      </c>
      <c r="P35" s="0">
        <f>INDEX(Comptes!$K$5:$K$42,MATCH(E35,Comptes!$A$5:$A$42,0))</f>
      </c>
      <c r="Q35" s="0" t="inlineStr">
        <is>
          <t xml:space="preserve">6</t>
        </is>
      </c>
    </row>
    <row r="36">
      <c r="A36" s="4" t="inlineStr">
        <is>
          <t xml:space="preserve">AC</t>
        </is>
      </c>
      <c r="B36" s="0" t="inlineStr">
        <is>
          <t xml:space="preserve">Journal des achats</t>
        </is>
      </c>
      <c r="C36" s="0" t="inlineStr">
        <is>
          <t xml:space="preserve">AC00005</t>
        </is>
      </c>
      <c r="D36" s="10">
        <v>45662</v>
      </c>
      <c r="E36" s="4" t="inlineStr">
        <is>
          <t xml:space="preserve">445660</t>
        </is>
      </c>
      <c r="F36" s="0" t="inlineStr">
        <is>
          <t xml:space="preserve">TVA deductible sur ABS</t>
        </is>
      </c>
      <c r="G36" s="0" t="inlineStr">
        <is>
          <t xml:space="preserve">F005-202501</t>
        </is>
      </c>
      <c r="H36" s="0" t="inlineStr">
        <is>
          <t xml:space="preserve">Facture Energie Plus 2025-01</t>
        </is>
      </c>
      <c r="I36" s="8">
        <v>551.45</v>
      </c>
      <c r="J36" s="8">
        <v>0</v>
      </c>
      <c r="K36" s="0"/>
      <c r="L36" s="0"/>
      <c r="M36" s="8">
        <f>I36-J36</f>
      </c>
      <c r="N36" s="0" t="inlineStr">
        <is>
          <t xml:space="preserve">2025-01</t>
        </is>
      </c>
      <c r="O36" s="0">
        <f>INDEX(Journaux!$E$5:$E$18,MATCH("2025|"&amp;A36,Journaux!$A$5:$A$18,0))</f>
      </c>
      <c r="P36" s="0">
        <f>INDEX(Comptes!$K$5:$K$42,MATCH(E36,Comptes!$A$5:$A$42,0))</f>
      </c>
      <c r="Q36" s="0" t="inlineStr">
        <is>
          <t xml:space="preserve">4</t>
        </is>
      </c>
    </row>
    <row r="37">
      <c r="A37" s="4" t="inlineStr">
        <is>
          <t xml:space="preserve">AC</t>
        </is>
      </c>
      <c r="B37" s="0" t="inlineStr">
        <is>
          <t xml:space="preserve">Journal des achats</t>
        </is>
      </c>
      <c r="C37" s="0" t="inlineStr">
        <is>
          <t xml:space="preserve">AC00005</t>
        </is>
      </c>
      <c r="D37" s="10">
        <v>45662</v>
      </c>
      <c r="E37" s="4" t="inlineStr">
        <is>
          <t xml:space="preserve">401000</t>
        </is>
      </c>
      <c r="F37" s="0" t="inlineStr">
        <is>
          <t xml:space="preserve">Fournisseurs</t>
        </is>
      </c>
      <c r="G37" s="0" t="inlineStr">
        <is>
          <t xml:space="preserve">F005-202501</t>
        </is>
      </c>
      <c r="H37" s="0" t="inlineStr">
        <is>
          <t xml:space="preserve">Facture Energie Plus 2025-01</t>
        </is>
      </c>
      <c r="I37" s="8">
        <v>0</v>
      </c>
      <c r="J37" s="8">
        <v>3308.72</v>
      </c>
      <c r="K37" s="0" t="inlineStr">
        <is>
          <t xml:space="preserve">ABM</t>
        </is>
      </c>
      <c r="L37" s="0" t="inlineStr">
        <is>
          <t xml:space="preserve">Energie Plus</t>
        </is>
      </c>
      <c r="M37" s="8">
        <f>I37-J37</f>
      </c>
      <c r="N37" s="0" t="inlineStr">
        <is>
          <t xml:space="preserve">2025-01</t>
        </is>
      </c>
      <c r="O37" s="0">
        <f>INDEX(Journaux!$E$5:$E$18,MATCH("2025|"&amp;A37,Journaux!$A$5:$A$18,0))</f>
      </c>
      <c r="P37" s="0">
        <f>INDEX(Comptes!$K$5:$K$42,MATCH(E37,Comptes!$A$5:$A$42,0))</f>
      </c>
      <c r="Q37" s="0" t="inlineStr">
        <is>
          <t xml:space="preserve">4</t>
        </is>
      </c>
      <c r="R37" s="7" t="inlineStr">
        <is>
          <t xml:space="preserve">401000|F005</t>
        </is>
      </c>
    </row>
    <row r="38">
      <c r="A38" s="4" t="inlineStr">
        <is>
          <t xml:space="preserve">AC</t>
        </is>
      </c>
      <c r="B38" s="0" t="inlineStr">
        <is>
          <t xml:space="preserve">Journal des achats</t>
        </is>
      </c>
      <c r="C38" s="0" t="inlineStr">
        <is>
          <t xml:space="preserve">AC00006</t>
        </is>
      </c>
      <c r="D38" s="10">
        <v>45662</v>
      </c>
      <c r="E38" s="4" t="inlineStr">
        <is>
          <t xml:space="preserve">626000</t>
        </is>
      </c>
      <c r="F38" s="0" t="inlineStr">
        <is>
          <t xml:space="preserve">Frais postaux et telecommunications</t>
        </is>
      </c>
      <c r="G38" s="0" t="inlineStr">
        <is>
          <t xml:space="preserve">F008-202501</t>
        </is>
      </c>
      <c r="H38" s="0" t="inlineStr">
        <is>
          <t xml:space="preserve">Facture Telecom Pro 2025-01</t>
        </is>
      </c>
      <c r="I38" s="8">
        <v>480</v>
      </c>
      <c r="J38" s="8">
        <v>0</v>
      </c>
      <c r="K38" s="0"/>
      <c r="L38" s="0"/>
      <c r="M38" s="8">
        <f>I38-J38</f>
      </c>
      <c r="N38" s="0" t="inlineStr">
        <is>
          <t xml:space="preserve">2025-01</t>
        </is>
      </c>
      <c r="O38" s="0">
        <f>INDEX(Journaux!$E$5:$E$18,MATCH("2025|"&amp;A38,Journaux!$A$5:$A$18,0))</f>
      </c>
      <c r="P38" s="0">
        <f>INDEX(Comptes!$K$5:$K$42,MATCH(E38,Comptes!$A$5:$A$42,0))</f>
      </c>
      <c r="Q38" s="0" t="inlineStr">
        <is>
          <t xml:space="preserve">6</t>
        </is>
      </c>
    </row>
    <row r="39">
      <c r="A39" s="4" t="inlineStr">
        <is>
          <t xml:space="preserve">AC</t>
        </is>
      </c>
      <c r="B39" s="0" t="inlineStr">
        <is>
          <t xml:space="preserve">Journal des achats</t>
        </is>
      </c>
      <c r="C39" s="0" t="inlineStr">
        <is>
          <t xml:space="preserve">AC00006</t>
        </is>
      </c>
      <c r="D39" s="10">
        <v>45662</v>
      </c>
      <c r="E39" s="4" t="inlineStr">
        <is>
          <t xml:space="preserve">445660</t>
        </is>
      </c>
      <c r="F39" s="0" t="inlineStr">
        <is>
          <t xml:space="preserve">TVA deductible sur ABS</t>
        </is>
      </c>
      <c r="G39" s="0" t="inlineStr">
        <is>
          <t xml:space="preserve">F008-202501</t>
        </is>
      </c>
      <c r="H39" s="0" t="inlineStr">
        <is>
          <t xml:space="preserve">Facture Telecom Pro 2025-01</t>
        </is>
      </c>
      <c r="I39" s="8">
        <v>96</v>
      </c>
      <c r="J39" s="8">
        <v>0</v>
      </c>
      <c r="K39" s="0"/>
      <c r="L39" s="0"/>
      <c r="M39" s="8">
        <f>I39-J39</f>
      </c>
      <c r="N39" s="0" t="inlineStr">
        <is>
          <t xml:space="preserve">2025-01</t>
        </is>
      </c>
      <c r="O39" s="0">
        <f>INDEX(Journaux!$E$5:$E$18,MATCH("2025|"&amp;A39,Journaux!$A$5:$A$18,0))</f>
      </c>
      <c r="P39" s="0">
        <f>INDEX(Comptes!$K$5:$K$42,MATCH(E39,Comptes!$A$5:$A$42,0))</f>
      </c>
      <c r="Q39" s="0" t="inlineStr">
        <is>
          <t xml:space="preserve">4</t>
        </is>
      </c>
    </row>
    <row r="40">
      <c r="A40" s="4" t="inlineStr">
        <is>
          <t xml:space="preserve">AC</t>
        </is>
      </c>
      <c r="B40" s="0" t="inlineStr">
        <is>
          <t xml:space="preserve">Journal des achats</t>
        </is>
      </c>
      <c r="C40" s="0" t="inlineStr">
        <is>
          <t xml:space="preserve">AC00006</t>
        </is>
      </c>
      <c r="D40" s="10">
        <v>45662</v>
      </c>
      <c r="E40" s="4" t="inlineStr">
        <is>
          <t xml:space="preserve">401000</t>
        </is>
      </c>
      <c r="F40" s="0" t="inlineStr">
        <is>
          <t xml:space="preserve">Fournisseurs</t>
        </is>
      </c>
      <c r="G40" s="0" t="inlineStr">
        <is>
          <t xml:space="preserve">F008-202501</t>
        </is>
      </c>
      <c r="H40" s="0" t="inlineStr">
        <is>
          <t xml:space="preserve">Facture Telecom Pro 2025-01</t>
        </is>
      </c>
      <c r="I40" s="8">
        <v>0</v>
      </c>
      <c r="J40" s="8">
        <v>576</v>
      </c>
      <c r="K40" s="0" t="inlineStr">
        <is>
          <t xml:space="preserve">ABN</t>
        </is>
      </c>
      <c r="L40" s="0" t="inlineStr">
        <is>
          <t xml:space="preserve">Telecom Pro</t>
        </is>
      </c>
      <c r="M40" s="8">
        <f>I40-J40</f>
      </c>
      <c r="N40" s="0" t="inlineStr">
        <is>
          <t xml:space="preserve">2025-01</t>
        </is>
      </c>
      <c r="O40" s="0">
        <f>INDEX(Journaux!$E$5:$E$18,MATCH("2025|"&amp;A40,Journaux!$A$5:$A$18,0))</f>
      </c>
      <c r="P40" s="0">
        <f>INDEX(Comptes!$K$5:$K$42,MATCH(E40,Comptes!$A$5:$A$42,0))</f>
      </c>
      <c r="Q40" s="0" t="inlineStr">
        <is>
          <t xml:space="preserve">4</t>
        </is>
      </c>
      <c r="R40" s="7" t="inlineStr">
        <is>
          <t xml:space="preserve">401000|F008</t>
        </is>
      </c>
    </row>
    <row r="41">
      <c r="A41" s="4" t="inlineStr">
        <is>
          <t xml:space="preserve">AC</t>
        </is>
      </c>
      <c r="B41" s="0" t="inlineStr">
        <is>
          <t xml:space="preserve">Journal des achats</t>
        </is>
      </c>
      <c r="C41" s="0" t="inlineStr">
        <is>
          <t xml:space="preserve">AC00007</t>
        </is>
      </c>
      <c r="D41" s="10">
        <v>45662</v>
      </c>
      <c r="E41" s="4" t="inlineStr">
        <is>
          <t xml:space="preserve">616000</t>
        </is>
      </c>
      <c r="F41" s="0" t="inlineStr">
        <is>
          <t xml:space="preserve">Primes d'assurance</t>
        </is>
      </c>
      <c r="G41" s="0" t="inlineStr">
        <is>
          <t xml:space="preserve">F006-202501</t>
        </is>
      </c>
      <c r="H41" s="0" t="inlineStr">
        <is>
          <t xml:space="preserve">Facture Assurances Mutuelles Exemple 2025-01</t>
        </is>
      </c>
      <c r="I41" s="8">
        <v>3000</v>
      </c>
      <c r="J41" s="8">
        <v>0</v>
      </c>
      <c r="K41" s="0"/>
      <c r="L41" s="0"/>
      <c r="M41" s="8">
        <f>I41-J41</f>
      </c>
      <c r="N41" s="0" t="inlineStr">
        <is>
          <t xml:space="preserve">2025-01</t>
        </is>
      </c>
      <c r="O41" s="0">
        <f>INDEX(Journaux!$E$5:$E$18,MATCH("2025|"&amp;A41,Journaux!$A$5:$A$18,0))</f>
      </c>
      <c r="P41" s="0">
        <f>INDEX(Comptes!$K$5:$K$42,MATCH(E41,Comptes!$A$5:$A$42,0))</f>
      </c>
      <c r="Q41" s="0" t="inlineStr">
        <is>
          <t xml:space="preserve">6</t>
        </is>
      </c>
    </row>
    <row r="42">
      <c r="A42" s="4" t="inlineStr">
        <is>
          <t xml:space="preserve">AC</t>
        </is>
      </c>
      <c r="B42" s="0" t="inlineStr">
        <is>
          <t xml:space="preserve">Journal des achats</t>
        </is>
      </c>
      <c r="C42" s="0" t="inlineStr">
        <is>
          <t xml:space="preserve">AC00007</t>
        </is>
      </c>
      <c r="D42" s="10">
        <v>45662</v>
      </c>
      <c r="E42" s="4" t="inlineStr">
        <is>
          <t xml:space="preserve">401000</t>
        </is>
      </c>
      <c r="F42" s="0" t="inlineStr">
        <is>
          <t xml:space="preserve">Fournisseurs</t>
        </is>
      </c>
      <c r="G42" s="0" t="inlineStr">
        <is>
          <t xml:space="preserve">F006-202501</t>
        </is>
      </c>
      <c r="H42" s="0" t="inlineStr">
        <is>
          <t xml:space="preserve">Facture Assurances Mutuelles Exemple 2025-01</t>
        </is>
      </c>
      <c r="I42" s="8">
        <v>0</v>
      </c>
      <c r="J42" s="8">
        <v>3000</v>
      </c>
      <c r="K42" s="0" t="inlineStr">
        <is>
          <t xml:space="preserve">ABO</t>
        </is>
      </c>
      <c r="L42" s="0" t="inlineStr">
        <is>
          <t xml:space="preserve">Assurances Mutuelles Exemple</t>
        </is>
      </c>
      <c r="M42" s="8">
        <f>I42-J42</f>
      </c>
      <c r="N42" s="0" t="inlineStr">
        <is>
          <t xml:space="preserve">2025-01</t>
        </is>
      </c>
      <c r="O42" s="0">
        <f>INDEX(Journaux!$E$5:$E$18,MATCH("2025|"&amp;A42,Journaux!$A$5:$A$18,0))</f>
      </c>
      <c r="P42" s="0">
        <f>INDEX(Comptes!$K$5:$K$42,MATCH(E42,Comptes!$A$5:$A$42,0))</f>
      </c>
      <c r="Q42" s="0" t="inlineStr">
        <is>
          <t xml:space="preserve">4</t>
        </is>
      </c>
      <c r="R42" s="7" t="inlineStr">
        <is>
          <t xml:space="preserve">401000|F006</t>
        </is>
      </c>
    </row>
    <row r="43">
      <c r="A43" s="4" t="inlineStr">
        <is>
          <t xml:space="preserve">BQ</t>
        </is>
      </c>
      <c r="B43" s="0" t="inlineStr">
        <is>
          <t xml:space="preserve">Banque Fictive</t>
        </is>
      </c>
      <c r="C43" s="0" t="inlineStr">
        <is>
          <t xml:space="preserve">BQ00060</t>
        </is>
      </c>
      <c r="D43" s="10">
        <v>45663</v>
      </c>
      <c r="E43" s="4" t="inlineStr">
        <is>
          <t xml:space="preserve">512000</t>
        </is>
      </c>
      <c r="F43" s="0" t="inlineStr">
        <is>
          <t xml:space="preserve">Banque Fictive</t>
        </is>
      </c>
      <c r="G43" s="0" t="inlineStr">
        <is>
          <t xml:space="preserve">ENC-AN2025</t>
        </is>
      </c>
      <c r="H43" s="0" t="inlineStr">
        <is>
          <t xml:space="preserve">Reglement client Coworking Atelier 9 AN2025</t>
        </is>
      </c>
      <c r="I43" s="8">
        <v>32352.62</v>
      </c>
      <c r="J43" s="8">
        <v>0</v>
      </c>
      <c r="K43" s="0"/>
      <c r="L43" s="0"/>
      <c r="M43" s="8">
        <f>I43-J43</f>
      </c>
      <c r="N43" s="0" t="inlineStr">
        <is>
          <t xml:space="preserve">2025-01</t>
        </is>
      </c>
      <c r="O43" s="0">
        <f>INDEX(Journaux!$E$5:$E$18,MATCH("2025|"&amp;A43,Journaux!$A$5:$A$18,0))</f>
      </c>
      <c r="P43" s="0">
        <f>INDEX(Comptes!$K$5:$K$42,MATCH(E43,Comptes!$A$5:$A$42,0))</f>
      </c>
      <c r="Q43" s="0" t="inlineStr">
        <is>
          <t xml:space="preserve">5</t>
        </is>
      </c>
    </row>
    <row r="44">
      <c r="A44" s="4" t="inlineStr">
        <is>
          <t xml:space="preserve">BQ</t>
        </is>
      </c>
      <c r="B44" s="0" t="inlineStr">
        <is>
          <t xml:space="preserve">Banque Fictive</t>
        </is>
      </c>
      <c r="C44" s="0" t="inlineStr">
        <is>
          <t xml:space="preserve">BQ00060</t>
        </is>
      </c>
      <c r="D44" s="10">
        <v>45663</v>
      </c>
      <c r="E44" s="4" t="inlineStr">
        <is>
          <t xml:space="preserve">411000</t>
        </is>
      </c>
      <c r="F44" s="0" t="inlineStr">
        <is>
          <t xml:space="preserve">Clients</t>
        </is>
      </c>
      <c r="G44" s="0" t="inlineStr">
        <is>
          <t xml:space="preserve">ENC-AN2025</t>
        </is>
      </c>
      <c r="H44" s="0" t="inlineStr">
        <is>
          <t xml:space="preserve">Reglement client Coworking Atelier 9 AN2025</t>
        </is>
      </c>
      <c r="I44" s="8">
        <v>0</v>
      </c>
      <c r="J44" s="8">
        <v>32352.62</v>
      </c>
      <c r="K44" s="0" t="inlineStr">
        <is>
          <t xml:space="preserve">AAA</t>
        </is>
      </c>
      <c r="L44" s="0" t="inlineStr">
        <is>
          <t xml:space="preserve">Coworking Atelier 9</t>
        </is>
      </c>
      <c r="M44" s="8">
        <f>I44-J44</f>
      </c>
      <c r="N44" s="0" t="inlineStr">
        <is>
          <t xml:space="preserve">2025-01</t>
        </is>
      </c>
      <c r="O44" s="0">
        <f>INDEX(Journaux!$E$5:$E$18,MATCH("2025|"&amp;A44,Journaux!$A$5:$A$18,0))</f>
      </c>
      <c r="P44" s="0">
        <f>INDEX(Comptes!$K$5:$K$42,MATCH(E44,Comptes!$A$5:$A$42,0))</f>
      </c>
      <c r="Q44" s="0" t="inlineStr">
        <is>
          <t xml:space="preserve">4</t>
        </is>
      </c>
      <c r="R44" s="7" t="inlineStr">
        <is>
          <t xml:space="preserve">411000|C008</t>
        </is>
      </c>
    </row>
    <row r="45">
      <c r="A45" s="4" t="inlineStr">
        <is>
          <t xml:space="preserve">BQ</t>
        </is>
      </c>
      <c r="B45" s="0" t="inlineStr">
        <is>
          <t xml:space="preserve">Banque Fictive</t>
        </is>
      </c>
      <c r="C45" s="0" t="inlineStr">
        <is>
          <t xml:space="preserve">BQ00116</t>
        </is>
      </c>
      <c r="D45" s="10">
        <v>45663</v>
      </c>
      <c r="E45" s="4" t="inlineStr">
        <is>
          <t xml:space="preserve">401000</t>
        </is>
      </c>
      <c r="F45" s="0" t="inlineStr">
        <is>
          <t xml:space="preserve">Fournisseurs</t>
        </is>
      </c>
      <c r="G45" s="0" t="inlineStr">
        <is>
          <t xml:space="preserve">DEC-AN2025</t>
        </is>
      </c>
      <c r="H45" s="0" t="inlineStr">
        <is>
          <t xml:space="preserve">Reglement fournisseur SCI Les Halles AN2025</t>
        </is>
      </c>
      <c r="I45" s="8">
        <v>10200</v>
      </c>
      <c r="J45" s="8">
        <v>0</v>
      </c>
      <c r="K45" s="0" t="inlineStr">
        <is>
          <t xml:space="preserve">ABE</t>
        </is>
      </c>
      <c r="L45" s="0" t="inlineStr">
        <is>
          <t xml:space="preserve">SCI Les Halles</t>
        </is>
      </c>
      <c r="M45" s="8">
        <f>I45-J45</f>
      </c>
      <c r="N45" s="0" t="inlineStr">
        <is>
          <t xml:space="preserve">2025-01</t>
        </is>
      </c>
      <c r="O45" s="0">
        <f>INDEX(Journaux!$E$5:$E$18,MATCH("2025|"&amp;A45,Journaux!$A$5:$A$18,0))</f>
      </c>
      <c r="P45" s="0">
        <f>INDEX(Comptes!$K$5:$K$42,MATCH(E45,Comptes!$A$5:$A$42,0))</f>
      </c>
      <c r="Q45" s="0" t="inlineStr">
        <is>
          <t xml:space="preserve">4</t>
        </is>
      </c>
      <c r="R45" s="7" t="inlineStr">
        <is>
          <t xml:space="preserve">401000|F004</t>
        </is>
      </c>
    </row>
    <row r="46">
      <c r="A46" s="4" t="inlineStr">
        <is>
          <t xml:space="preserve">BQ</t>
        </is>
      </c>
      <c r="B46" s="0" t="inlineStr">
        <is>
          <t xml:space="preserve">Banque Fictive</t>
        </is>
      </c>
      <c r="C46" s="0" t="inlineStr">
        <is>
          <t xml:space="preserve">BQ00116</t>
        </is>
      </c>
      <c r="D46" s="10">
        <v>45663</v>
      </c>
      <c r="E46" s="4" t="inlineStr">
        <is>
          <t xml:space="preserve">512000</t>
        </is>
      </c>
      <c r="F46" s="0" t="inlineStr">
        <is>
          <t xml:space="preserve">Banque Fictive</t>
        </is>
      </c>
      <c r="G46" s="0" t="inlineStr">
        <is>
          <t xml:space="preserve">DEC-AN2025</t>
        </is>
      </c>
      <c r="H46" s="0" t="inlineStr">
        <is>
          <t xml:space="preserve">Reglement fournisseur SCI Les Halles AN2025</t>
        </is>
      </c>
      <c r="I46" s="8">
        <v>0</v>
      </c>
      <c r="J46" s="8">
        <v>10200</v>
      </c>
      <c r="K46" s="0"/>
      <c r="L46" s="0"/>
      <c r="M46" s="8">
        <f>I46-J46</f>
      </c>
      <c r="N46" s="0" t="inlineStr">
        <is>
          <t xml:space="preserve">2025-01</t>
        </is>
      </c>
      <c r="O46" s="0">
        <f>INDEX(Journaux!$E$5:$E$18,MATCH("2025|"&amp;A46,Journaux!$A$5:$A$18,0))</f>
      </c>
      <c r="P46" s="0">
        <f>INDEX(Comptes!$K$5:$K$42,MATCH(E46,Comptes!$A$5:$A$42,0))</f>
      </c>
      <c r="Q46" s="0" t="inlineStr">
        <is>
          <t xml:space="preserve">5</t>
        </is>
      </c>
    </row>
    <row r="47">
      <c r="A47" s="4" t="inlineStr">
        <is>
          <t xml:space="preserve">BQ</t>
        </is>
      </c>
      <c r="B47" s="0" t="inlineStr">
        <is>
          <t xml:space="preserve">Banque Fictive</t>
        </is>
      </c>
      <c r="C47" s="0" t="inlineStr">
        <is>
          <t xml:space="preserve">BQ00117</t>
        </is>
      </c>
      <c r="D47" s="10">
        <v>45663</v>
      </c>
      <c r="E47" s="4" t="inlineStr">
        <is>
          <t xml:space="preserve">401000</t>
        </is>
      </c>
      <c r="F47" s="0" t="inlineStr">
        <is>
          <t xml:space="preserve">Fournisseurs</t>
        </is>
      </c>
      <c r="G47" s="0" t="inlineStr">
        <is>
          <t xml:space="preserve">DEC-AN2025</t>
        </is>
      </c>
      <c r="H47" s="0" t="inlineStr">
        <is>
          <t xml:space="preserve">Reglement fournisseur Energie Plus AN2025</t>
        </is>
      </c>
      <c r="I47" s="8">
        <v>3448.86</v>
      </c>
      <c r="J47" s="8">
        <v>0</v>
      </c>
      <c r="K47" s="0" t="inlineStr">
        <is>
          <t xml:space="preserve">ABF</t>
        </is>
      </c>
      <c r="L47" s="0" t="inlineStr">
        <is>
          <t xml:space="preserve">Energie Plus</t>
        </is>
      </c>
      <c r="M47" s="8">
        <f>I47-J47</f>
      </c>
      <c r="N47" s="0" t="inlineStr">
        <is>
          <t xml:space="preserve">2025-01</t>
        </is>
      </c>
      <c r="O47" s="0">
        <f>INDEX(Journaux!$E$5:$E$18,MATCH("2025|"&amp;A47,Journaux!$A$5:$A$18,0))</f>
      </c>
      <c r="P47" s="0">
        <f>INDEX(Comptes!$K$5:$K$42,MATCH(E47,Comptes!$A$5:$A$42,0))</f>
      </c>
      <c r="Q47" s="0" t="inlineStr">
        <is>
          <t xml:space="preserve">4</t>
        </is>
      </c>
      <c r="R47" s="7" t="inlineStr">
        <is>
          <t xml:space="preserve">401000|F005</t>
        </is>
      </c>
    </row>
    <row r="48">
      <c r="A48" s="4" t="inlineStr">
        <is>
          <t xml:space="preserve">BQ</t>
        </is>
      </c>
      <c r="B48" s="0" t="inlineStr">
        <is>
          <t xml:space="preserve">Banque Fictive</t>
        </is>
      </c>
      <c r="C48" s="0" t="inlineStr">
        <is>
          <t xml:space="preserve">BQ00117</t>
        </is>
      </c>
      <c r="D48" s="10">
        <v>45663</v>
      </c>
      <c r="E48" s="4" t="inlineStr">
        <is>
          <t xml:space="preserve">512000</t>
        </is>
      </c>
      <c r="F48" s="0" t="inlineStr">
        <is>
          <t xml:space="preserve">Banque Fictive</t>
        </is>
      </c>
      <c r="G48" s="0" t="inlineStr">
        <is>
          <t xml:space="preserve">DEC-AN2025</t>
        </is>
      </c>
      <c r="H48" s="0" t="inlineStr">
        <is>
          <t xml:space="preserve">Reglement fournisseur Energie Plus AN2025</t>
        </is>
      </c>
      <c r="I48" s="8">
        <v>0</v>
      </c>
      <c r="J48" s="8">
        <v>3448.86</v>
      </c>
      <c r="K48" s="0"/>
      <c r="L48" s="0"/>
      <c r="M48" s="8">
        <f>I48-J48</f>
      </c>
      <c r="N48" s="0" t="inlineStr">
        <is>
          <t xml:space="preserve">2025-01</t>
        </is>
      </c>
      <c r="O48" s="0">
        <f>INDEX(Journaux!$E$5:$E$18,MATCH("2025|"&amp;A48,Journaux!$A$5:$A$18,0))</f>
      </c>
      <c r="P48" s="0">
        <f>INDEX(Comptes!$K$5:$K$42,MATCH(E48,Comptes!$A$5:$A$42,0))</f>
      </c>
      <c r="Q48" s="0" t="inlineStr">
        <is>
          <t xml:space="preserve">5</t>
        </is>
      </c>
    </row>
    <row r="49">
      <c r="A49" s="4" t="inlineStr">
        <is>
          <t xml:space="preserve">BQ</t>
        </is>
      </c>
      <c r="B49" s="0" t="inlineStr">
        <is>
          <t xml:space="preserve">Banque Fictive</t>
        </is>
      </c>
      <c r="C49" s="0" t="inlineStr">
        <is>
          <t xml:space="preserve">BQ00118</t>
        </is>
      </c>
      <c r="D49" s="10">
        <v>45663</v>
      </c>
      <c r="E49" s="4" t="inlineStr">
        <is>
          <t xml:space="preserve">401000</t>
        </is>
      </c>
      <c r="F49" s="0" t="inlineStr">
        <is>
          <t xml:space="preserve">Fournisseurs</t>
        </is>
      </c>
      <c r="G49" s="0" t="inlineStr">
        <is>
          <t xml:space="preserve">DEC-AN2025</t>
        </is>
      </c>
      <c r="H49" s="0" t="inlineStr">
        <is>
          <t xml:space="preserve">Reglement fournisseur Telecom Pro AN2025</t>
        </is>
      </c>
      <c r="I49" s="8">
        <v>576</v>
      </c>
      <c r="J49" s="8">
        <v>0</v>
      </c>
      <c r="K49" s="0" t="inlineStr">
        <is>
          <t xml:space="preserve">ABG</t>
        </is>
      </c>
      <c r="L49" s="0" t="inlineStr">
        <is>
          <t xml:space="preserve">Telecom Pro</t>
        </is>
      </c>
      <c r="M49" s="8">
        <f>I49-J49</f>
      </c>
      <c r="N49" s="0" t="inlineStr">
        <is>
          <t xml:space="preserve">2025-01</t>
        </is>
      </c>
      <c r="O49" s="0">
        <f>INDEX(Journaux!$E$5:$E$18,MATCH("2025|"&amp;A49,Journaux!$A$5:$A$18,0))</f>
      </c>
      <c r="P49" s="0">
        <f>INDEX(Comptes!$K$5:$K$42,MATCH(E49,Comptes!$A$5:$A$42,0))</f>
      </c>
      <c r="Q49" s="0" t="inlineStr">
        <is>
          <t xml:space="preserve">4</t>
        </is>
      </c>
      <c r="R49" s="7" t="inlineStr">
        <is>
          <t xml:space="preserve">401000|F008</t>
        </is>
      </c>
    </row>
    <row r="50">
      <c r="A50" s="4" t="inlineStr">
        <is>
          <t xml:space="preserve">BQ</t>
        </is>
      </c>
      <c r="B50" s="0" t="inlineStr">
        <is>
          <t xml:space="preserve">Banque Fictive</t>
        </is>
      </c>
      <c r="C50" s="0" t="inlineStr">
        <is>
          <t xml:space="preserve">BQ00118</t>
        </is>
      </c>
      <c r="D50" s="10">
        <v>45663</v>
      </c>
      <c r="E50" s="4" t="inlineStr">
        <is>
          <t xml:space="preserve">512000</t>
        </is>
      </c>
      <c r="F50" s="0" t="inlineStr">
        <is>
          <t xml:space="preserve">Banque Fictive</t>
        </is>
      </c>
      <c r="G50" s="0" t="inlineStr">
        <is>
          <t xml:space="preserve">DEC-AN2025</t>
        </is>
      </c>
      <c r="H50" s="0" t="inlineStr">
        <is>
          <t xml:space="preserve">Reglement fournisseur Telecom Pro AN2025</t>
        </is>
      </c>
      <c r="I50" s="8">
        <v>0</v>
      </c>
      <c r="J50" s="8">
        <v>576</v>
      </c>
      <c r="K50" s="0"/>
      <c r="L50" s="0"/>
      <c r="M50" s="8">
        <f>I50-J50</f>
      </c>
      <c r="N50" s="0" t="inlineStr">
        <is>
          <t xml:space="preserve">2025-01</t>
        </is>
      </c>
      <c r="O50" s="0">
        <f>INDEX(Journaux!$E$5:$E$18,MATCH("2025|"&amp;A50,Journaux!$A$5:$A$18,0))</f>
      </c>
      <c r="P50" s="0">
        <f>INDEX(Comptes!$K$5:$K$42,MATCH(E50,Comptes!$A$5:$A$42,0))</f>
      </c>
      <c r="Q50" s="0" t="inlineStr">
        <is>
          <t xml:space="preserve">5</t>
        </is>
      </c>
    </row>
    <row r="51">
      <c r="A51" s="4" t="inlineStr">
        <is>
          <t xml:space="preserve">BQ</t>
        </is>
      </c>
      <c r="B51" s="0" t="inlineStr">
        <is>
          <t xml:space="preserve">Banque Fictive</t>
        </is>
      </c>
      <c r="C51" s="0" t="inlineStr">
        <is>
          <t xml:space="preserve">BQ00119</t>
        </is>
      </c>
      <c r="D51" s="10">
        <v>45663</v>
      </c>
      <c r="E51" s="4" t="inlineStr">
        <is>
          <t xml:space="preserve">401000</t>
        </is>
      </c>
      <c r="F51" s="0" t="inlineStr">
        <is>
          <t xml:space="preserve">Fournisseurs</t>
        </is>
      </c>
      <c r="G51" s="0" t="inlineStr">
        <is>
          <t xml:space="preserve">DEC-AN2025</t>
        </is>
      </c>
      <c r="H51" s="0" t="inlineStr">
        <is>
          <t xml:space="preserve">Reglement fournisseur Cabinet Comptable Exemple AN2025</t>
        </is>
      </c>
      <c r="I51" s="8">
        <v>7200</v>
      </c>
      <c r="J51" s="8">
        <v>0</v>
      </c>
      <c r="K51" s="0" t="inlineStr">
        <is>
          <t xml:space="preserve">ABH</t>
        </is>
      </c>
      <c r="L51" s="0" t="inlineStr">
        <is>
          <t xml:space="preserve">Cabinet Comptable Exemple</t>
        </is>
      </c>
      <c r="M51" s="8">
        <f>I51-J51</f>
      </c>
      <c r="N51" s="0" t="inlineStr">
        <is>
          <t xml:space="preserve">2025-01</t>
        </is>
      </c>
      <c r="O51" s="0">
        <f>INDEX(Journaux!$E$5:$E$18,MATCH("2025|"&amp;A51,Journaux!$A$5:$A$18,0))</f>
      </c>
      <c r="P51" s="0">
        <f>INDEX(Comptes!$K$5:$K$42,MATCH(E51,Comptes!$A$5:$A$42,0))</f>
      </c>
      <c r="Q51" s="0" t="inlineStr">
        <is>
          <t xml:space="preserve">4</t>
        </is>
      </c>
      <c r="R51" s="7" t="inlineStr">
        <is>
          <t xml:space="preserve">401000|F007</t>
        </is>
      </c>
    </row>
    <row r="52">
      <c r="A52" s="4" t="inlineStr">
        <is>
          <t xml:space="preserve">BQ</t>
        </is>
      </c>
      <c r="B52" s="0" t="inlineStr">
        <is>
          <t xml:space="preserve">Banque Fictive</t>
        </is>
      </c>
      <c r="C52" s="0" t="inlineStr">
        <is>
          <t xml:space="preserve">BQ00119</t>
        </is>
      </c>
      <c r="D52" s="10">
        <v>45663</v>
      </c>
      <c r="E52" s="4" t="inlineStr">
        <is>
          <t xml:space="preserve">512000</t>
        </is>
      </c>
      <c r="F52" s="0" t="inlineStr">
        <is>
          <t xml:space="preserve">Banque Fictive</t>
        </is>
      </c>
      <c r="G52" s="0" t="inlineStr">
        <is>
          <t xml:space="preserve">DEC-AN2025</t>
        </is>
      </c>
      <c r="H52" s="0" t="inlineStr">
        <is>
          <t xml:space="preserve">Reglement fournisseur Cabinet Comptable Exemple AN2025</t>
        </is>
      </c>
      <c r="I52" s="8">
        <v>0</v>
      </c>
      <c r="J52" s="8">
        <v>7200</v>
      </c>
      <c r="K52" s="0"/>
      <c r="L52" s="0"/>
      <c r="M52" s="8">
        <f>I52-J52</f>
      </c>
      <c r="N52" s="0" t="inlineStr">
        <is>
          <t xml:space="preserve">2025-01</t>
        </is>
      </c>
      <c r="O52" s="0">
        <f>INDEX(Journaux!$E$5:$E$18,MATCH("2025|"&amp;A52,Journaux!$A$5:$A$18,0))</f>
      </c>
      <c r="P52" s="0">
        <f>INDEX(Comptes!$K$5:$K$42,MATCH(E52,Comptes!$A$5:$A$42,0))</f>
      </c>
      <c r="Q52" s="0" t="inlineStr">
        <is>
          <t xml:space="preserve">5</t>
        </is>
      </c>
    </row>
    <row r="53">
      <c r="A53" s="4" t="inlineStr">
        <is>
          <t xml:space="preserve">BQ</t>
        </is>
      </c>
      <c r="B53" s="0" t="inlineStr">
        <is>
          <t xml:space="preserve">Banque Fictive</t>
        </is>
      </c>
      <c r="C53" s="0" t="inlineStr">
        <is>
          <t xml:space="preserve">BQ00064</t>
        </is>
      </c>
      <c r="D53" s="10">
        <v>45665</v>
      </c>
      <c r="E53" s="4" t="inlineStr">
        <is>
          <t xml:space="preserve">512000</t>
        </is>
      </c>
      <c r="F53" s="0" t="inlineStr">
        <is>
          <t xml:space="preserve">Banque Fictive</t>
        </is>
      </c>
      <c r="G53" s="0" t="inlineStr">
        <is>
          <t xml:space="preserve">ENC-AN2025</t>
        </is>
      </c>
      <c r="H53" s="0" t="inlineStr">
        <is>
          <t xml:space="preserve">Reglement client Cabinet Varenne Associes AN2025</t>
        </is>
      </c>
      <c r="I53" s="8">
        <v>31150.6</v>
      </c>
      <c r="J53" s="8">
        <v>0</v>
      </c>
      <c r="K53" s="0"/>
      <c r="L53" s="0"/>
      <c r="M53" s="8">
        <f>I53-J53</f>
      </c>
      <c r="N53" s="0" t="inlineStr">
        <is>
          <t xml:space="preserve">2025-01</t>
        </is>
      </c>
      <c r="O53" s="0">
        <f>INDEX(Journaux!$E$5:$E$18,MATCH("2025|"&amp;A53,Journaux!$A$5:$A$18,0))</f>
      </c>
      <c r="P53" s="0">
        <f>INDEX(Comptes!$K$5:$K$42,MATCH(E53,Comptes!$A$5:$A$42,0))</f>
      </c>
      <c r="Q53" s="0" t="inlineStr">
        <is>
          <t xml:space="preserve">5</t>
        </is>
      </c>
    </row>
    <row r="54">
      <c r="A54" s="4" t="inlineStr">
        <is>
          <t xml:space="preserve">BQ</t>
        </is>
      </c>
      <c r="B54" s="0" t="inlineStr">
        <is>
          <t xml:space="preserve">Banque Fictive</t>
        </is>
      </c>
      <c r="C54" s="0" t="inlineStr">
        <is>
          <t xml:space="preserve">BQ00064</t>
        </is>
      </c>
      <c r="D54" s="10">
        <v>45665</v>
      </c>
      <c r="E54" s="4" t="inlineStr">
        <is>
          <t xml:space="preserve">411000</t>
        </is>
      </c>
      <c r="F54" s="0" t="inlineStr">
        <is>
          <t xml:space="preserve">Clients</t>
        </is>
      </c>
      <c r="G54" s="0" t="inlineStr">
        <is>
          <t xml:space="preserve">ENC-AN2025</t>
        </is>
      </c>
      <c r="H54" s="0" t="inlineStr">
        <is>
          <t xml:space="preserve">Reglement client Cabinet Varenne Associes AN2025</t>
        </is>
      </c>
      <c r="I54" s="8">
        <v>0</v>
      </c>
      <c r="J54" s="8">
        <v>31150.6</v>
      </c>
      <c r="K54" s="0" t="inlineStr">
        <is>
          <t xml:space="preserve">AAE</t>
        </is>
      </c>
      <c r="L54" s="0" t="inlineStr">
        <is>
          <t xml:space="preserve">Cabinet Varenne Associes</t>
        </is>
      </c>
      <c r="M54" s="8">
        <f>I54-J54</f>
      </c>
      <c r="N54" s="0" t="inlineStr">
        <is>
          <t xml:space="preserve">2025-01</t>
        </is>
      </c>
      <c r="O54" s="0">
        <f>INDEX(Journaux!$E$5:$E$18,MATCH("2025|"&amp;A54,Journaux!$A$5:$A$18,0))</f>
      </c>
      <c r="P54" s="0">
        <f>INDEX(Comptes!$K$5:$K$42,MATCH(E54,Comptes!$A$5:$A$42,0))</f>
      </c>
      <c r="Q54" s="0" t="inlineStr">
        <is>
          <t xml:space="preserve">4</t>
        </is>
      </c>
      <c r="R54" s="7" t="inlineStr">
        <is>
          <t xml:space="preserve">411000|C004</t>
        </is>
      </c>
    </row>
    <row r="55">
      <c r="A55" s="4" t="inlineStr">
        <is>
          <t xml:space="preserve">BQ</t>
        </is>
      </c>
      <c r="B55" s="0" t="inlineStr">
        <is>
          <t xml:space="preserve">Banque Fictive</t>
        </is>
      </c>
      <c r="C55" s="0" t="inlineStr">
        <is>
          <t xml:space="preserve">BQ00065</t>
        </is>
      </c>
      <c r="D55" s="10">
        <v>45665</v>
      </c>
      <c r="E55" s="4" t="inlineStr">
        <is>
          <t xml:space="preserve">512000</t>
        </is>
      </c>
      <c r="F55" s="0" t="inlineStr">
        <is>
          <t xml:space="preserve">Banque Fictive</t>
        </is>
      </c>
      <c r="G55" s="0" t="inlineStr">
        <is>
          <t xml:space="preserve">ENC-AN2025</t>
        </is>
      </c>
      <c r="H55" s="0" t="inlineStr">
        <is>
          <t xml:space="preserve">Reglement client Agence Mobilis AN2025</t>
        </is>
      </c>
      <c r="I55" s="8">
        <v>20557.5</v>
      </c>
      <c r="J55" s="8">
        <v>0</v>
      </c>
      <c r="K55" s="0"/>
      <c r="L55" s="0"/>
      <c r="M55" s="8">
        <f>I55-J55</f>
      </c>
      <c r="N55" s="0" t="inlineStr">
        <is>
          <t xml:space="preserve">2025-01</t>
        </is>
      </c>
      <c r="O55" s="0">
        <f>INDEX(Journaux!$E$5:$E$18,MATCH("2025|"&amp;A55,Journaux!$A$5:$A$18,0))</f>
      </c>
      <c r="P55" s="0">
        <f>INDEX(Comptes!$K$5:$K$42,MATCH(E55,Comptes!$A$5:$A$42,0))</f>
      </c>
      <c r="Q55" s="0" t="inlineStr">
        <is>
          <t xml:space="preserve">5</t>
        </is>
      </c>
    </row>
    <row r="56">
      <c r="A56" s="4" t="inlineStr">
        <is>
          <t xml:space="preserve">BQ</t>
        </is>
      </c>
      <c r="B56" s="0" t="inlineStr">
        <is>
          <t xml:space="preserve">Banque Fictive</t>
        </is>
      </c>
      <c r="C56" s="0" t="inlineStr">
        <is>
          <t xml:space="preserve">BQ00065</t>
        </is>
      </c>
      <c r="D56" s="10">
        <v>45665</v>
      </c>
      <c r="E56" s="4" t="inlineStr">
        <is>
          <t xml:space="preserve">411000</t>
        </is>
      </c>
      <c r="F56" s="0" t="inlineStr">
        <is>
          <t xml:space="preserve">Clients</t>
        </is>
      </c>
      <c r="G56" s="0" t="inlineStr">
        <is>
          <t xml:space="preserve">ENC-AN2025</t>
        </is>
      </c>
      <c r="H56" s="0" t="inlineStr">
        <is>
          <t xml:space="preserve">Reglement client Agence Mobilis AN2025</t>
        </is>
      </c>
      <c r="I56" s="8">
        <v>0</v>
      </c>
      <c r="J56" s="8">
        <v>20557.5</v>
      </c>
      <c r="K56" s="0" t="inlineStr">
        <is>
          <t xml:space="preserve">AAF</t>
        </is>
      </c>
      <c r="L56" s="0" t="inlineStr">
        <is>
          <t xml:space="preserve">Agence Mobilis</t>
        </is>
      </c>
      <c r="M56" s="8">
        <f>I56-J56</f>
      </c>
      <c r="N56" s="0" t="inlineStr">
        <is>
          <t xml:space="preserve">2025-01</t>
        </is>
      </c>
      <c r="O56" s="0">
        <f>INDEX(Journaux!$E$5:$E$18,MATCH("2025|"&amp;A56,Journaux!$A$5:$A$18,0))</f>
      </c>
      <c r="P56" s="0">
        <f>INDEX(Comptes!$K$5:$K$42,MATCH(E56,Comptes!$A$5:$A$42,0))</f>
      </c>
      <c r="Q56" s="0" t="inlineStr">
        <is>
          <t xml:space="preserve">4</t>
        </is>
      </c>
      <c r="R56" s="7" t="inlineStr">
        <is>
          <t xml:space="preserve">411000|C002</t>
        </is>
      </c>
    </row>
    <row r="57">
      <c r="A57" s="4" t="inlineStr">
        <is>
          <t xml:space="preserve">VT</t>
        </is>
      </c>
      <c r="B57" s="0" t="inlineStr">
        <is>
          <t xml:space="preserve">Journal des ventes</t>
        </is>
      </c>
      <c r="C57" s="0" t="inlineStr">
        <is>
          <t xml:space="preserve">VT00004</t>
        </is>
      </c>
      <c r="D57" s="10">
        <v>45665</v>
      </c>
      <c r="E57" s="4" t="inlineStr">
        <is>
          <t xml:space="preserve">411000</t>
        </is>
      </c>
      <c r="F57" s="0" t="inlineStr">
        <is>
          <t xml:space="preserve">Clients</t>
        </is>
      </c>
      <c r="G57" s="0" t="inlineStr">
        <is>
          <t xml:space="preserve">FA2025-0004</t>
        </is>
      </c>
      <c r="H57" s="0" t="inlineStr">
        <is>
          <t xml:space="preserve">Facture FA2025-0004 Agence Mobilis</t>
        </is>
      </c>
      <c r="I57" s="8">
        <v>34109.22</v>
      </c>
      <c r="J57" s="8">
        <v>0</v>
      </c>
      <c r="K57" s="0" t="inlineStr">
        <is>
          <t xml:space="preserve">AAL</t>
        </is>
      </c>
      <c r="L57" s="0" t="inlineStr">
        <is>
          <t xml:space="preserve">Agence Mobilis</t>
        </is>
      </c>
      <c r="M57" s="8">
        <f>I57-J57</f>
      </c>
      <c r="N57" s="0" t="inlineStr">
        <is>
          <t xml:space="preserve">2025-01</t>
        </is>
      </c>
      <c r="O57" s="0">
        <f>INDEX(Journaux!$E$5:$E$18,MATCH("2025|"&amp;A57,Journaux!$A$5:$A$18,0))</f>
      </c>
      <c r="P57" s="0">
        <f>INDEX(Comptes!$K$5:$K$42,MATCH(E57,Comptes!$A$5:$A$42,0))</f>
      </c>
      <c r="Q57" s="0" t="inlineStr">
        <is>
          <t xml:space="preserve">4</t>
        </is>
      </c>
      <c r="R57" s="7" t="inlineStr">
        <is>
          <t xml:space="preserve">411000|C002</t>
        </is>
      </c>
    </row>
    <row r="58">
      <c r="A58" s="4" t="inlineStr">
        <is>
          <t xml:space="preserve">VT</t>
        </is>
      </c>
      <c r="B58" s="0" t="inlineStr">
        <is>
          <t xml:space="preserve">Journal des ventes</t>
        </is>
      </c>
      <c r="C58" s="0" t="inlineStr">
        <is>
          <t xml:space="preserve">VT00004</t>
        </is>
      </c>
      <c r="D58" s="10">
        <v>45665</v>
      </c>
      <c r="E58" s="4" t="inlineStr">
        <is>
          <t xml:space="preserve">701000</t>
        </is>
      </c>
      <c r="F58" s="0" t="inlineStr">
        <is>
          <t xml:space="preserve">Ventes de produits finis</t>
        </is>
      </c>
      <c r="G58" s="0" t="inlineStr">
        <is>
          <t xml:space="preserve">FA2025-0004</t>
        </is>
      </c>
      <c r="H58" s="0" t="inlineStr">
        <is>
          <t xml:space="preserve">Facture FA2025-0004 Agence Mobilis</t>
        </is>
      </c>
      <c r="I58" s="8">
        <v>0</v>
      </c>
      <c r="J58" s="8">
        <v>28424.35</v>
      </c>
      <c r="K58" s="0"/>
      <c r="L58" s="0"/>
      <c r="M58" s="8">
        <f>I58-J58</f>
      </c>
      <c r="N58" s="0" t="inlineStr">
        <is>
          <t xml:space="preserve">2025-01</t>
        </is>
      </c>
      <c r="O58" s="0">
        <f>INDEX(Journaux!$E$5:$E$18,MATCH("2025|"&amp;A58,Journaux!$A$5:$A$18,0))</f>
      </c>
      <c r="P58" s="0">
        <f>INDEX(Comptes!$K$5:$K$42,MATCH(E58,Comptes!$A$5:$A$42,0))</f>
      </c>
      <c r="Q58" s="0" t="inlineStr">
        <is>
          <t xml:space="preserve">7</t>
        </is>
      </c>
    </row>
    <row r="59">
      <c r="A59" s="4" t="inlineStr">
        <is>
          <t xml:space="preserve">VT</t>
        </is>
      </c>
      <c r="B59" s="0" t="inlineStr">
        <is>
          <t xml:space="preserve">Journal des ventes</t>
        </is>
      </c>
      <c r="C59" s="0" t="inlineStr">
        <is>
          <t xml:space="preserve">VT00004</t>
        </is>
      </c>
      <c r="D59" s="10">
        <v>45665</v>
      </c>
      <c r="E59" s="4" t="inlineStr">
        <is>
          <t xml:space="preserve">445710</t>
        </is>
      </c>
      <c r="F59" s="0" t="inlineStr">
        <is>
          <t xml:space="preserve">TVA collectee</t>
        </is>
      </c>
      <c r="G59" s="0" t="inlineStr">
        <is>
          <t xml:space="preserve">FA2025-0004</t>
        </is>
      </c>
      <c r="H59" s="0" t="inlineStr">
        <is>
          <t xml:space="preserve">Facture FA2025-0004 Agence Mobilis</t>
        </is>
      </c>
      <c r="I59" s="8">
        <v>0</v>
      </c>
      <c r="J59" s="8">
        <v>5684.87</v>
      </c>
      <c r="K59" s="0"/>
      <c r="L59" s="0"/>
      <c r="M59" s="8">
        <f>I59-J59</f>
      </c>
      <c r="N59" s="0" t="inlineStr">
        <is>
          <t xml:space="preserve">2025-01</t>
        </is>
      </c>
      <c r="O59" s="0">
        <f>INDEX(Journaux!$E$5:$E$18,MATCH("2025|"&amp;A59,Journaux!$A$5:$A$18,0))</f>
      </c>
      <c r="P59" s="0">
        <f>INDEX(Comptes!$K$5:$K$42,MATCH(E59,Comptes!$A$5:$A$42,0))</f>
      </c>
      <c r="Q59" s="0" t="inlineStr">
        <is>
          <t xml:space="preserve">4</t>
        </is>
      </c>
    </row>
    <row r="60">
      <c r="A60" s="4" t="inlineStr">
        <is>
          <t xml:space="preserve">AC</t>
        </is>
      </c>
      <c r="B60" s="0" t="inlineStr">
        <is>
          <t xml:space="preserve">Journal des achats</t>
        </is>
      </c>
      <c r="C60" s="0" t="inlineStr">
        <is>
          <t xml:space="preserve">AC00001</t>
        </is>
      </c>
      <c r="D60" s="10">
        <v>45667</v>
      </c>
      <c r="E60" s="4" t="inlineStr">
        <is>
          <t xml:space="preserve">601000</t>
        </is>
      </c>
      <c r="F60" s="0" t="inlineStr">
        <is>
          <t xml:space="preserve">Achats de matieres premieres</t>
        </is>
      </c>
      <c r="G60" s="0" t="inlineStr">
        <is>
          <t xml:space="preserve">F003-2025011</t>
        </is>
      </c>
      <c r="H60" s="0" t="inlineStr">
        <is>
          <t xml:space="preserve">Facture Vernis et Finitions F003-2025011</t>
        </is>
      </c>
      <c r="I60" s="8">
        <v>16035.64</v>
      </c>
      <c r="J60" s="8">
        <v>0</v>
      </c>
      <c r="K60" s="0"/>
      <c r="L60" s="0"/>
      <c r="M60" s="8">
        <f>I60-J60</f>
      </c>
      <c r="N60" s="0" t="inlineStr">
        <is>
          <t xml:space="preserve">2025-01</t>
        </is>
      </c>
      <c r="O60" s="0">
        <f>INDEX(Journaux!$E$5:$E$18,MATCH("2025|"&amp;A60,Journaux!$A$5:$A$18,0))</f>
      </c>
      <c r="P60" s="0">
        <f>INDEX(Comptes!$K$5:$K$42,MATCH(E60,Comptes!$A$5:$A$42,0))</f>
      </c>
      <c r="Q60" s="0" t="inlineStr">
        <is>
          <t xml:space="preserve">6</t>
        </is>
      </c>
    </row>
    <row r="61">
      <c r="A61" s="4" t="inlineStr">
        <is>
          <t xml:space="preserve">AC</t>
        </is>
      </c>
      <c r="B61" s="0" t="inlineStr">
        <is>
          <t xml:space="preserve">Journal des achats</t>
        </is>
      </c>
      <c r="C61" s="0" t="inlineStr">
        <is>
          <t xml:space="preserve">AC00001</t>
        </is>
      </c>
      <c r="D61" s="10">
        <v>45667</v>
      </c>
      <c r="E61" s="4" t="inlineStr">
        <is>
          <t xml:space="preserve">445660</t>
        </is>
      </c>
      <c r="F61" s="0" t="inlineStr">
        <is>
          <t xml:space="preserve">TVA deductible sur ABS</t>
        </is>
      </c>
      <c r="G61" s="0" t="inlineStr">
        <is>
          <t xml:space="preserve">F003-2025011</t>
        </is>
      </c>
      <c r="H61" s="0" t="inlineStr">
        <is>
          <t xml:space="preserve">Facture Vernis et Finitions F003-2025011</t>
        </is>
      </c>
      <c r="I61" s="8">
        <v>3207.13</v>
      </c>
      <c r="J61" s="8">
        <v>0</v>
      </c>
      <c r="K61" s="0"/>
      <c r="L61" s="0"/>
      <c r="M61" s="8">
        <f>I61-J61</f>
      </c>
      <c r="N61" s="0" t="inlineStr">
        <is>
          <t xml:space="preserve">2025-01</t>
        </is>
      </c>
      <c r="O61" s="0">
        <f>INDEX(Journaux!$E$5:$E$18,MATCH("2025|"&amp;A61,Journaux!$A$5:$A$18,0))</f>
      </c>
      <c r="P61" s="0">
        <f>INDEX(Comptes!$K$5:$K$42,MATCH(E61,Comptes!$A$5:$A$42,0))</f>
      </c>
      <c r="Q61" s="0" t="inlineStr">
        <is>
          <t xml:space="preserve">4</t>
        </is>
      </c>
    </row>
    <row r="62">
      <c r="A62" s="4" t="inlineStr">
        <is>
          <t xml:space="preserve">AC</t>
        </is>
      </c>
      <c r="B62" s="0" t="inlineStr">
        <is>
          <t xml:space="preserve">Journal des achats</t>
        </is>
      </c>
      <c r="C62" s="0" t="inlineStr">
        <is>
          <t xml:space="preserve">AC00001</t>
        </is>
      </c>
      <c r="D62" s="10">
        <v>45667</v>
      </c>
      <c r="E62" s="4" t="inlineStr">
        <is>
          <t xml:space="preserve">401000</t>
        </is>
      </c>
      <c r="F62" s="0" t="inlineStr">
        <is>
          <t xml:space="preserve">Fournisseurs</t>
        </is>
      </c>
      <c r="G62" s="0" t="inlineStr">
        <is>
          <t xml:space="preserve">F003-2025011</t>
        </is>
      </c>
      <c r="H62" s="0" t="inlineStr">
        <is>
          <t xml:space="preserve">Facture Vernis et Finitions F003-2025011</t>
        </is>
      </c>
      <c r="I62" s="8">
        <v>0</v>
      </c>
      <c r="J62" s="8">
        <v>19242.77</v>
      </c>
      <c r="K62" s="0" t="inlineStr">
        <is>
          <t xml:space="preserve">ABI</t>
        </is>
      </c>
      <c r="L62" s="0" t="inlineStr">
        <is>
          <t xml:space="preserve">Vernis et Finitions</t>
        </is>
      </c>
      <c r="M62" s="8">
        <f>I62-J62</f>
      </c>
      <c r="N62" s="0" t="inlineStr">
        <is>
          <t xml:space="preserve">2025-01</t>
        </is>
      </c>
      <c r="O62" s="0">
        <f>INDEX(Journaux!$E$5:$E$18,MATCH("2025|"&amp;A62,Journaux!$A$5:$A$18,0))</f>
      </c>
      <c r="P62" s="0">
        <f>INDEX(Comptes!$K$5:$K$42,MATCH(E62,Comptes!$A$5:$A$42,0))</f>
      </c>
      <c r="Q62" s="0" t="inlineStr">
        <is>
          <t xml:space="preserve">4</t>
        </is>
      </c>
      <c r="R62" s="7" t="inlineStr">
        <is>
          <t xml:space="preserve">401000|F003</t>
        </is>
      </c>
    </row>
    <row r="63">
      <c r="A63" s="4" t="inlineStr">
        <is>
          <t xml:space="preserve">BQ</t>
        </is>
      </c>
      <c r="B63" s="0" t="inlineStr">
        <is>
          <t xml:space="preserve">Banque Fictive</t>
        </is>
      </c>
      <c r="C63" s="0" t="inlineStr">
        <is>
          <t xml:space="preserve">BQ00002</t>
        </is>
      </c>
      <c r="D63" s="10">
        <v>45667</v>
      </c>
      <c r="E63" s="4" t="inlineStr">
        <is>
          <t xml:space="preserve">164000</t>
        </is>
      </c>
      <c r="F63" s="0" t="inlineStr">
        <is>
          <t xml:space="preserve">Emprunts aupres des etablissements de credit</t>
        </is>
      </c>
      <c r="G63" s="0" t="inlineStr">
        <is>
          <t xml:space="preserve">ECH202501</t>
        </is>
      </c>
      <c r="H63" s="0" t="inlineStr">
        <is>
          <t xml:space="preserve">Echeance emprunt 01/2025</t>
        </is>
      </c>
      <c r="I63" s="8">
        <v>2000</v>
      </c>
      <c r="J63" s="8">
        <v>0</v>
      </c>
      <c r="K63" s="0"/>
      <c r="L63" s="0"/>
      <c r="M63" s="8">
        <f>I63-J63</f>
      </c>
      <c r="N63" s="0" t="inlineStr">
        <is>
          <t xml:space="preserve">2025-01</t>
        </is>
      </c>
      <c r="O63" s="0">
        <f>INDEX(Journaux!$E$5:$E$18,MATCH("2025|"&amp;A63,Journaux!$A$5:$A$18,0))</f>
      </c>
      <c r="P63" s="0">
        <f>INDEX(Comptes!$K$5:$K$42,MATCH(E63,Comptes!$A$5:$A$42,0))</f>
      </c>
      <c r="Q63" s="0" t="inlineStr">
        <is>
          <t xml:space="preserve">1</t>
        </is>
      </c>
    </row>
    <row r="64">
      <c r="A64" s="4" t="inlineStr">
        <is>
          <t xml:space="preserve">BQ</t>
        </is>
      </c>
      <c r="B64" s="0" t="inlineStr">
        <is>
          <t xml:space="preserve">Banque Fictive</t>
        </is>
      </c>
      <c r="C64" s="0" t="inlineStr">
        <is>
          <t xml:space="preserve">BQ00002</t>
        </is>
      </c>
      <c r="D64" s="10">
        <v>45667</v>
      </c>
      <c r="E64" s="4" t="inlineStr">
        <is>
          <t xml:space="preserve">661100</t>
        </is>
      </c>
      <c r="F64" s="0" t="inlineStr">
        <is>
          <t xml:space="preserve">Interets des emprunts</t>
        </is>
      </c>
      <c r="G64" s="0" t="inlineStr">
        <is>
          <t xml:space="preserve">ECH202501</t>
        </is>
      </c>
      <c r="H64" s="0" t="inlineStr">
        <is>
          <t xml:space="preserve">Echeance emprunt 01/2025</t>
        </is>
      </c>
      <c r="I64" s="8">
        <v>220</v>
      </c>
      <c r="J64" s="8">
        <v>0</v>
      </c>
      <c r="K64" s="0"/>
      <c r="L64" s="0"/>
      <c r="M64" s="8">
        <f>I64-J64</f>
      </c>
      <c r="N64" s="0" t="inlineStr">
        <is>
          <t xml:space="preserve">2025-01</t>
        </is>
      </c>
      <c r="O64" s="0">
        <f>INDEX(Journaux!$E$5:$E$18,MATCH("2025|"&amp;A64,Journaux!$A$5:$A$18,0))</f>
      </c>
      <c r="P64" s="0">
        <f>INDEX(Comptes!$K$5:$K$42,MATCH(E64,Comptes!$A$5:$A$42,0))</f>
      </c>
      <c r="Q64" s="0" t="inlineStr">
        <is>
          <t xml:space="preserve">6</t>
        </is>
      </c>
    </row>
    <row r="65">
      <c r="A65" s="4" t="inlineStr">
        <is>
          <t xml:space="preserve">BQ</t>
        </is>
      </c>
      <c r="B65" s="0" t="inlineStr">
        <is>
          <t xml:space="preserve">Banque Fictive</t>
        </is>
      </c>
      <c r="C65" s="0" t="inlineStr">
        <is>
          <t xml:space="preserve">BQ00002</t>
        </is>
      </c>
      <c r="D65" s="10">
        <v>45667</v>
      </c>
      <c r="E65" s="4" t="inlineStr">
        <is>
          <t xml:space="preserve">512000</t>
        </is>
      </c>
      <c r="F65" s="0" t="inlineStr">
        <is>
          <t xml:space="preserve">Banque Fictive</t>
        </is>
      </c>
      <c r="G65" s="0" t="inlineStr">
        <is>
          <t xml:space="preserve">ECH202501</t>
        </is>
      </c>
      <c r="H65" s="0" t="inlineStr">
        <is>
          <t xml:space="preserve">Echeance emprunt 01/2025</t>
        </is>
      </c>
      <c r="I65" s="8">
        <v>0</v>
      </c>
      <c r="J65" s="8">
        <v>2220</v>
      </c>
      <c r="K65" s="0"/>
      <c r="L65" s="0"/>
      <c r="M65" s="8">
        <f>I65-J65</f>
      </c>
      <c r="N65" s="0" t="inlineStr">
        <is>
          <t xml:space="preserve">2025-01</t>
        </is>
      </c>
      <c r="O65" s="0">
        <f>INDEX(Journaux!$E$5:$E$18,MATCH("2025|"&amp;A65,Journaux!$A$5:$A$18,0))</f>
      </c>
      <c r="P65" s="0">
        <f>INDEX(Comptes!$K$5:$K$42,MATCH(E65,Comptes!$A$5:$A$42,0))</f>
      </c>
      <c r="Q65" s="0" t="inlineStr">
        <is>
          <t xml:space="preserve">5</t>
        </is>
      </c>
    </row>
    <row r="66">
      <c r="A66" s="4" t="inlineStr">
        <is>
          <t xml:space="preserve">VT</t>
        </is>
      </c>
      <c r="B66" s="0" t="inlineStr">
        <is>
          <t xml:space="preserve">Journal des ventes</t>
        </is>
      </c>
      <c r="C66" s="0" t="inlineStr">
        <is>
          <t xml:space="preserve">VT00001</t>
        </is>
      </c>
      <c r="D66" s="10">
        <v>45670</v>
      </c>
      <c r="E66" s="4" t="inlineStr">
        <is>
          <t xml:space="preserve">411000</t>
        </is>
      </c>
      <c r="F66" s="0" t="inlineStr">
        <is>
          <t xml:space="preserve">Clients</t>
        </is>
      </c>
      <c r="G66" s="0" t="inlineStr">
        <is>
          <t xml:space="preserve">FA2025-0001</t>
        </is>
      </c>
      <c r="H66" s="0" t="inlineStr">
        <is>
          <t xml:space="preserve">Facture FA2025-0001 Agence Mobilis</t>
        </is>
      </c>
      <c r="I66" s="8">
        <v>23082.83</v>
      </c>
      <c r="J66" s="8">
        <v>0</v>
      </c>
      <c r="K66" s="0" t="inlineStr">
        <is>
          <t xml:space="preserve">AAI</t>
        </is>
      </c>
      <c r="L66" s="0" t="inlineStr">
        <is>
          <t xml:space="preserve">Agence Mobilis</t>
        </is>
      </c>
      <c r="M66" s="8">
        <f>I66-J66</f>
      </c>
      <c r="N66" s="0" t="inlineStr">
        <is>
          <t xml:space="preserve">2025-01</t>
        </is>
      </c>
      <c r="O66" s="0">
        <f>INDEX(Journaux!$E$5:$E$18,MATCH("2025|"&amp;A66,Journaux!$A$5:$A$18,0))</f>
      </c>
      <c r="P66" s="0">
        <f>INDEX(Comptes!$K$5:$K$42,MATCH(E66,Comptes!$A$5:$A$42,0))</f>
      </c>
      <c r="Q66" s="0" t="inlineStr">
        <is>
          <t xml:space="preserve">4</t>
        </is>
      </c>
      <c r="R66" s="7" t="inlineStr">
        <is>
          <t xml:space="preserve">411000|C002</t>
        </is>
      </c>
    </row>
    <row r="67">
      <c r="A67" s="4" t="inlineStr">
        <is>
          <t xml:space="preserve">VT</t>
        </is>
      </c>
      <c r="B67" s="0" t="inlineStr">
        <is>
          <t xml:space="preserve">Journal des ventes</t>
        </is>
      </c>
      <c r="C67" s="0" t="inlineStr">
        <is>
          <t xml:space="preserve">VT00001</t>
        </is>
      </c>
      <c r="D67" s="10">
        <v>45670</v>
      </c>
      <c r="E67" s="4" t="inlineStr">
        <is>
          <t xml:space="preserve">701000</t>
        </is>
      </c>
      <c r="F67" s="0" t="inlineStr">
        <is>
          <t xml:space="preserve">Ventes de produits finis</t>
        </is>
      </c>
      <c r="G67" s="0" t="inlineStr">
        <is>
          <t xml:space="preserve">FA2025-0001</t>
        </is>
      </c>
      <c r="H67" s="0" t="inlineStr">
        <is>
          <t xml:space="preserve">Facture FA2025-0001 Agence Mobilis</t>
        </is>
      </c>
      <c r="I67" s="8">
        <v>0</v>
      </c>
      <c r="J67" s="8">
        <v>19235.69</v>
      </c>
      <c r="K67" s="0"/>
      <c r="L67" s="0"/>
      <c r="M67" s="8">
        <f>I67-J67</f>
      </c>
      <c r="N67" s="0" t="inlineStr">
        <is>
          <t xml:space="preserve">2025-01</t>
        </is>
      </c>
      <c r="O67" s="0">
        <f>INDEX(Journaux!$E$5:$E$18,MATCH("2025|"&amp;A67,Journaux!$A$5:$A$18,0))</f>
      </c>
      <c r="P67" s="0">
        <f>INDEX(Comptes!$K$5:$K$42,MATCH(E67,Comptes!$A$5:$A$42,0))</f>
      </c>
      <c r="Q67" s="0" t="inlineStr">
        <is>
          <t xml:space="preserve">7</t>
        </is>
      </c>
    </row>
    <row r="68">
      <c r="A68" s="4" t="inlineStr">
        <is>
          <t xml:space="preserve">VT</t>
        </is>
      </c>
      <c r="B68" s="0" t="inlineStr">
        <is>
          <t xml:space="preserve">Journal des ventes</t>
        </is>
      </c>
      <c r="C68" s="0" t="inlineStr">
        <is>
          <t xml:space="preserve">VT00001</t>
        </is>
      </c>
      <c r="D68" s="10">
        <v>45670</v>
      </c>
      <c r="E68" s="4" t="inlineStr">
        <is>
          <t xml:space="preserve">445710</t>
        </is>
      </c>
      <c r="F68" s="0" t="inlineStr">
        <is>
          <t xml:space="preserve">TVA collectee</t>
        </is>
      </c>
      <c r="G68" s="0" t="inlineStr">
        <is>
          <t xml:space="preserve">FA2025-0001</t>
        </is>
      </c>
      <c r="H68" s="0" t="inlineStr">
        <is>
          <t xml:space="preserve">Facture FA2025-0001 Agence Mobilis</t>
        </is>
      </c>
      <c r="I68" s="8">
        <v>0</v>
      </c>
      <c r="J68" s="8">
        <v>3847.14</v>
      </c>
      <c r="K68" s="0"/>
      <c r="L68" s="0"/>
      <c r="M68" s="8">
        <f>I68-J68</f>
      </c>
      <c r="N68" s="0" t="inlineStr">
        <is>
          <t xml:space="preserve">2025-01</t>
        </is>
      </c>
      <c r="O68" s="0">
        <f>INDEX(Journaux!$E$5:$E$18,MATCH("2025|"&amp;A68,Journaux!$A$5:$A$18,0))</f>
      </c>
      <c r="P68" s="0">
        <f>INDEX(Comptes!$K$5:$K$42,MATCH(E68,Comptes!$A$5:$A$42,0))</f>
      </c>
      <c r="Q68" s="0" t="inlineStr">
        <is>
          <t xml:space="preserve">4</t>
        </is>
      </c>
    </row>
    <row r="69">
      <c r="A69" s="4" t="inlineStr">
        <is>
          <t xml:space="preserve">BQ</t>
        </is>
      </c>
      <c r="B69" s="0" t="inlineStr">
        <is>
          <t xml:space="preserve">Banque Fictive</t>
        </is>
      </c>
      <c r="C69" s="0" t="inlineStr">
        <is>
          <t xml:space="preserve">BQ00113</t>
        </is>
      </c>
      <c r="D69" s="10">
        <v>45671</v>
      </c>
      <c r="E69" s="4" t="inlineStr">
        <is>
          <t xml:space="preserve">401000</t>
        </is>
      </c>
      <c r="F69" s="0" t="inlineStr">
        <is>
          <t xml:space="preserve">Fournisseurs</t>
        </is>
      </c>
      <c r="G69" s="0" t="inlineStr">
        <is>
          <t xml:space="preserve">DEC-AN2025</t>
        </is>
      </c>
      <c r="H69" s="0" t="inlineStr">
        <is>
          <t xml:space="preserve">Reglement fournisseur Quincaillerie Pro Est AN2025</t>
        </is>
      </c>
      <c r="I69" s="8">
        <v>52590.01</v>
      </c>
      <c r="J69" s="8">
        <v>0</v>
      </c>
      <c r="K69" s="0" t="inlineStr">
        <is>
          <t xml:space="preserve">ABB</t>
        </is>
      </c>
      <c r="L69" s="0" t="inlineStr">
        <is>
          <t xml:space="preserve">Quincaillerie Pro Est</t>
        </is>
      </c>
      <c r="M69" s="8">
        <f>I69-J69</f>
      </c>
      <c r="N69" s="0" t="inlineStr">
        <is>
          <t xml:space="preserve">2025-01</t>
        </is>
      </c>
      <c r="O69" s="0">
        <f>INDEX(Journaux!$E$5:$E$18,MATCH("2025|"&amp;A69,Journaux!$A$5:$A$18,0))</f>
      </c>
      <c r="P69" s="0">
        <f>INDEX(Comptes!$K$5:$K$42,MATCH(E69,Comptes!$A$5:$A$42,0))</f>
      </c>
      <c r="Q69" s="0" t="inlineStr">
        <is>
          <t xml:space="preserve">4</t>
        </is>
      </c>
      <c r="R69" s="7" t="inlineStr">
        <is>
          <t xml:space="preserve">401000|F002</t>
        </is>
      </c>
    </row>
    <row r="70">
      <c r="A70" s="4" t="inlineStr">
        <is>
          <t xml:space="preserve">BQ</t>
        </is>
      </c>
      <c r="B70" s="0" t="inlineStr">
        <is>
          <t xml:space="preserve">Banque Fictive</t>
        </is>
      </c>
      <c r="C70" s="0" t="inlineStr">
        <is>
          <t xml:space="preserve">BQ00113</t>
        </is>
      </c>
      <c r="D70" s="10">
        <v>45671</v>
      </c>
      <c r="E70" s="4" t="inlineStr">
        <is>
          <t xml:space="preserve">512000</t>
        </is>
      </c>
      <c r="F70" s="0" t="inlineStr">
        <is>
          <t xml:space="preserve">Banque Fictive</t>
        </is>
      </c>
      <c r="G70" s="0" t="inlineStr">
        <is>
          <t xml:space="preserve">DEC-AN2025</t>
        </is>
      </c>
      <c r="H70" s="0" t="inlineStr">
        <is>
          <t xml:space="preserve">Reglement fournisseur Quincaillerie Pro Est AN2025</t>
        </is>
      </c>
      <c r="I70" s="8">
        <v>0</v>
      </c>
      <c r="J70" s="8">
        <v>52590.01</v>
      </c>
      <c r="K70" s="0"/>
      <c r="L70" s="0"/>
      <c r="M70" s="8">
        <f>I70-J70</f>
      </c>
      <c r="N70" s="0" t="inlineStr">
        <is>
          <t xml:space="preserve">2025-01</t>
        </is>
      </c>
      <c r="O70" s="0">
        <f>INDEX(Journaux!$E$5:$E$18,MATCH("2025|"&amp;A70,Journaux!$A$5:$A$18,0))</f>
      </c>
      <c r="P70" s="0">
        <f>INDEX(Comptes!$K$5:$K$42,MATCH(E70,Comptes!$A$5:$A$42,0))</f>
      </c>
      <c r="Q70" s="0" t="inlineStr">
        <is>
          <t xml:space="preserve">5</t>
        </is>
      </c>
    </row>
    <row r="71">
      <c r="A71" s="4" t="inlineStr">
        <is>
          <t xml:space="preserve">BQ</t>
        </is>
      </c>
      <c r="B71" s="0" t="inlineStr">
        <is>
          <t xml:space="preserve">Banque Fictive</t>
        </is>
      </c>
      <c r="C71" s="0" t="inlineStr">
        <is>
          <t xml:space="preserve">BQ00037</t>
        </is>
      </c>
      <c r="D71" s="10">
        <v>45672</v>
      </c>
      <c r="E71" s="4" t="inlineStr">
        <is>
          <t xml:space="preserve">431000</t>
        </is>
      </c>
      <c r="F71" s="0" t="inlineStr">
        <is>
          <t xml:space="preserve">Securite sociale</t>
        </is>
      </c>
      <c r="G71" s="0" t="inlineStr">
        <is>
          <t xml:space="preserve">URSSAF202412</t>
        </is>
      </c>
      <c r="H71" s="0" t="inlineStr">
        <is>
          <t xml:space="preserve">Reglement URSSAF 12/2024</t>
        </is>
      </c>
      <c r="I71" s="8">
        <v>33292.52</v>
      </c>
      <c r="J71" s="8">
        <v>0</v>
      </c>
      <c r="K71" s="0"/>
      <c r="L71" s="0"/>
      <c r="M71" s="8">
        <f>I71-J71</f>
      </c>
      <c r="N71" s="0" t="inlineStr">
        <is>
          <t xml:space="preserve">2025-01</t>
        </is>
      </c>
      <c r="O71" s="0">
        <f>INDEX(Journaux!$E$5:$E$18,MATCH("2025|"&amp;A71,Journaux!$A$5:$A$18,0))</f>
      </c>
      <c r="P71" s="0">
        <f>INDEX(Comptes!$K$5:$K$42,MATCH(E71,Comptes!$A$5:$A$42,0))</f>
      </c>
      <c r="Q71" s="0" t="inlineStr">
        <is>
          <t xml:space="preserve">4</t>
        </is>
      </c>
    </row>
    <row r="72">
      <c r="A72" s="4" t="inlineStr">
        <is>
          <t xml:space="preserve">BQ</t>
        </is>
      </c>
      <c r="B72" s="0" t="inlineStr">
        <is>
          <t xml:space="preserve">Banque Fictive</t>
        </is>
      </c>
      <c r="C72" s="0" t="inlineStr">
        <is>
          <t xml:space="preserve">BQ00037</t>
        </is>
      </c>
      <c r="D72" s="10">
        <v>45672</v>
      </c>
      <c r="E72" s="4" t="inlineStr">
        <is>
          <t xml:space="preserve">512000</t>
        </is>
      </c>
      <c r="F72" s="0" t="inlineStr">
        <is>
          <t xml:space="preserve">Banque Fictive</t>
        </is>
      </c>
      <c r="G72" s="0" t="inlineStr">
        <is>
          <t xml:space="preserve">URSSAF202412</t>
        </is>
      </c>
      <c r="H72" s="0" t="inlineStr">
        <is>
          <t xml:space="preserve">Reglement URSSAF 12/2024</t>
        </is>
      </c>
      <c r="I72" s="8">
        <v>0</v>
      </c>
      <c r="J72" s="8">
        <v>33292.52</v>
      </c>
      <c r="K72" s="0"/>
      <c r="L72" s="0"/>
      <c r="M72" s="8">
        <f>I72-J72</f>
      </c>
      <c r="N72" s="0" t="inlineStr">
        <is>
          <t xml:space="preserve">2025-01</t>
        </is>
      </c>
      <c r="O72" s="0">
        <f>INDEX(Journaux!$E$5:$E$18,MATCH("2025|"&amp;A72,Journaux!$A$5:$A$18,0))</f>
      </c>
      <c r="P72" s="0">
        <f>INDEX(Comptes!$K$5:$K$42,MATCH(E72,Comptes!$A$5:$A$42,0))</f>
      </c>
      <c r="Q72" s="0" t="inlineStr">
        <is>
          <t xml:space="preserve">5</t>
        </is>
      </c>
    </row>
    <row r="73">
      <c r="A73" s="4" t="inlineStr">
        <is>
          <t xml:space="preserve">BQ</t>
        </is>
      </c>
      <c r="B73" s="0" t="inlineStr">
        <is>
          <t xml:space="preserve">Banque Fictive</t>
        </is>
      </c>
      <c r="C73" s="0" t="inlineStr">
        <is>
          <t xml:space="preserve">BQ00061</t>
        </is>
      </c>
      <c r="D73" s="10">
        <v>45672</v>
      </c>
      <c r="E73" s="4" t="inlineStr">
        <is>
          <t xml:space="preserve">512000</t>
        </is>
      </c>
      <c r="F73" s="0" t="inlineStr">
        <is>
          <t xml:space="preserve">Banque Fictive</t>
        </is>
      </c>
      <c r="G73" s="0" t="inlineStr">
        <is>
          <t xml:space="preserve">ENC-AN2025</t>
        </is>
      </c>
      <c r="H73" s="0" t="inlineStr">
        <is>
          <t xml:space="preserve">Reglement client Agence Mobilis AN2025</t>
        </is>
      </c>
      <c r="I73" s="8">
        <v>35886.29</v>
      </c>
      <c r="J73" s="8">
        <v>0</v>
      </c>
      <c r="K73" s="0"/>
      <c r="L73" s="0"/>
      <c r="M73" s="8">
        <f>I73-J73</f>
      </c>
      <c r="N73" s="0" t="inlineStr">
        <is>
          <t xml:space="preserve">2025-01</t>
        </is>
      </c>
      <c r="O73" s="0">
        <f>INDEX(Journaux!$E$5:$E$18,MATCH("2025|"&amp;A73,Journaux!$A$5:$A$18,0))</f>
      </c>
      <c r="P73" s="0">
        <f>INDEX(Comptes!$K$5:$K$42,MATCH(E73,Comptes!$A$5:$A$42,0))</f>
      </c>
      <c r="Q73" s="0" t="inlineStr">
        <is>
          <t xml:space="preserve">5</t>
        </is>
      </c>
    </row>
    <row r="74">
      <c r="A74" s="4" t="inlineStr">
        <is>
          <t xml:space="preserve">BQ</t>
        </is>
      </c>
      <c r="B74" s="0" t="inlineStr">
        <is>
          <t xml:space="preserve">Banque Fictive</t>
        </is>
      </c>
      <c r="C74" s="0" t="inlineStr">
        <is>
          <t xml:space="preserve">BQ00061</t>
        </is>
      </c>
      <c r="D74" s="10">
        <v>45672</v>
      </c>
      <c r="E74" s="4" t="inlineStr">
        <is>
          <t xml:space="preserve">411000</t>
        </is>
      </c>
      <c r="F74" s="0" t="inlineStr">
        <is>
          <t xml:space="preserve">Clients</t>
        </is>
      </c>
      <c r="G74" s="0" t="inlineStr">
        <is>
          <t xml:space="preserve">ENC-AN2025</t>
        </is>
      </c>
      <c r="H74" s="0" t="inlineStr">
        <is>
          <t xml:space="preserve">Reglement client Agence Mobilis AN2025</t>
        </is>
      </c>
      <c r="I74" s="8">
        <v>0</v>
      </c>
      <c r="J74" s="8">
        <v>35886.29</v>
      </c>
      <c r="K74" s="0" t="inlineStr">
        <is>
          <t xml:space="preserve">AAB</t>
        </is>
      </c>
      <c r="L74" s="0" t="inlineStr">
        <is>
          <t xml:space="preserve">Agence Mobilis</t>
        </is>
      </c>
      <c r="M74" s="8">
        <f>I74-J74</f>
      </c>
      <c r="N74" s="0" t="inlineStr">
        <is>
          <t xml:space="preserve">2025-01</t>
        </is>
      </c>
      <c r="O74" s="0">
        <f>INDEX(Journaux!$E$5:$E$18,MATCH("2025|"&amp;A74,Journaux!$A$5:$A$18,0))</f>
      </c>
      <c r="P74" s="0">
        <f>INDEX(Comptes!$K$5:$K$42,MATCH(E74,Comptes!$A$5:$A$42,0))</f>
      </c>
      <c r="Q74" s="0" t="inlineStr">
        <is>
          <t xml:space="preserve">4</t>
        </is>
      </c>
      <c r="R74" s="7" t="inlineStr">
        <is>
          <t xml:space="preserve">411000|C002</t>
        </is>
      </c>
    </row>
    <row r="75">
      <c r="A75" s="4" t="inlineStr">
        <is>
          <t xml:space="preserve">AC</t>
        </is>
      </c>
      <c r="B75" s="0" t="inlineStr">
        <is>
          <t xml:space="preserve">Journal des achats</t>
        </is>
      </c>
      <c r="C75" s="0" t="inlineStr">
        <is>
          <t xml:space="preserve">AC00002</t>
        </is>
      </c>
      <c r="D75" s="10">
        <v>45677</v>
      </c>
      <c r="E75" s="4" t="inlineStr">
        <is>
          <t xml:space="preserve">601000</t>
        </is>
      </c>
      <c r="F75" s="0" t="inlineStr">
        <is>
          <t xml:space="preserve">Achats de matieres premieres</t>
        </is>
      </c>
      <c r="G75" s="0" t="inlineStr">
        <is>
          <t xml:space="preserve">F001-2025012</t>
        </is>
      </c>
      <c r="H75" s="0" t="inlineStr">
        <is>
          <t xml:space="preserve">Facture Scierie du Nord F001-2025012</t>
        </is>
      </c>
      <c r="I75" s="8">
        <v>15958.36</v>
      </c>
      <c r="J75" s="8">
        <v>0</v>
      </c>
      <c r="K75" s="0"/>
      <c r="L75" s="0"/>
      <c r="M75" s="8">
        <f>I75-J75</f>
      </c>
      <c r="N75" s="0" t="inlineStr">
        <is>
          <t xml:space="preserve">2025-01</t>
        </is>
      </c>
      <c r="O75" s="0">
        <f>INDEX(Journaux!$E$5:$E$18,MATCH("2025|"&amp;A75,Journaux!$A$5:$A$18,0))</f>
      </c>
      <c r="P75" s="0">
        <f>INDEX(Comptes!$K$5:$K$42,MATCH(E75,Comptes!$A$5:$A$42,0))</f>
      </c>
      <c r="Q75" s="0" t="inlineStr">
        <is>
          <t xml:space="preserve">6</t>
        </is>
      </c>
    </row>
    <row r="76">
      <c r="A76" s="4" t="inlineStr">
        <is>
          <t xml:space="preserve">AC</t>
        </is>
      </c>
      <c r="B76" s="0" t="inlineStr">
        <is>
          <t xml:space="preserve">Journal des achats</t>
        </is>
      </c>
      <c r="C76" s="0" t="inlineStr">
        <is>
          <t xml:space="preserve">AC00002</t>
        </is>
      </c>
      <c r="D76" s="10">
        <v>45677</v>
      </c>
      <c r="E76" s="4" t="inlineStr">
        <is>
          <t xml:space="preserve">445660</t>
        </is>
      </c>
      <c r="F76" s="0" t="inlineStr">
        <is>
          <t xml:space="preserve">TVA deductible sur ABS</t>
        </is>
      </c>
      <c r="G76" s="0" t="inlineStr">
        <is>
          <t xml:space="preserve">F001-2025012</t>
        </is>
      </c>
      <c r="H76" s="0" t="inlineStr">
        <is>
          <t xml:space="preserve">Facture Scierie du Nord F001-2025012</t>
        </is>
      </c>
      <c r="I76" s="8">
        <v>3191.67</v>
      </c>
      <c r="J76" s="8">
        <v>0</v>
      </c>
      <c r="K76" s="0"/>
      <c r="L76" s="0"/>
      <c r="M76" s="8">
        <f>I76-J76</f>
      </c>
      <c r="N76" s="0" t="inlineStr">
        <is>
          <t xml:space="preserve">2025-01</t>
        </is>
      </c>
      <c r="O76" s="0">
        <f>INDEX(Journaux!$E$5:$E$18,MATCH("2025|"&amp;A76,Journaux!$A$5:$A$18,0))</f>
      </c>
      <c r="P76" s="0">
        <f>INDEX(Comptes!$K$5:$K$42,MATCH(E76,Comptes!$A$5:$A$42,0))</f>
      </c>
      <c r="Q76" s="0" t="inlineStr">
        <is>
          <t xml:space="preserve">4</t>
        </is>
      </c>
    </row>
    <row r="77">
      <c r="A77" s="4" t="inlineStr">
        <is>
          <t xml:space="preserve">AC</t>
        </is>
      </c>
      <c r="B77" s="0" t="inlineStr">
        <is>
          <t xml:space="preserve">Journal des achats</t>
        </is>
      </c>
      <c r="C77" s="0" t="inlineStr">
        <is>
          <t xml:space="preserve">AC00002</t>
        </is>
      </c>
      <c r="D77" s="10">
        <v>45677</v>
      </c>
      <c r="E77" s="4" t="inlineStr">
        <is>
          <t xml:space="preserve">401000</t>
        </is>
      </c>
      <c r="F77" s="0" t="inlineStr">
        <is>
          <t xml:space="preserve">Fournisseurs</t>
        </is>
      </c>
      <c r="G77" s="0" t="inlineStr">
        <is>
          <t xml:space="preserve">F001-2025012</t>
        </is>
      </c>
      <c r="H77" s="0" t="inlineStr">
        <is>
          <t xml:space="preserve">Facture Scierie du Nord F001-2025012</t>
        </is>
      </c>
      <c r="I77" s="8">
        <v>0</v>
      </c>
      <c r="J77" s="8">
        <v>19150.03</v>
      </c>
      <c r="K77" s="0" t="inlineStr">
        <is>
          <t xml:space="preserve">ABJ</t>
        </is>
      </c>
      <c r="L77" s="0" t="inlineStr">
        <is>
          <t xml:space="preserve">Scierie du Nord</t>
        </is>
      </c>
      <c r="M77" s="8">
        <f>I77-J77</f>
      </c>
      <c r="N77" s="0" t="inlineStr">
        <is>
          <t xml:space="preserve">2025-01</t>
        </is>
      </c>
      <c r="O77" s="0">
        <f>INDEX(Journaux!$E$5:$E$18,MATCH("2025|"&amp;A77,Journaux!$A$5:$A$18,0))</f>
      </c>
      <c r="P77" s="0">
        <f>INDEX(Comptes!$K$5:$K$42,MATCH(E77,Comptes!$A$5:$A$42,0))</f>
      </c>
      <c r="Q77" s="0" t="inlineStr">
        <is>
          <t xml:space="preserve">4</t>
        </is>
      </c>
      <c r="R77" s="7" t="inlineStr">
        <is>
          <t xml:space="preserve">401000|F001</t>
        </is>
      </c>
    </row>
    <row r="78">
      <c r="A78" s="4" t="inlineStr">
        <is>
          <t xml:space="preserve">BQ</t>
        </is>
      </c>
      <c r="B78" s="0" t="inlineStr">
        <is>
          <t xml:space="preserve">Banque Fictive</t>
        </is>
      </c>
      <c r="C78" s="0" t="inlineStr">
        <is>
          <t xml:space="preserve">BQ00038</t>
        </is>
      </c>
      <c r="D78" s="10">
        <v>45677</v>
      </c>
      <c r="E78" s="4" t="inlineStr">
        <is>
          <t xml:space="preserve">445510</t>
        </is>
      </c>
      <c r="F78" s="0" t="inlineStr">
        <is>
          <t xml:space="preserve">TVA a decaisser</t>
        </is>
      </c>
      <c r="G78" s="0" t="inlineStr">
        <is>
          <t xml:space="preserve">TVA202412</t>
        </is>
      </c>
      <c r="H78" s="0" t="inlineStr">
        <is>
          <t xml:space="preserve">Reglement TVA 12/2024</t>
        </is>
      </c>
      <c r="I78" s="8">
        <v>14795.86</v>
      </c>
      <c r="J78" s="8">
        <v>0</v>
      </c>
      <c r="K78" s="0"/>
      <c r="L78" s="0"/>
      <c r="M78" s="8">
        <f>I78-J78</f>
      </c>
      <c r="N78" s="0" t="inlineStr">
        <is>
          <t xml:space="preserve">2025-01</t>
        </is>
      </c>
      <c r="O78" s="0">
        <f>INDEX(Journaux!$E$5:$E$18,MATCH("2025|"&amp;A78,Journaux!$A$5:$A$18,0))</f>
      </c>
      <c r="P78" s="0">
        <f>INDEX(Comptes!$K$5:$K$42,MATCH(E78,Comptes!$A$5:$A$42,0))</f>
      </c>
      <c r="Q78" s="0" t="inlineStr">
        <is>
          <t xml:space="preserve">4</t>
        </is>
      </c>
    </row>
    <row r="79">
      <c r="A79" s="4" t="inlineStr">
        <is>
          <t xml:space="preserve">BQ</t>
        </is>
      </c>
      <c r="B79" s="0" t="inlineStr">
        <is>
          <t xml:space="preserve">Banque Fictive</t>
        </is>
      </c>
      <c r="C79" s="0" t="inlineStr">
        <is>
          <t xml:space="preserve">BQ00038</t>
        </is>
      </c>
      <c r="D79" s="10">
        <v>45677</v>
      </c>
      <c r="E79" s="4" t="inlineStr">
        <is>
          <t xml:space="preserve">512000</t>
        </is>
      </c>
      <c r="F79" s="0" t="inlineStr">
        <is>
          <t xml:space="preserve">Banque Fictive</t>
        </is>
      </c>
      <c r="G79" s="0" t="inlineStr">
        <is>
          <t xml:space="preserve">TVA202412</t>
        </is>
      </c>
      <c r="H79" s="0" t="inlineStr">
        <is>
          <t xml:space="preserve">Reglement TVA 12/2024</t>
        </is>
      </c>
      <c r="I79" s="8">
        <v>0</v>
      </c>
      <c r="J79" s="8">
        <v>14795.86</v>
      </c>
      <c r="K79" s="0"/>
      <c r="L79" s="0"/>
      <c r="M79" s="8">
        <f>I79-J79</f>
      </c>
      <c r="N79" s="0" t="inlineStr">
        <is>
          <t xml:space="preserve">2025-01</t>
        </is>
      </c>
      <c r="O79" s="0">
        <f>INDEX(Journaux!$E$5:$E$18,MATCH("2025|"&amp;A79,Journaux!$A$5:$A$18,0))</f>
      </c>
      <c r="P79" s="0">
        <f>INDEX(Comptes!$K$5:$K$42,MATCH(E79,Comptes!$A$5:$A$42,0))</f>
      </c>
      <c r="Q79" s="0" t="inlineStr">
        <is>
          <t xml:space="preserve">5</t>
        </is>
      </c>
    </row>
    <row r="80">
      <c r="A80" s="4" t="inlineStr">
        <is>
          <t xml:space="preserve">VT</t>
        </is>
      </c>
      <c r="B80" s="0" t="inlineStr">
        <is>
          <t xml:space="preserve">Journal des ventes</t>
        </is>
      </c>
      <c r="C80" s="0" t="inlineStr">
        <is>
          <t xml:space="preserve">VT00005</t>
        </is>
      </c>
      <c r="D80" s="10">
        <v>45677</v>
      </c>
      <c r="E80" s="4" t="inlineStr">
        <is>
          <t xml:space="preserve">411000</t>
        </is>
      </c>
      <c r="F80" s="0" t="inlineStr">
        <is>
          <t xml:space="preserve">Clients</t>
        </is>
      </c>
      <c r="G80" s="0" t="inlineStr">
        <is>
          <t xml:space="preserve">FA2025-0005</t>
        </is>
      </c>
      <c r="H80" s="0" t="inlineStr">
        <is>
          <t xml:space="preserve">Facture FA2025-0005 Boutique Hetre et Chene</t>
        </is>
      </c>
      <c r="I80" s="8">
        <v>18286.85</v>
      </c>
      <c r="J80" s="8">
        <v>0</v>
      </c>
      <c r="K80" s="0" t="inlineStr">
        <is>
          <t xml:space="preserve">AAM</t>
        </is>
      </c>
      <c r="L80" s="0" t="inlineStr">
        <is>
          <t xml:space="preserve">Boutique Hetre et Chene</t>
        </is>
      </c>
      <c r="M80" s="8">
        <f>I80-J80</f>
      </c>
      <c r="N80" s="0" t="inlineStr">
        <is>
          <t xml:space="preserve">2025-01</t>
        </is>
      </c>
      <c r="O80" s="0">
        <f>INDEX(Journaux!$E$5:$E$18,MATCH("2025|"&amp;A80,Journaux!$A$5:$A$18,0))</f>
      </c>
      <c r="P80" s="0">
        <f>INDEX(Comptes!$K$5:$K$42,MATCH(E80,Comptes!$A$5:$A$42,0))</f>
      </c>
      <c r="Q80" s="0" t="inlineStr">
        <is>
          <t xml:space="preserve">4</t>
        </is>
      </c>
      <c r="R80" s="7" t="inlineStr">
        <is>
          <t xml:space="preserve">411000|C007</t>
        </is>
      </c>
    </row>
    <row r="81">
      <c r="A81" s="4" t="inlineStr">
        <is>
          <t xml:space="preserve">VT</t>
        </is>
      </c>
      <c r="B81" s="0" t="inlineStr">
        <is>
          <t xml:space="preserve">Journal des ventes</t>
        </is>
      </c>
      <c r="C81" s="0" t="inlineStr">
        <is>
          <t xml:space="preserve">VT00005</t>
        </is>
      </c>
      <c r="D81" s="10">
        <v>45677</v>
      </c>
      <c r="E81" s="4" t="inlineStr">
        <is>
          <t xml:space="preserve">701000</t>
        </is>
      </c>
      <c r="F81" s="0" t="inlineStr">
        <is>
          <t xml:space="preserve">Ventes de produits finis</t>
        </is>
      </c>
      <c r="G81" s="0" t="inlineStr">
        <is>
          <t xml:space="preserve">FA2025-0005</t>
        </is>
      </c>
      <c r="H81" s="0" t="inlineStr">
        <is>
          <t xml:space="preserve">Facture FA2025-0005 Boutique Hetre et Chene</t>
        </is>
      </c>
      <c r="I81" s="8">
        <v>0</v>
      </c>
      <c r="J81" s="8">
        <v>15239.04</v>
      </c>
      <c r="K81" s="0"/>
      <c r="L81" s="0"/>
      <c r="M81" s="8">
        <f>I81-J81</f>
      </c>
      <c r="N81" s="0" t="inlineStr">
        <is>
          <t xml:space="preserve">2025-01</t>
        </is>
      </c>
      <c r="O81" s="0">
        <f>INDEX(Journaux!$E$5:$E$18,MATCH("2025|"&amp;A81,Journaux!$A$5:$A$18,0))</f>
      </c>
      <c r="P81" s="0">
        <f>INDEX(Comptes!$K$5:$K$42,MATCH(E81,Comptes!$A$5:$A$42,0))</f>
      </c>
      <c r="Q81" s="0" t="inlineStr">
        <is>
          <t xml:space="preserve">7</t>
        </is>
      </c>
    </row>
    <row r="82">
      <c r="A82" s="4" t="inlineStr">
        <is>
          <t xml:space="preserve">VT</t>
        </is>
      </c>
      <c r="B82" s="0" t="inlineStr">
        <is>
          <t xml:space="preserve">Journal des ventes</t>
        </is>
      </c>
      <c r="C82" s="0" t="inlineStr">
        <is>
          <t xml:space="preserve">VT00005</t>
        </is>
      </c>
      <c r="D82" s="10">
        <v>45677</v>
      </c>
      <c r="E82" s="4" t="inlineStr">
        <is>
          <t xml:space="preserve">445710</t>
        </is>
      </c>
      <c r="F82" s="0" t="inlineStr">
        <is>
          <t xml:space="preserve">TVA collectee</t>
        </is>
      </c>
      <c r="G82" s="0" t="inlineStr">
        <is>
          <t xml:space="preserve">FA2025-0005</t>
        </is>
      </c>
      <c r="H82" s="0" t="inlineStr">
        <is>
          <t xml:space="preserve">Facture FA2025-0005 Boutique Hetre et Chene</t>
        </is>
      </c>
      <c r="I82" s="8">
        <v>0</v>
      </c>
      <c r="J82" s="8">
        <v>3047.81</v>
      </c>
      <c r="K82" s="0"/>
      <c r="L82" s="0"/>
      <c r="M82" s="8">
        <f>I82-J82</f>
      </c>
      <c r="N82" s="0" t="inlineStr">
        <is>
          <t xml:space="preserve">2025-01</t>
        </is>
      </c>
      <c r="O82" s="0">
        <f>INDEX(Journaux!$E$5:$E$18,MATCH("2025|"&amp;A82,Journaux!$A$5:$A$18,0))</f>
      </c>
      <c r="P82" s="0">
        <f>INDEX(Comptes!$K$5:$K$42,MATCH(E82,Comptes!$A$5:$A$42,0))</f>
      </c>
      <c r="Q82" s="0" t="inlineStr">
        <is>
          <t xml:space="preserve">4</t>
        </is>
      </c>
    </row>
    <row r="83">
      <c r="A83" s="4" t="inlineStr">
        <is>
          <t xml:space="preserve">AC</t>
        </is>
      </c>
      <c r="B83" s="0" t="inlineStr">
        <is>
          <t xml:space="preserve">Journal des achats</t>
        </is>
      </c>
      <c r="C83" s="0" t="inlineStr">
        <is>
          <t xml:space="preserve">AC00003</t>
        </is>
      </c>
      <c r="D83" s="10">
        <v>45678</v>
      </c>
      <c r="E83" s="4" t="inlineStr">
        <is>
          <t xml:space="preserve">601000</t>
        </is>
      </c>
      <c r="F83" s="0" t="inlineStr">
        <is>
          <t xml:space="preserve">Achats de matieres premieres</t>
        </is>
      </c>
      <c r="G83" s="0" t="inlineStr">
        <is>
          <t xml:space="preserve">F001-2025013</t>
        </is>
      </c>
      <c r="H83" s="0" t="inlineStr">
        <is>
          <t xml:space="preserve">Facture Scierie du Nord F001-2025013</t>
        </is>
      </c>
      <c r="I83" s="8">
        <v>20097.67</v>
      </c>
      <c r="J83" s="8">
        <v>0</v>
      </c>
      <c r="K83" s="0"/>
      <c r="L83" s="0"/>
      <c r="M83" s="8">
        <f>I83-J83</f>
      </c>
      <c r="N83" s="0" t="inlineStr">
        <is>
          <t xml:space="preserve">2025-01</t>
        </is>
      </c>
      <c r="O83" s="0">
        <f>INDEX(Journaux!$E$5:$E$18,MATCH("2025|"&amp;A83,Journaux!$A$5:$A$18,0))</f>
      </c>
      <c r="P83" s="0">
        <f>INDEX(Comptes!$K$5:$K$42,MATCH(E83,Comptes!$A$5:$A$42,0))</f>
      </c>
      <c r="Q83" s="0" t="inlineStr">
        <is>
          <t xml:space="preserve">6</t>
        </is>
      </c>
    </row>
    <row r="84">
      <c r="A84" s="4" t="inlineStr">
        <is>
          <t xml:space="preserve">AC</t>
        </is>
      </c>
      <c r="B84" s="0" t="inlineStr">
        <is>
          <t xml:space="preserve">Journal des achats</t>
        </is>
      </c>
      <c r="C84" s="0" t="inlineStr">
        <is>
          <t xml:space="preserve">AC00003</t>
        </is>
      </c>
      <c r="D84" s="10">
        <v>45678</v>
      </c>
      <c r="E84" s="4" t="inlineStr">
        <is>
          <t xml:space="preserve">445660</t>
        </is>
      </c>
      <c r="F84" s="0" t="inlineStr">
        <is>
          <t xml:space="preserve">TVA deductible sur ABS</t>
        </is>
      </c>
      <c r="G84" s="0" t="inlineStr">
        <is>
          <t xml:space="preserve">F001-2025013</t>
        </is>
      </c>
      <c r="H84" s="0" t="inlineStr">
        <is>
          <t xml:space="preserve">Facture Scierie du Nord F001-2025013</t>
        </is>
      </c>
      <c r="I84" s="8">
        <v>4019.53</v>
      </c>
      <c r="J84" s="8">
        <v>0</v>
      </c>
      <c r="K84" s="0"/>
      <c r="L84" s="0"/>
      <c r="M84" s="8">
        <f>I84-J84</f>
      </c>
      <c r="N84" s="0" t="inlineStr">
        <is>
          <t xml:space="preserve">2025-01</t>
        </is>
      </c>
      <c r="O84" s="0">
        <f>INDEX(Journaux!$E$5:$E$18,MATCH("2025|"&amp;A84,Journaux!$A$5:$A$18,0))</f>
      </c>
      <c r="P84" s="0">
        <f>INDEX(Comptes!$K$5:$K$42,MATCH(E84,Comptes!$A$5:$A$42,0))</f>
      </c>
      <c r="Q84" s="0" t="inlineStr">
        <is>
          <t xml:space="preserve">4</t>
        </is>
      </c>
    </row>
    <row r="85">
      <c r="A85" s="4" t="inlineStr">
        <is>
          <t xml:space="preserve">AC</t>
        </is>
      </c>
      <c r="B85" s="0" t="inlineStr">
        <is>
          <t xml:space="preserve">Journal des achats</t>
        </is>
      </c>
      <c r="C85" s="0" t="inlineStr">
        <is>
          <t xml:space="preserve">AC00003</t>
        </is>
      </c>
      <c r="D85" s="10">
        <v>45678</v>
      </c>
      <c r="E85" s="4" t="inlineStr">
        <is>
          <t xml:space="preserve">401000</t>
        </is>
      </c>
      <c r="F85" s="0" t="inlineStr">
        <is>
          <t xml:space="preserve">Fournisseurs</t>
        </is>
      </c>
      <c r="G85" s="0" t="inlineStr">
        <is>
          <t xml:space="preserve">F001-2025013</t>
        </is>
      </c>
      <c r="H85" s="0" t="inlineStr">
        <is>
          <t xml:space="preserve">Facture Scierie du Nord F001-2025013</t>
        </is>
      </c>
      <c r="I85" s="8">
        <v>0</v>
      </c>
      <c r="J85" s="8">
        <v>24117.2</v>
      </c>
      <c r="K85" s="0" t="inlineStr">
        <is>
          <t xml:space="preserve">ABK</t>
        </is>
      </c>
      <c r="L85" s="0" t="inlineStr">
        <is>
          <t xml:space="preserve">Scierie du Nord</t>
        </is>
      </c>
      <c r="M85" s="8">
        <f>I85-J85</f>
      </c>
      <c r="N85" s="0" t="inlineStr">
        <is>
          <t xml:space="preserve">2025-01</t>
        </is>
      </c>
      <c r="O85" s="0">
        <f>INDEX(Journaux!$E$5:$E$18,MATCH("2025|"&amp;A85,Journaux!$A$5:$A$18,0))</f>
      </c>
      <c r="P85" s="0">
        <f>INDEX(Comptes!$K$5:$K$42,MATCH(E85,Comptes!$A$5:$A$42,0))</f>
      </c>
      <c r="Q85" s="0" t="inlineStr">
        <is>
          <t xml:space="preserve">4</t>
        </is>
      </c>
      <c r="R85" s="7" t="inlineStr">
        <is>
          <t xml:space="preserve">401000|F001</t>
        </is>
      </c>
    </row>
    <row r="86">
      <c r="A86" s="4" t="inlineStr">
        <is>
          <t xml:space="preserve">VT</t>
        </is>
      </c>
      <c r="B86" s="0" t="inlineStr">
        <is>
          <t xml:space="preserve">Journal des ventes</t>
        </is>
      </c>
      <c r="C86" s="0" t="inlineStr">
        <is>
          <t xml:space="preserve">VT00002</t>
        </is>
      </c>
      <c r="D86" s="10">
        <v>45678</v>
      </c>
      <c r="E86" s="4" t="inlineStr">
        <is>
          <t xml:space="preserve">411000</t>
        </is>
      </c>
      <c r="F86" s="0" t="inlineStr">
        <is>
          <t xml:space="preserve">Clients</t>
        </is>
      </c>
      <c r="G86" s="0" t="inlineStr">
        <is>
          <t xml:space="preserve">FA2025-0002</t>
        </is>
      </c>
      <c r="H86" s="0" t="inlineStr">
        <is>
          <t xml:space="preserve">Facture FA2025-0002 Agence Mobilis</t>
        </is>
      </c>
      <c r="I86" s="8">
        <v>36305.42</v>
      </c>
      <c r="J86" s="8">
        <v>0</v>
      </c>
      <c r="K86" s="0" t="inlineStr">
        <is>
          <t xml:space="preserve">AAJ</t>
        </is>
      </c>
      <c r="L86" s="0" t="inlineStr">
        <is>
          <t xml:space="preserve">Agence Mobilis</t>
        </is>
      </c>
      <c r="M86" s="8">
        <f>I86-J86</f>
      </c>
      <c r="N86" s="0" t="inlineStr">
        <is>
          <t xml:space="preserve">2025-01</t>
        </is>
      </c>
      <c r="O86" s="0">
        <f>INDEX(Journaux!$E$5:$E$18,MATCH("2025|"&amp;A86,Journaux!$A$5:$A$18,0))</f>
      </c>
      <c r="P86" s="0">
        <f>INDEX(Comptes!$K$5:$K$42,MATCH(E86,Comptes!$A$5:$A$42,0))</f>
      </c>
      <c r="Q86" s="0" t="inlineStr">
        <is>
          <t xml:space="preserve">4</t>
        </is>
      </c>
      <c r="R86" s="7" t="inlineStr">
        <is>
          <t xml:space="preserve">411000|C002</t>
        </is>
      </c>
    </row>
    <row r="87">
      <c r="A87" s="4" t="inlineStr">
        <is>
          <t xml:space="preserve">VT</t>
        </is>
      </c>
      <c r="B87" s="0" t="inlineStr">
        <is>
          <t xml:space="preserve">Journal des ventes</t>
        </is>
      </c>
      <c r="C87" s="0" t="inlineStr">
        <is>
          <t xml:space="preserve">VT00002</t>
        </is>
      </c>
      <c r="D87" s="10">
        <v>45678</v>
      </c>
      <c r="E87" s="4" t="inlineStr">
        <is>
          <t xml:space="preserve">701000</t>
        </is>
      </c>
      <c r="F87" s="0" t="inlineStr">
        <is>
          <t xml:space="preserve">Ventes de produits finis</t>
        </is>
      </c>
      <c r="G87" s="0" t="inlineStr">
        <is>
          <t xml:space="preserve">FA2025-0002</t>
        </is>
      </c>
      <c r="H87" s="0" t="inlineStr">
        <is>
          <t xml:space="preserve">Facture FA2025-0002 Agence Mobilis</t>
        </is>
      </c>
      <c r="I87" s="8">
        <v>0</v>
      </c>
      <c r="J87" s="8">
        <v>30254.52</v>
      </c>
      <c r="K87" s="0"/>
      <c r="L87" s="0"/>
      <c r="M87" s="8">
        <f>I87-J87</f>
      </c>
      <c r="N87" s="0" t="inlineStr">
        <is>
          <t xml:space="preserve">2025-01</t>
        </is>
      </c>
      <c r="O87" s="0">
        <f>INDEX(Journaux!$E$5:$E$18,MATCH("2025|"&amp;A87,Journaux!$A$5:$A$18,0))</f>
      </c>
      <c r="P87" s="0">
        <f>INDEX(Comptes!$K$5:$K$42,MATCH(E87,Comptes!$A$5:$A$42,0))</f>
      </c>
      <c r="Q87" s="0" t="inlineStr">
        <is>
          <t xml:space="preserve">7</t>
        </is>
      </c>
    </row>
    <row r="88">
      <c r="A88" s="4" t="inlineStr">
        <is>
          <t xml:space="preserve">VT</t>
        </is>
      </c>
      <c r="B88" s="0" t="inlineStr">
        <is>
          <t xml:space="preserve">Journal des ventes</t>
        </is>
      </c>
      <c r="C88" s="0" t="inlineStr">
        <is>
          <t xml:space="preserve">VT00002</t>
        </is>
      </c>
      <c r="D88" s="10">
        <v>45678</v>
      </c>
      <c r="E88" s="4" t="inlineStr">
        <is>
          <t xml:space="preserve">445710</t>
        </is>
      </c>
      <c r="F88" s="0" t="inlineStr">
        <is>
          <t xml:space="preserve">TVA collectee</t>
        </is>
      </c>
      <c r="G88" s="0" t="inlineStr">
        <is>
          <t xml:space="preserve">FA2025-0002</t>
        </is>
      </c>
      <c r="H88" s="0" t="inlineStr">
        <is>
          <t xml:space="preserve">Facture FA2025-0002 Agence Mobilis</t>
        </is>
      </c>
      <c r="I88" s="8">
        <v>0</v>
      </c>
      <c r="J88" s="8">
        <v>6050.9</v>
      </c>
      <c r="K88" s="0"/>
      <c r="L88" s="0"/>
      <c r="M88" s="8">
        <f>I88-J88</f>
      </c>
      <c r="N88" s="0" t="inlineStr">
        <is>
          <t xml:space="preserve">2025-01</t>
        </is>
      </c>
      <c r="O88" s="0">
        <f>INDEX(Journaux!$E$5:$E$18,MATCH("2025|"&amp;A88,Journaux!$A$5:$A$18,0))</f>
      </c>
      <c r="P88" s="0">
        <f>INDEX(Comptes!$K$5:$K$42,MATCH(E88,Comptes!$A$5:$A$42,0))</f>
      </c>
      <c r="Q88" s="0" t="inlineStr">
        <is>
          <t xml:space="preserve">4</t>
        </is>
      </c>
    </row>
    <row r="89">
      <c r="A89" s="4" t="inlineStr">
        <is>
          <t xml:space="preserve">BQ</t>
        </is>
      </c>
      <c r="B89" s="0" t="inlineStr">
        <is>
          <t xml:space="preserve">Banque Fictive</t>
        </is>
      </c>
      <c r="C89" s="0" t="inlineStr">
        <is>
          <t xml:space="preserve">BQ00062</t>
        </is>
      </c>
      <c r="D89" s="10">
        <v>45680</v>
      </c>
      <c r="E89" s="4" t="inlineStr">
        <is>
          <t xml:space="preserve">512000</t>
        </is>
      </c>
      <c r="F89" s="0" t="inlineStr">
        <is>
          <t xml:space="preserve">Banque Fictive</t>
        </is>
      </c>
      <c r="G89" s="0" t="inlineStr">
        <is>
          <t xml:space="preserve">ENC-AN2025</t>
        </is>
      </c>
      <c r="H89" s="0" t="inlineStr">
        <is>
          <t xml:space="preserve">Reglement client Residence Bel Air AN2025</t>
        </is>
      </c>
      <c r="I89" s="8">
        <v>37138.48</v>
      </c>
      <c r="J89" s="8">
        <v>0</v>
      </c>
      <c r="K89" s="0"/>
      <c r="L89" s="0"/>
      <c r="M89" s="8">
        <f>I89-J89</f>
      </c>
      <c r="N89" s="0" t="inlineStr">
        <is>
          <t xml:space="preserve">2025-01</t>
        </is>
      </c>
      <c r="O89" s="0">
        <f>INDEX(Journaux!$E$5:$E$18,MATCH("2025|"&amp;A89,Journaux!$A$5:$A$18,0))</f>
      </c>
      <c r="P89" s="0">
        <f>INDEX(Comptes!$K$5:$K$42,MATCH(E89,Comptes!$A$5:$A$42,0))</f>
      </c>
      <c r="Q89" s="0" t="inlineStr">
        <is>
          <t xml:space="preserve">5</t>
        </is>
      </c>
    </row>
    <row r="90">
      <c r="A90" s="4" t="inlineStr">
        <is>
          <t xml:space="preserve">BQ</t>
        </is>
      </c>
      <c r="B90" s="0" t="inlineStr">
        <is>
          <t xml:space="preserve">Banque Fictive</t>
        </is>
      </c>
      <c r="C90" s="0" t="inlineStr">
        <is>
          <t xml:space="preserve">BQ00062</t>
        </is>
      </c>
      <c r="D90" s="10">
        <v>45680</v>
      </c>
      <c r="E90" s="4" t="inlineStr">
        <is>
          <t xml:space="preserve">411000</t>
        </is>
      </c>
      <c r="F90" s="0" t="inlineStr">
        <is>
          <t xml:space="preserve">Clients</t>
        </is>
      </c>
      <c r="G90" s="0" t="inlineStr">
        <is>
          <t xml:space="preserve">ENC-AN2025</t>
        </is>
      </c>
      <c r="H90" s="0" t="inlineStr">
        <is>
          <t xml:space="preserve">Reglement client Residence Bel Air AN2025</t>
        </is>
      </c>
      <c r="I90" s="8">
        <v>0</v>
      </c>
      <c r="J90" s="8">
        <v>37138.48</v>
      </c>
      <c r="K90" s="0" t="inlineStr">
        <is>
          <t xml:space="preserve">AAC</t>
        </is>
      </c>
      <c r="L90" s="0" t="inlineStr">
        <is>
          <t xml:space="preserve">Residence Bel Air</t>
        </is>
      </c>
      <c r="M90" s="8">
        <f>I90-J90</f>
      </c>
      <c r="N90" s="0" t="inlineStr">
        <is>
          <t xml:space="preserve">2025-01</t>
        </is>
      </c>
      <c r="O90" s="0">
        <f>INDEX(Journaux!$E$5:$E$18,MATCH("2025|"&amp;A90,Journaux!$A$5:$A$18,0))</f>
      </c>
      <c r="P90" s="0">
        <f>INDEX(Comptes!$K$5:$K$42,MATCH(E90,Comptes!$A$5:$A$42,0))</f>
      </c>
      <c r="Q90" s="0" t="inlineStr">
        <is>
          <t xml:space="preserve">4</t>
        </is>
      </c>
      <c r="R90" s="7" t="inlineStr">
        <is>
          <t xml:space="preserve">411000|C003</t>
        </is>
      </c>
    </row>
    <row r="91">
      <c r="A91" s="4" t="inlineStr">
        <is>
          <t xml:space="preserve">BQ</t>
        </is>
      </c>
      <c r="B91" s="0" t="inlineStr">
        <is>
          <t xml:space="preserve">Banque Fictive</t>
        </is>
      </c>
      <c r="C91" s="0" t="inlineStr">
        <is>
          <t xml:space="preserve">BQ00115</t>
        </is>
      </c>
      <c r="D91" s="10">
        <v>45684</v>
      </c>
      <c r="E91" s="4" t="inlineStr">
        <is>
          <t xml:space="preserve">401000</t>
        </is>
      </c>
      <c r="F91" s="0" t="inlineStr">
        <is>
          <t xml:space="preserve">Fournisseurs</t>
        </is>
      </c>
      <c r="G91" s="0" t="inlineStr">
        <is>
          <t xml:space="preserve">DEC-AN2025</t>
        </is>
      </c>
      <c r="H91" s="0" t="inlineStr">
        <is>
          <t xml:space="preserve">Reglement fournisseur Quincaillerie Pro Est AN2025</t>
        </is>
      </c>
      <c r="I91" s="8">
        <v>45322.61</v>
      </c>
      <c r="J91" s="8">
        <v>0</v>
      </c>
      <c r="K91" s="0" t="inlineStr">
        <is>
          <t xml:space="preserve">ABD</t>
        </is>
      </c>
      <c r="L91" s="0" t="inlineStr">
        <is>
          <t xml:space="preserve">Quincaillerie Pro Est</t>
        </is>
      </c>
      <c r="M91" s="8">
        <f>I91-J91</f>
      </c>
      <c r="N91" s="0" t="inlineStr">
        <is>
          <t xml:space="preserve">2025-01</t>
        </is>
      </c>
      <c r="O91" s="0">
        <f>INDEX(Journaux!$E$5:$E$18,MATCH("2025|"&amp;A91,Journaux!$A$5:$A$18,0))</f>
      </c>
      <c r="P91" s="0">
        <f>INDEX(Comptes!$K$5:$K$42,MATCH(E91,Comptes!$A$5:$A$42,0))</f>
      </c>
      <c r="Q91" s="0" t="inlineStr">
        <is>
          <t xml:space="preserve">4</t>
        </is>
      </c>
      <c r="R91" s="7" t="inlineStr">
        <is>
          <t xml:space="preserve">401000|F002</t>
        </is>
      </c>
    </row>
    <row r="92">
      <c r="A92" s="4" t="inlineStr">
        <is>
          <t xml:space="preserve">BQ</t>
        </is>
      </c>
      <c r="B92" s="0" t="inlineStr">
        <is>
          <t xml:space="preserve">Banque Fictive</t>
        </is>
      </c>
      <c r="C92" s="0" t="inlineStr">
        <is>
          <t xml:space="preserve">BQ00115</t>
        </is>
      </c>
      <c r="D92" s="10">
        <v>45684</v>
      </c>
      <c r="E92" s="4" t="inlineStr">
        <is>
          <t xml:space="preserve">512000</t>
        </is>
      </c>
      <c r="F92" s="0" t="inlineStr">
        <is>
          <t xml:space="preserve">Banque Fictive</t>
        </is>
      </c>
      <c r="G92" s="0" t="inlineStr">
        <is>
          <t xml:space="preserve">DEC-AN2025</t>
        </is>
      </c>
      <c r="H92" s="0" t="inlineStr">
        <is>
          <t xml:space="preserve">Reglement fournisseur Quincaillerie Pro Est AN2025</t>
        </is>
      </c>
      <c r="I92" s="8">
        <v>0</v>
      </c>
      <c r="J92" s="8">
        <v>45322.61</v>
      </c>
      <c r="K92" s="0"/>
      <c r="L92" s="0"/>
      <c r="M92" s="8">
        <f>I92-J92</f>
      </c>
      <c r="N92" s="0" t="inlineStr">
        <is>
          <t xml:space="preserve">2025-01</t>
        </is>
      </c>
      <c r="O92" s="0">
        <f>INDEX(Journaux!$E$5:$E$18,MATCH("2025|"&amp;A92,Journaux!$A$5:$A$18,0))</f>
      </c>
      <c r="P92" s="0">
        <f>INDEX(Comptes!$K$5:$K$42,MATCH(E92,Comptes!$A$5:$A$42,0))</f>
      </c>
      <c r="Q92" s="0" t="inlineStr">
        <is>
          <t xml:space="preserve">5</t>
        </is>
      </c>
    </row>
    <row r="93">
      <c r="A93" s="4" t="inlineStr">
        <is>
          <t xml:space="preserve">BQ</t>
        </is>
      </c>
      <c r="B93" s="0" t="inlineStr">
        <is>
          <t xml:space="preserve">Banque Fictive</t>
        </is>
      </c>
      <c r="C93" s="0" t="inlineStr">
        <is>
          <t xml:space="preserve">BQ00067</t>
        </is>
      </c>
      <c r="D93" s="10">
        <v>45686</v>
      </c>
      <c r="E93" s="4" t="inlineStr">
        <is>
          <t xml:space="preserve">512000</t>
        </is>
      </c>
      <c r="F93" s="0" t="inlineStr">
        <is>
          <t xml:space="preserve">Banque Fictive</t>
        </is>
      </c>
      <c r="G93" s="0" t="inlineStr">
        <is>
          <t xml:space="preserve">ENC-AN2025</t>
        </is>
      </c>
      <c r="H93" s="0" t="inlineStr">
        <is>
          <t xml:space="preserve">Reglement client Clinique du Parc AN2025</t>
        </is>
      </c>
      <c r="I93" s="8">
        <v>36694.64</v>
      </c>
      <c r="J93" s="8">
        <v>0</v>
      </c>
      <c r="K93" s="0"/>
      <c r="L93" s="0"/>
      <c r="M93" s="8">
        <f>I93-J93</f>
      </c>
      <c r="N93" s="0" t="inlineStr">
        <is>
          <t xml:space="preserve">2025-01</t>
        </is>
      </c>
      <c r="O93" s="0">
        <f>INDEX(Journaux!$E$5:$E$18,MATCH("2025|"&amp;A93,Journaux!$A$5:$A$18,0))</f>
      </c>
      <c r="P93" s="0">
        <f>INDEX(Comptes!$K$5:$K$42,MATCH(E93,Comptes!$A$5:$A$42,0))</f>
      </c>
      <c r="Q93" s="0" t="inlineStr">
        <is>
          <t xml:space="preserve">5</t>
        </is>
      </c>
    </row>
    <row r="94">
      <c r="A94" s="4" t="inlineStr">
        <is>
          <t xml:space="preserve">BQ</t>
        </is>
      </c>
      <c r="B94" s="0" t="inlineStr">
        <is>
          <t xml:space="preserve">Banque Fictive</t>
        </is>
      </c>
      <c r="C94" s="0" t="inlineStr">
        <is>
          <t xml:space="preserve">BQ00067</t>
        </is>
      </c>
      <c r="D94" s="10">
        <v>45686</v>
      </c>
      <c r="E94" s="4" t="inlineStr">
        <is>
          <t xml:space="preserve">411000</t>
        </is>
      </c>
      <c r="F94" s="0" t="inlineStr">
        <is>
          <t xml:space="preserve">Clients</t>
        </is>
      </c>
      <c r="G94" s="0" t="inlineStr">
        <is>
          <t xml:space="preserve">ENC-AN2025</t>
        </is>
      </c>
      <c r="H94" s="0" t="inlineStr">
        <is>
          <t xml:space="preserve">Reglement client Clinique du Parc AN2025</t>
        </is>
      </c>
      <c r="I94" s="8">
        <v>0</v>
      </c>
      <c r="J94" s="8">
        <v>36694.64</v>
      </c>
      <c r="K94" s="0" t="inlineStr">
        <is>
          <t xml:space="preserve">AAH</t>
        </is>
      </c>
      <c r="L94" s="0" t="inlineStr">
        <is>
          <t xml:space="preserve">Clinique du Parc</t>
        </is>
      </c>
      <c r="M94" s="8">
        <f>I94-J94</f>
      </c>
      <c r="N94" s="0" t="inlineStr">
        <is>
          <t xml:space="preserve">2025-01</t>
        </is>
      </c>
      <c r="O94" s="0">
        <f>INDEX(Journaux!$E$5:$E$18,MATCH("2025|"&amp;A94,Journaux!$A$5:$A$18,0))</f>
      </c>
      <c r="P94" s="0">
        <f>INDEX(Comptes!$K$5:$K$42,MATCH(E94,Comptes!$A$5:$A$42,0))</f>
      </c>
      <c r="Q94" s="0" t="inlineStr">
        <is>
          <t xml:space="preserve">4</t>
        </is>
      </c>
      <c r="R94" s="7" t="inlineStr">
        <is>
          <t xml:space="preserve">411000|C006</t>
        </is>
      </c>
    </row>
    <row r="95">
      <c r="A95" s="4" t="inlineStr">
        <is>
          <t xml:space="preserve">BQ</t>
        </is>
      </c>
      <c r="B95" s="0" t="inlineStr">
        <is>
          <t xml:space="preserve">Banque Fictive</t>
        </is>
      </c>
      <c r="C95" s="0" t="inlineStr">
        <is>
          <t xml:space="preserve">BQ00001</t>
        </is>
      </c>
      <c r="D95" s="10">
        <v>45688</v>
      </c>
      <c r="E95" s="4" t="inlineStr">
        <is>
          <t xml:space="preserve">421000</t>
        </is>
      </c>
      <c r="F95" s="0" t="inlineStr">
        <is>
          <t xml:space="preserve">Personnel remunerations dues</t>
        </is>
      </c>
      <c r="G95" s="0" t="inlineStr">
        <is>
          <t xml:space="preserve">VIRSAL202501</t>
        </is>
      </c>
      <c r="H95" s="0" t="inlineStr">
        <is>
          <t xml:space="preserve">Virement salaires 01/2025</t>
        </is>
      </c>
      <c r="I95" s="8">
        <v>38346.65</v>
      </c>
      <c r="J95" s="8">
        <v>0</v>
      </c>
      <c r="K95" s="0"/>
      <c r="L95" s="0"/>
      <c r="M95" s="8">
        <f>I95-J95</f>
      </c>
      <c r="N95" s="0" t="inlineStr">
        <is>
          <t xml:space="preserve">2025-01</t>
        </is>
      </c>
      <c r="O95" s="0">
        <f>INDEX(Journaux!$E$5:$E$18,MATCH("2025|"&amp;A95,Journaux!$A$5:$A$18,0))</f>
      </c>
      <c r="P95" s="0">
        <f>INDEX(Comptes!$K$5:$K$42,MATCH(E95,Comptes!$A$5:$A$42,0))</f>
      </c>
      <c r="Q95" s="0" t="inlineStr">
        <is>
          <t xml:space="preserve">4</t>
        </is>
      </c>
    </row>
    <row r="96">
      <c r="A96" s="4" t="inlineStr">
        <is>
          <t xml:space="preserve">BQ</t>
        </is>
      </c>
      <c r="B96" s="0" t="inlineStr">
        <is>
          <t xml:space="preserve">Banque Fictive</t>
        </is>
      </c>
      <c r="C96" s="0" t="inlineStr">
        <is>
          <t xml:space="preserve">BQ00001</t>
        </is>
      </c>
      <c r="D96" s="10">
        <v>45688</v>
      </c>
      <c r="E96" s="4" t="inlineStr">
        <is>
          <t xml:space="preserve">512000</t>
        </is>
      </c>
      <c r="F96" s="0" t="inlineStr">
        <is>
          <t xml:space="preserve">Banque Fictive</t>
        </is>
      </c>
      <c r="G96" s="0" t="inlineStr">
        <is>
          <t xml:space="preserve">VIRSAL202501</t>
        </is>
      </c>
      <c r="H96" s="0" t="inlineStr">
        <is>
          <t xml:space="preserve">Virement salaires 01/2025</t>
        </is>
      </c>
      <c r="I96" s="8">
        <v>0</v>
      </c>
      <c r="J96" s="8">
        <v>38346.65</v>
      </c>
      <c r="K96" s="0"/>
      <c r="L96" s="0"/>
      <c r="M96" s="8">
        <f>I96-J96</f>
      </c>
      <c r="N96" s="0" t="inlineStr">
        <is>
          <t xml:space="preserve">2025-01</t>
        </is>
      </c>
      <c r="O96" s="0">
        <f>INDEX(Journaux!$E$5:$E$18,MATCH("2025|"&amp;A96,Journaux!$A$5:$A$18,0))</f>
      </c>
      <c r="P96" s="0">
        <f>INDEX(Comptes!$K$5:$K$42,MATCH(E96,Comptes!$A$5:$A$42,0))</f>
      </c>
      <c r="Q96" s="0" t="inlineStr">
        <is>
          <t xml:space="preserve">5</t>
        </is>
      </c>
    </row>
    <row r="97">
      <c r="A97" s="4" t="inlineStr">
        <is>
          <t xml:space="preserve">BQ</t>
        </is>
      </c>
      <c r="B97" s="0" t="inlineStr">
        <is>
          <t xml:space="preserve">Banque Fictive</t>
        </is>
      </c>
      <c r="C97" s="0" t="inlineStr">
        <is>
          <t xml:space="preserve">BQ00003</t>
        </is>
      </c>
      <c r="D97" s="10">
        <v>45688</v>
      </c>
      <c r="E97" s="4" t="inlineStr">
        <is>
          <t xml:space="preserve">627000</t>
        </is>
      </c>
      <c r="F97" s="0" t="inlineStr">
        <is>
          <t xml:space="preserve">Services bancaires</t>
        </is>
      </c>
      <c r="G97" s="0" t="inlineStr">
        <is>
          <t xml:space="preserve">FRB202501</t>
        </is>
      </c>
      <c r="H97" s="0" t="inlineStr">
        <is>
          <t xml:space="preserve">Frais bancaires 01/2025</t>
        </is>
      </c>
      <c r="I97" s="8">
        <v>85</v>
      </c>
      <c r="J97" s="8">
        <v>0</v>
      </c>
      <c r="K97" s="0"/>
      <c r="L97" s="0"/>
      <c r="M97" s="8">
        <f>I97-J97</f>
      </c>
      <c r="N97" s="0" t="inlineStr">
        <is>
          <t xml:space="preserve">2025-01</t>
        </is>
      </c>
      <c r="O97" s="0">
        <f>INDEX(Journaux!$E$5:$E$18,MATCH("2025|"&amp;A97,Journaux!$A$5:$A$18,0))</f>
      </c>
      <c r="P97" s="0">
        <f>INDEX(Comptes!$K$5:$K$42,MATCH(E97,Comptes!$A$5:$A$42,0))</f>
      </c>
      <c r="Q97" s="0" t="inlineStr">
        <is>
          <t xml:space="preserve">6</t>
        </is>
      </c>
    </row>
    <row r="98">
      <c r="A98" s="4" t="inlineStr">
        <is>
          <t xml:space="preserve">BQ</t>
        </is>
      </c>
      <c r="B98" s="0" t="inlineStr">
        <is>
          <t xml:space="preserve">Banque Fictive</t>
        </is>
      </c>
      <c r="C98" s="0" t="inlineStr">
        <is>
          <t xml:space="preserve">BQ00003</t>
        </is>
      </c>
      <c r="D98" s="10">
        <v>45688</v>
      </c>
      <c r="E98" s="4" t="inlineStr">
        <is>
          <t xml:space="preserve">512000</t>
        </is>
      </c>
      <c r="F98" s="0" t="inlineStr">
        <is>
          <t xml:space="preserve">Banque Fictive</t>
        </is>
      </c>
      <c r="G98" s="0" t="inlineStr">
        <is>
          <t xml:space="preserve">FRB202501</t>
        </is>
      </c>
      <c r="H98" s="0" t="inlineStr">
        <is>
          <t xml:space="preserve">Frais bancaires 01/2025</t>
        </is>
      </c>
      <c r="I98" s="8">
        <v>0</v>
      </c>
      <c r="J98" s="8">
        <v>85</v>
      </c>
      <c r="K98" s="0"/>
      <c r="L98" s="0"/>
      <c r="M98" s="8">
        <f>I98-J98</f>
      </c>
      <c r="N98" s="0" t="inlineStr">
        <is>
          <t xml:space="preserve">2025-01</t>
        </is>
      </c>
      <c r="O98" s="0">
        <f>INDEX(Journaux!$E$5:$E$18,MATCH("2025|"&amp;A98,Journaux!$A$5:$A$18,0))</f>
      </c>
      <c r="P98" s="0">
        <f>INDEX(Comptes!$K$5:$K$42,MATCH(E98,Comptes!$A$5:$A$42,0))</f>
      </c>
      <c r="Q98" s="0" t="inlineStr">
        <is>
          <t xml:space="preserve">5</t>
        </is>
      </c>
    </row>
    <row r="99">
      <c r="A99" s="4" t="inlineStr">
        <is>
          <t xml:space="preserve">OD</t>
        </is>
      </c>
      <c r="B99" s="0" t="inlineStr">
        <is>
          <t xml:space="preserve">Operations diverses</t>
        </is>
      </c>
      <c r="C99" s="0" t="inlineStr">
        <is>
          <t xml:space="preserve">OD00001</t>
        </is>
      </c>
      <c r="D99" s="10">
        <v>45688</v>
      </c>
      <c r="E99" s="4" t="inlineStr">
        <is>
          <t xml:space="preserve">445710</t>
        </is>
      </c>
      <c r="F99" s="0" t="inlineStr">
        <is>
          <t xml:space="preserve">TVA collectee</t>
        </is>
      </c>
      <c r="G99" s="0" t="inlineStr">
        <is>
          <t xml:space="preserve">CA3-202501</t>
        </is>
      </c>
      <c r="H99" s="0" t="inlineStr">
        <is>
          <t xml:space="preserve">Declaration TVA 01/2025</t>
        </is>
      </c>
      <c r="I99" s="8">
        <v>22166.66</v>
      </c>
      <c r="J99" s="8">
        <v>0</v>
      </c>
      <c r="K99" s="0"/>
      <c r="L99" s="0"/>
      <c r="M99" s="8">
        <f>I99-J99</f>
      </c>
      <c r="N99" s="0" t="inlineStr">
        <is>
          <t xml:space="preserve">2025-01</t>
        </is>
      </c>
      <c r="O99" s="0">
        <f>INDEX(Journaux!$E$5:$E$18,MATCH("2025|"&amp;A99,Journaux!$A$5:$A$18,0))</f>
      </c>
      <c r="P99" s="0">
        <f>INDEX(Comptes!$K$5:$K$42,MATCH(E99,Comptes!$A$5:$A$42,0))</f>
      </c>
      <c r="Q99" s="0" t="inlineStr">
        <is>
          <t xml:space="preserve">4</t>
        </is>
      </c>
    </row>
    <row r="100">
      <c r="A100" s="4" t="inlineStr">
        <is>
          <t xml:space="preserve">OD</t>
        </is>
      </c>
      <c r="B100" s="0" t="inlineStr">
        <is>
          <t xml:space="preserve">Operations diverses</t>
        </is>
      </c>
      <c r="C100" s="0" t="inlineStr">
        <is>
          <t xml:space="preserve">OD00001</t>
        </is>
      </c>
      <c r="D100" s="10">
        <v>45688</v>
      </c>
      <c r="E100" s="4" t="inlineStr">
        <is>
          <t xml:space="preserve">445660</t>
        </is>
      </c>
      <c r="F100" s="0" t="inlineStr">
        <is>
          <t xml:space="preserve">TVA deductible sur ABS</t>
        </is>
      </c>
      <c r="G100" s="0" t="inlineStr">
        <is>
          <t xml:space="preserve">CA3-202501</t>
        </is>
      </c>
      <c r="H100" s="0" t="inlineStr">
        <is>
          <t xml:space="preserve">Declaration TVA 01/2025</t>
        </is>
      </c>
      <c r="I100" s="8">
        <v>0</v>
      </c>
      <c r="J100" s="8">
        <v>12765.78</v>
      </c>
      <c r="K100" s="0"/>
      <c r="L100" s="0"/>
      <c r="M100" s="8">
        <f>I100-J100</f>
      </c>
      <c r="N100" s="0" t="inlineStr">
        <is>
          <t xml:space="preserve">2025-01</t>
        </is>
      </c>
      <c r="O100" s="0">
        <f>INDEX(Journaux!$E$5:$E$18,MATCH("2025|"&amp;A100,Journaux!$A$5:$A$18,0))</f>
      </c>
      <c r="P100" s="0">
        <f>INDEX(Comptes!$K$5:$K$42,MATCH(E100,Comptes!$A$5:$A$42,0))</f>
      </c>
      <c r="Q100" s="0" t="inlineStr">
        <is>
          <t xml:space="preserve">4</t>
        </is>
      </c>
    </row>
    <row r="101">
      <c r="A101" s="4" t="inlineStr">
        <is>
          <t xml:space="preserve">OD</t>
        </is>
      </c>
      <c r="B101" s="0" t="inlineStr">
        <is>
          <t xml:space="preserve">Operations diverses</t>
        </is>
      </c>
      <c r="C101" s="0" t="inlineStr">
        <is>
          <t xml:space="preserve">OD00001</t>
        </is>
      </c>
      <c r="D101" s="10">
        <v>45688</v>
      </c>
      <c r="E101" s="4" t="inlineStr">
        <is>
          <t xml:space="preserve">445510</t>
        </is>
      </c>
      <c r="F101" s="0" t="inlineStr">
        <is>
          <t xml:space="preserve">TVA a decaisser</t>
        </is>
      </c>
      <c r="G101" s="0" t="inlineStr">
        <is>
          <t xml:space="preserve">CA3-202501</t>
        </is>
      </c>
      <c r="H101" s="0" t="inlineStr">
        <is>
          <t xml:space="preserve">Declaration TVA 01/2025</t>
        </is>
      </c>
      <c r="I101" s="8">
        <v>0</v>
      </c>
      <c r="J101" s="8">
        <v>9400.88</v>
      </c>
      <c r="K101" s="0"/>
      <c r="L101" s="0"/>
      <c r="M101" s="8">
        <f>I101-J101</f>
      </c>
      <c r="N101" s="0" t="inlineStr">
        <is>
          <t xml:space="preserve">2025-01</t>
        </is>
      </c>
      <c r="O101" s="0">
        <f>INDEX(Journaux!$E$5:$E$18,MATCH("2025|"&amp;A101,Journaux!$A$5:$A$18,0))</f>
      </c>
      <c r="P101" s="0">
        <f>INDEX(Comptes!$K$5:$K$42,MATCH(E101,Comptes!$A$5:$A$42,0))</f>
      </c>
      <c r="Q101" s="0" t="inlineStr">
        <is>
          <t xml:space="preserve">4</t>
        </is>
      </c>
    </row>
    <row r="102">
      <c r="A102" s="4" t="inlineStr">
        <is>
          <t xml:space="preserve">SA</t>
        </is>
      </c>
      <c r="B102" s="0" t="inlineStr">
        <is>
          <t xml:space="preserve">Salaires</t>
        </is>
      </c>
      <c r="C102" s="0" t="inlineStr">
        <is>
          <t xml:space="preserve">SA00001</t>
        </is>
      </c>
      <c r="D102" s="10">
        <v>45688</v>
      </c>
      <c r="E102" s="4" t="inlineStr">
        <is>
          <t xml:space="preserve">641000</t>
        </is>
      </c>
      <c r="F102" s="0" t="inlineStr">
        <is>
          <t xml:space="preserve">Remunerations du personnel</t>
        </is>
      </c>
      <c r="G102" s="0" t="inlineStr">
        <is>
          <t xml:space="preserve">PAIE202501</t>
        </is>
      </c>
      <c r="H102" s="0" t="inlineStr">
        <is>
          <t xml:space="preserve">Paie 01/2025</t>
        </is>
      </c>
      <c r="I102" s="8">
        <v>49162.37</v>
      </c>
      <c r="J102" s="8">
        <v>0</v>
      </c>
      <c r="K102" s="0"/>
      <c r="L102" s="0"/>
      <c r="M102" s="8">
        <f>I102-J102</f>
      </c>
      <c r="N102" s="0" t="inlineStr">
        <is>
          <t xml:space="preserve">2025-01</t>
        </is>
      </c>
      <c r="O102" s="0">
        <f>INDEX(Journaux!$E$5:$E$18,MATCH("2025|"&amp;A102,Journaux!$A$5:$A$18,0))</f>
      </c>
      <c r="P102" s="0">
        <f>INDEX(Comptes!$K$5:$K$42,MATCH(E102,Comptes!$A$5:$A$42,0))</f>
      </c>
      <c r="Q102" s="0" t="inlineStr">
        <is>
          <t xml:space="preserve">6</t>
        </is>
      </c>
    </row>
    <row r="103">
      <c r="A103" s="4" t="inlineStr">
        <is>
          <t xml:space="preserve">SA</t>
        </is>
      </c>
      <c r="B103" s="0" t="inlineStr">
        <is>
          <t xml:space="preserve">Salaires</t>
        </is>
      </c>
      <c r="C103" s="0" t="inlineStr">
        <is>
          <t xml:space="preserve">SA00001</t>
        </is>
      </c>
      <c r="D103" s="10">
        <v>45688</v>
      </c>
      <c r="E103" s="4" t="inlineStr">
        <is>
          <t xml:space="preserve">645100</t>
        </is>
      </c>
      <c r="F103" s="0" t="inlineStr">
        <is>
          <t xml:space="preserve">Cotisations URSSAF</t>
        </is>
      </c>
      <c r="G103" s="0" t="inlineStr">
        <is>
          <t xml:space="preserve">PAIE202501</t>
        </is>
      </c>
      <c r="H103" s="0" t="inlineStr">
        <is>
          <t xml:space="preserve">Paie 01/2025</t>
        </is>
      </c>
      <c r="I103" s="8">
        <v>20648.2</v>
      </c>
      <c r="J103" s="8">
        <v>0</v>
      </c>
      <c r="K103" s="0"/>
      <c r="L103" s="0"/>
      <c r="M103" s="8">
        <f>I103-J103</f>
      </c>
      <c r="N103" s="0" t="inlineStr">
        <is>
          <t xml:space="preserve">2025-01</t>
        </is>
      </c>
      <c r="O103" s="0">
        <f>INDEX(Journaux!$E$5:$E$18,MATCH("2025|"&amp;A103,Journaux!$A$5:$A$18,0))</f>
      </c>
      <c r="P103" s="0">
        <f>INDEX(Comptes!$K$5:$K$42,MATCH(E103,Comptes!$A$5:$A$42,0))</f>
      </c>
      <c r="Q103" s="0" t="inlineStr">
        <is>
          <t xml:space="preserve">6</t>
        </is>
      </c>
    </row>
    <row r="104">
      <c r="A104" s="4" t="inlineStr">
        <is>
          <t xml:space="preserve">SA</t>
        </is>
      </c>
      <c r="B104" s="0" t="inlineStr">
        <is>
          <t xml:space="preserve">Salaires</t>
        </is>
      </c>
      <c r="C104" s="0" t="inlineStr">
        <is>
          <t xml:space="preserve">SA00001</t>
        </is>
      </c>
      <c r="D104" s="10">
        <v>45688</v>
      </c>
      <c r="E104" s="4" t="inlineStr">
        <is>
          <t xml:space="preserve">421000</t>
        </is>
      </c>
      <c r="F104" s="0" t="inlineStr">
        <is>
          <t xml:space="preserve">Personnel remunerations dues</t>
        </is>
      </c>
      <c r="G104" s="0" t="inlineStr">
        <is>
          <t xml:space="preserve">PAIE202501</t>
        </is>
      </c>
      <c r="H104" s="0" t="inlineStr">
        <is>
          <t xml:space="preserve">Paie 01/2025</t>
        </is>
      </c>
      <c r="I104" s="8">
        <v>0</v>
      </c>
      <c r="J104" s="8">
        <v>38346.65</v>
      </c>
      <c r="K104" s="0"/>
      <c r="L104" s="0"/>
      <c r="M104" s="8">
        <f>I104-J104</f>
      </c>
      <c r="N104" s="0" t="inlineStr">
        <is>
          <t xml:space="preserve">2025-01</t>
        </is>
      </c>
      <c r="O104" s="0">
        <f>INDEX(Journaux!$E$5:$E$18,MATCH("2025|"&amp;A104,Journaux!$A$5:$A$18,0))</f>
      </c>
      <c r="P104" s="0">
        <f>INDEX(Comptes!$K$5:$K$42,MATCH(E104,Comptes!$A$5:$A$42,0))</f>
      </c>
      <c r="Q104" s="0" t="inlineStr">
        <is>
          <t xml:space="preserve">4</t>
        </is>
      </c>
    </row>
    <row r="105">
      <c r="A105" s="4" t="inlineStr">
        <is>
          <t xml:space="preserve">SA</t>
        </is>
      </c>
      <c r="B105" s="0" t="inlineStr">
        <is>
          <t xml:space="preserve">Salaires</t>
        </is>
      </c>
      <c r="C105" s="0" t="inlineStr">
        <is>
          <t xml:space="preserve">SA00001</t>
        </is>
      </c>
      <c r="D105" s="10">
        <v>45688</v>
      </c>
      <c r="E105" s="4" t="inlineStr">
        <is>
          <t xml:space="preserve">431000</t>
        </is>
      </c>
      <c r="F105" s="0" t="inlineStr">
        <is>
          <t xml:space="preserve">Securite sociale</t>
        </is>
      </c>
      <c r="G105" s="0" t="inlineStr">
        <is>
          <t xml:space="preserve">PAIE202501</t>
        </is>
      </c>
      <c r="H105" s="0" t="inlineStr">
        <is>
          <t xml:space="preserve">Paie 01/2025</t>
        </is>
      </c>
      <c r="I105" s="8">
        <v>0</v>
      </c>
      <c r="J105" s="8">
        <v>31463.92</v>
      </c>
      <c r="K105" s="0"/>
      <c r="L105" s="0"/>
      <c r="M105" s="8">
        <f>I105-J105</f>
      </c>
      <c r="N105" s="0" t="inlineStr">
        <is>
          <t xml:space="preserve">2025-01</t>
        </is>
      </c>
      <c r="O105" s="0">
        <f>INDEX(Journaux!$E$5:$E$18,MATCH("2025|"&amp;A105,Journaux!$A$5:$A$18,0))</f>
      </c>
      <c r="P105" s="0">
        <f>INDEX(Comptes!$K$5:$K$42,MATCH(E105,Comptes!$A$5:$A$42,0))</f>
      </c>
      <c r="Q105" s="0" t="inlineStr">
        <is>
          <t xml:space="preserve">4</t>
        </is>
      </c>
    </row>
    <row r="106">
      <c r="A106" s="4" t="inlineStr">
        <is>
          <t xml:space="preserve">VT</t>
        </is>
      </c>
      <c r="B106" s="0" t="inlineStr">
        <is>
          <t xml:space="preserve">Journal des ventes</t>
        </is>
      </c>
      <c r="C106" s="0" t="inlineStr">
        <is>
          <t xml:space="preserve">VT00003</t>
        </is>
      </c>
      <c r="D106" s="10">
        <v>45688</v>
      </c>
      <c r="E106" s="4" t="inlineStr">
        <is>
          <t xml:space="preserve">411000</t>
        </is>
      </c>
      <c r="F106" s="0" t="inlineStr">
        <is>
          <t xml:space="preserve">Clients</t>
        </is>
      </c>
      <c r="G106" s="0" t="inlineStr">
        <is>
          <t xml:space="preserve">FA2025-0003</t>
        </is>
      </c>
      <c r="H106" s="0" t="inlineStr">
        <is>
          <t xml:space="preserve">Facture FA2025-0003 Residence Bel Air</t>
        </is>
      </c>
      <c r="I106" s="8">
        <v>21215.65</v>
      </c>
      <c r="J106" s="8">
        <v>0</v>
      </c>
      <c r="K106" s="0" t="inlineStr">
        <is>
          <t xml:space="preserve">AAK</t>
        </is>
      </c>
      <c r="L106" s="0" t="inlineStr">
        <is>
          <t xml:space="preserve">Residence Bel Air</t>
        </is>
      </c>
      <c r="M106" s="8">
        <f>I106-J106</f>
      </c>
      <c r="N106" s="0" t="inlineStr">
        <is>
          <t xml:space="preserve">2025-01</t>
        </is>
      </c>
      <c r="O106" s="0">
        <f>INDEX(Journaux!$E$5:$E$18,MATCH("2025|"&amp;A106,Journaux!$A$5:$A$18,0))</f>
      </c>
      <c r="P106" s="0">
        <f>INDEX(Comptes!$K$5:$K$42,MATCH(E106,Comptes!$A$5:$A$42,0))</f>
      </c>
      <c r="Q106" s="0" t="inlineStr">
        <is>
          <t xml:space="preserve">4</t>
        </is>
      </c>
      <c r="R106" s="7" t="inlineStr">
        <is>
          <t xml:space="preserve">411000|C003</t>
        </is>
      </c>
    </row>
    <row r="107">
      <c r="A107" s="4" t="inlineStr">
        <is>
          <t xml:space="preserve">VT</t>
        </is>
      </c>
      <c r="B107" s="0" t="inlineStr">
        <is>
          <t xml:space="preserve">Journal des ventes</t>
        </is>
      </c>
      <c r="C107" s="0" t="inlineStr">
        <is>
          <t xml:space="preserve">VT00003</t>
        </is>
      </c>
      <c r="D107" s="10">
        <v>45688</v>
      </c>
      <c r="E107" s="4" t="inlineStr">
        <is>
          <t xml:space="preserve">701000</t>
        </is>
      </c>
      <c r="F107" s="0" t="inlineStr">
        <is>
          <t xml:space="preserve">Ventes de produits finis</t>
        </is>
      </c>
      <c r="G107" s="0" t="inlineStr">
        <is>
          <t xml:space="preserve">FA2025-0003</t>
        </is>
      </c>
      <c r="H107" s="0" t="inlineStr">
        <is>
          <t xml:space="preserve">Facture FA2025-0003 Residence Bel Air</t>
        </is>
      </c>
      <c r="I107" s="8">
        <v>0</v>
      </c>
      <c r="J107" s="8">
        <v>17679.71</v>
      </c>
      <c r="K107" s="0"/>
      <c r="L107" s="0"/>
      <c r="M107" s="8">
        <f>I107-J107</f>
      </c>
      <c r="N107" s="0" t="inlineStr">
        <is>
          <t xml:space="preserve">2025-01</t>
        </is>
      </c>
      <c r="O107" s="0">
        <f>INDEX(Journaux!$E$5:$E$18,MATCH("2025|"&amp;A107,Journaux!$A$5:$A$18,0))</f>
      </c>
      <c r="P107" s="0">
        <f>INDEX(Comptes!$K$5:$K$42,MATCH(E107,Comptes!$A$5:$A$42,0))</f>
      </c>
      <c r="Q107" s="0" t="inlineStr">
        <is>
          <t xml:space="preserve">7</t>
        </is>
      </c>
    </row>
    <row r="108">
      <c r="A108" s="4" t="inlineStr">
        <is>
          <t xml:space="preserve">VT</t>
        </is>
      </c>
      <c r="B108" s="0" t="inlineStr">
        <is>
          <t xml:space="preserve">Journal des ventes</t>
        </is>
      </c>
      <c r="C108" s="0" t="inlineStr">
        <is>
          <t xml:space="preserve">VT00003</t>
        </is>
      </c>
      <c r="D108" s="10">
        <v>45688</v>
      </c>
      <c r="E108" s="4" t="inlineStr">
        <is>
          <t xml:space="preserve">445710</t>
        </is>
      </c>
      <c r="F108" s="0" t="inlineStr">
        <is>
          <t xml:space="preserve">TVA collectee</t>
        </is>
      </c>
      <c r="G108" s="0" t="inlineStr">
        <is>
          <t xml:space="preserve">FA2025-0003</t>
        </is>
      </c>
      <c r="H108" s="0" t="inlineStr">
        <is>
          <t xml:space="preserve">Facture FA2025-0003 Residence Bel Air</t>
        </is>
      </c>
      <c r="I108" s="8">
        <v>0</v>
      </c>
      <c r="J108" s="8">
        <v>3535.94</v>
      </c>
      <c r="K108" s="0"/>
      <c r="L108" s="0"/>
      <c r="M108" s="8">
        <f>I108-J108</f>
      </c>
      <c r="N108" s="0" t="inlineStr">
        <is>
          <t xml:space="preserve">2025-01</t>
        </is>
      </c>
      <c r="O108" s="0">
        <f>INDEX(Journaux!$E$5:$E$18,MATCH("2025|"&amp;A108,Journaux!$A$5:$A$18,0))</f>
      </c>
      <c r="P108" s="0">
        <f>INDEX(Comptes!$K$5:$K$42,MATCH(E108,Comptes!$A$5:$A$42,0))</f>
      </c>
      <c r="Q108" s="0" t="inlineStr">
        <is>
          <t xml:space="preserve">4</t>
        </is>
      </c>
    </row>
    <row r="109">
      <c r="A109" s="4" t="inlineStr">
        <is>
          <t xml:space="preserve">BQ</t>
        </is>
      </c>
      <c r="B109" s="0" t="inlineStr">
        <is>
          <t xml:space="preserve">Banque Fictive</t>
        </is>
      </c>
      <c r="C109" s="0" t="inlineStr">
        <is>
          <t xml:space="preserve">BQ00063</t>
        </is>
      </c>
      <c r="D109" s="10">
        <v>45691</v>
      </c>
      <c r="E109" s="4" t="inlineStr">
        <is>
          <t xml:space="preserve">512000</t>
        </is>
      </c>
      <c r="F109" s="0" t="inlineStr">
        <is>
          <t xml:space="preserve">Banque Fictive</t>
        </is>
      </c>
      <c r="G109" s="0" t="inlineStr">
        <is>
          <t xml:space="preserve">ENC-AN2025</t>
        </is>
      </c>
      <c r="H109" s="0" t="inlineStr">
        <is>
          <t xml:space="preserve">Reglement client Clinique du Parc AN2025</t>
        </is>
      </c>
      <c r="I109" s="8">
        <v>26280.64</v>
      </c>
      <c r="J109" s="8">
        <v>0</v>
      </c>
      <c r="K109" s="0"/>
      <c r="L109" s="0"/>
      <c r="M109" s="8">
        <f>I109-J109</f>
      </c>
      <c r="N109" s="0" t="inlineStr">
        <is>
          <t xml:space="preserve">2025-02</t>
        </is>
      </c>
      <c r="O109" s="0">
        <f>INDEX(Journaux!$E$5:$E$18,MATCH("2025|"&amp;A109,Journaux!$A$5:$A$18,0))</f>
      </c>
      <c r="P109" s="0">
        <f>INDEX(Comptes!$K$5:$K$42,MATCH(E109,Comptes!$A$5:$A$42,0))</f>
      </c>
      <c r="Q109" s="0" t="inlineStr">
        <is>
          <t xml:space="preserve">5</t>
        </is>
      </c>
    </row>
    <row r="110">
      <c r="A110" s="4" t="inlineStr">
        <is>
          <t xml:space="preserve">BQ</t>
        </is>
      </c>
      <c r="B110" s="0" t="inlineStr">
        <is>
          <t xml:space="preserve">Banque Fictive</t>
        </is>
      </c>
      <c r="C110" s="0" t="inlineStr">
        <is>
          <t xml:space="preserve">BQ00063</t>
        </is>
      </c>
      <c r="D110" s="10">
        <v>45691</v>
      </c>
      <c r="E110" s="4" t="inlineStr">
        <is>
          <t xml:space="preserve">411000</t>
        </is>
      </c>
      <c r="F110" s="0" t="inlineStr">
        <is>
          <t xml:space="preserve">Clients</t>
        </is>
      </c>
      <c r="G110" s="0" t="inlineStr">
        <is>
          <t xml:space="preserve">ENC-AN2025</t>
        </is>
      </c>
      <c r="H110" s="0" t="inlineStr">
        <is>
          <t xml:space="preserve">Reglement client Clinique du Parc AN2025</t>
        </is>
      </c>
      <c r="I110" s="8">
        <v>0</v>
      </c>
      <c r="J110" s="8">
        <v>26280.64</v>
      </c>
      <c r="K110" s="0" t="inlineStr">
        <is>
          <t xml:space="preserve">AAD</t>
        </is>
      </c>
      <c r="L110" s="0" t="inlineStr">
        <is>
          <t xml:space="preserve">Clinique du Parc</t>
        </is>
      </c>
      <c r="M110" s="8">
        <f>I110-J110</f>
      </c>
      <c r="N110" s="0" t="inlineStr">
        <is>
          <t xml:space="preserve">2025-02</t>
        </is>
      </c>
      <c r="O110" s="0">
        <f>INDEX(Journaux!$E$5:$E$18,MATCH("2025|"&amp;A110,Journaux!$A$5:$A$18,0))</f>
      </c>
      <c r="P110" s="0">
        <f>INDEX(Comptes!$K$5:$K$42,MATCH(E110,Comptes!$A$5:$A$42,0))</f>
      </c>
      <c r="Q110" s="0" t="inlineStr">
        <is>
          <t xml:space="preserve">4</t>
        </is>
      </c>
      <c r="R110" s="7" t="inlineStr">
        <is>
          <t xml:space="preserve">411000|C006</t>
        </is>
      </c>
    </row>
    <row r="111">
      <c r="A111" s="4" t="inlineStr">
        <is>
          <t xml:space="preserve">VT</t>
        </is>
      </c>
      <c r="B111" s="0" t="inlineStr">
        <is>
          <t xml:space="preserve">Journal des ventes</t>
        </is>
      </c>
      <c r="C111" s="0" t="inlineStr">
        <is>
          <t xml:space="preserve">VT00008</t>
        </is>
      </c>
      <c r="D111" s="10">
        <v>45691</v>
      </c>
      <c r="E111" s="4" t="inlineStr">
        <is>
          <t xml:space="preserve">411000</t>
        </is>
      </c>
      <c r="F111" s="0" t="inlineStr">
        <is>
          <t xml:space="preserve">Clients</t>
        </is>
      </c>
      <c r="G111" s="0" t="inlineStr">
        <is>
          <t xml:space="preserve">FA2025-0008</t>
        </is>
      </c>
      <c r="H111" s="0" t="inlineStr">
        <is>
          <t xml:space="preserve">Facture FA2025-0008 Coworking Atelier 9</t>
        </is>
      </c>
      <c r="I111" s="8">
        <v>27040.6</v>
      </c>
      <c r="J111" s="8">
        <v>0</v>
      </c>
      <c r="K111" s="0" t="inlineStr">
        <is>
          <t xml:space="preserve">AAP</t>
        </is>
      </c>
      <c r="L111" s="0" t="inlineStr">
        <is>
          <t xml:space="preserve">Coworking Atelier 9</t>
        </is>
      </c>
      <c r="M111" s="8">
        <f>I111-J111</f>
      </c>
      <c r="N111" s="0" t="inlineStr">
        <is>
          <t xml:space="preserve">2025-02</t>
        </is>
      </c>
      <c r="O111" s="0">
        <f>INDEX(Journaux!$E$5:$E$18,MATCH("2025|"&amp;A111,Journaux!$A$5:$A$18,0))</f>
      </c>
      <c r="P111" s="0">
        <f>INDEX(Comptes!$K$5:$K$42,MATCH(E111,Comptes!$A$5:$A$42,0))</f>
      </c>
      <c r="Q111" s="0" t="inlineStr">
        <is>
          <t xml:space="preserve">4</t>
        </is>
      </c>
      <c r="R111" s="7" t="inlineStr">
        <is>
          <t xml:space="preserve">411000|C008</t>
        </is>
      </c>
    </row>
    <row r="112">
      <c r="A112" s="4" t="inlineStr">
        <is>
          <t xml:space="preserve">VT</t>
        </is>
      </c>
      <c r="B112" s="0" t="inlineStr">
        <is>
          <t xml:space="preserve">Journal des ventes</t>
        </is>
      </c>
      <c r="C112" s="0" t="inlineStr">
        <is>
          <t xml:space="preserve">VT00008</t>
        </is>
      </c>
      <c r="D112" s="10">
        <v>45691</v>
      </c>
      <c r="E112" s="4" t="inlineStr">
        <is>
          <t xml:space="preserve">701000</t>
        </is>
      </c>
      <c r="F112" s="0" t="inlineStr">
        <is>
          <t xml:space="preserve">Ventes de produits finis</t>
        </is>
      </c>
      <c r="G112" s="0" t="inlineStr">
        <is>
          <t xml:space="preserve">FA2025-0008</t>
        </is>
      </c>
      <c r="H112" s="0" t="inlineStr">
        <is>
          <t xml:space="preserve">Facture FA2025-0008 Coworking Atelier 9</t>
        </is>
      </c>
      <c r="I112" s="8">
        <v>0</v>
      </c>
      <c r="J112" s="8">
        <v>22533.83</v>
      </c>
      <c r="K112" s="0"/>
      <c r="L112" s="0"/>
      <c r="M112" s="8">
        <f>I112-J112</f>
      </c>
      <c r="N112" s="0" t="inlineStr">
        <is>
          <t xml:space="preserve">2025-02</t>
        </is>
      </c>
      <c r="O112" s="0">
        <f>INDEX(Journaux!$E$5:$E$18,MATCH("2025|"&amp;A112,Journaux!$A$5:$A$18,0))</f>
      </c>
      <c r="P112" s="0">
        <f>INDEX(Comptes!$K$5:$K$42,MATCH(E112,Comptes!$A$5:$A$42,0))</f>
      </c>
      <c r="Q112" s="0" t="inlineStr">
        <is>
          <t xml:space="preserve">7</t>
        </is>
      </c>
    </row>
    <row r="113">
      <c r="A113" s="4" t="inlineStr">
        <is>
          <t xml:space="preserve">VT</t>
        </is>
      </c>
      <c r="B113" s="0" t="inlineStr">
        <is>
          <t xml:space="preserve">Journal des ventes</t>
        </is>
      </c>
      <c r="C113" s="0" t="inlineStr">
        <is>
          <t xml:space="preserve">VT00008</t>
        </is>
      </c>
      <c r="D113" s="10">
        <v>45691</v>
      </c>
      <c r="E113" s="4" t="inlineStr">
        <is>
          <t xml:space="preserve">445710</t>
        </is>
      </c>
      <c r="F113" s="0" t="inlineStr">
        <is>
          <t xml:space="preserve">TVA collectee</t>
        </is>
      </c>
      <c r="G113" s="0" t="inlineStr">
        <is>
          <t xml:space="preserve">FA2025-0008</t>
        </is>
      </c>
      <c r="H113" s="0" t="inlineStr">
        <is>
          <t xml:space="preserve">Facture FA2025-0008 Coworking Atelier 9</t>
        </is>
      </c>
      <c r="I113" s="8">
        <v>0</v>
      </c>
      <c r="J113" s="8">
        <v>4506.77</v>
      </c>
      <c r="K113" s="0"/>
      <c r="L113" s="0"/>
      <c r="M113" s="8">
        <f>I113-J113</f>
      </c>
      <c r="N113" s="0" t="inlineStr">
        <is>
          <t xml:space="preserve">2025-02</t>
        </is>
      </c>
      <c r="O113" s="0">
        <f>INDEX(Journaux!$E$5:$E$18,MATCH("2025|"&amp;A113,Journaux!$A$5:$A$18,0))</f>
      </c>
      <c r="P113" s="0">
        <f>INDEX(Comptes!$K$5:$K$42,MATCH(E113,Comptes!$A$5:$A$42,0))</f>
      </c>
      <c r="Q113" s="0" t="inlineStr">
        <is>
          <t xml:space="preserve">4</t>
        </is>
      </c>
    </row>
    <row r="114">
      <c r="A114" s="4" t="inlineStr">
        <is>
          <t xml:space="preserve">AC</t>
        </is>
      </c>
      <c r="B114" s="0" t="inlineStr">
        <is>
          <t xml:space="preserve">Journal des achats</t>
        </is>
      </c>
      <c r="C114" s="0" t="inlineStr">
        <is>
          <t xml:space="preserve">AC00010</t>
        </is>
      </c>
      <c r="D114" s="10">
        <v>45692</v>
      </c>
      <c r="E114" s="4" t="inlineStr">
        <is>
          <t xml:space="preserve">601000</t>
        </is>
      </c>
      <c r="F114" s="0" t="inlineStr">
        <is>
          <t xml:space="preserve">Achats de matieres premieres</t>
        </is>
      </c>
      <c r="G114" s="0" t="inlineStr">
        <is>
          <t xml:space="preserve">F002-2025023</t>
        </is>
      </c>
      <c r="H114" s="0" t="inlineStr">
        <is>
          <t xml:space="preserve">Facture Quincaillerie Pro Est F002-2025023</t>
        </is>
      </c>
      <c r="I114" s="8">
        <v>17182.76</v>
      </c>
      <c r="J114" s="8">
        <v>0</v>
      </c>
      <c r="K114" s="0"/>
      <c r="L114" s="0"/>
      <c r="M114" s="8">
        <f>I114-J114</f>
      </c>
      <c r="N114" s="0" t="inlineStr">
        <is>
          <t xml:space="preserve">2025-02</t>
        </is>
      </c>
      <c r="O114" s="0">
        <f>INDEX(Journaux!$E$5:$E$18,MATCH("2025|"&amp;A114,Journaux!$A$5:$A$18,0))</f>
      </c>
      <c r="P114" s="0">
        <f>INDEX(Comptes!$K$5:$K$42,MATCH(E114,Comptes!$A$5:$A$42,0))</f>
      </c>
      <c r="Q114" s="0" t="inlineStr">
        <is>
          <t xml:space="preserve">6</t>
        </is>
      </c>
    </row>
    <row r="115">
      <c r="A115" s="4" t="inlineStr">
        <is>
          <t xml:space="preserve">AC</t>
        </is>
      </c>
      <c r="B115" s="0" t="inlineStr">
        <is>
          <t xml:space="preserve">Journal des achats</t>
        </is>
      </c>
      <c r="C115" s="0" t="inlineStr">
        <is>
          <t xml:space="preserve">AC00010</t>
        </is>
      </c>
      <c r="D115" s="10">
        <v>45692</v>
      </c>
      <c r="E115" s="4" t="inlineStr">
        <is>
          <t xml:space="preserve">445660</t>
        </is>
      </c>
      <c r="F115" s="0" t="inlineStr">
        <is>
          <t xml:space="preserve">TVA deductible sur ABS</t>
        </is>
      </c>
      <c r="G115" s="0" t="inlineStr">
        <is>
          <t xml:space="preserve">F002-2025023</t>
        </is>
      </c>
      <c r="H115" s="0" t="inlineStr">
        <is>
          <t xml:space="preserve">Facture Quincaillerie Pro Est F002-2025023</t>
        </is>
      </c>
      <c r="I115" s="8">
        <v>3436.55</v>
      </c>
      <c r="J115" s="8">
        <v>0</v>
      </c>
      <c r="K115" s="0"/>
      <c r="L115" s="0"/>
      <c r="M115" s="8">
        <f>I115-J115</f>
      </c>
      <c r="N115" s="0" t="inlineStr">
        <is>
          <t xml:space="preserve">2025-02</t>
        </is>
      </c>
      <c r="O115" s="0">
        <f>INDEX(Journaux!$E$5:$E$18,MATCH("2025|"&amp;A115,Journaux!$A$5:$A$18,0))</f>
      </c>
      <c r="P115" s="0">
        <f>INDEX(Comptes!$K$5:$K$42,MATCH(E115,Comptes!$A$5:$A$42,0))</f>
      </c>
      <c r="Q115" s="0" t="inlineStr">
        <is>
          <t xml:space="preserve">4</t>
        </is>
      </c>
    </row>
    <row r="116">
      <c r="A116" s="4" t="inlineStr">
        <is>
          <t xml:space="preserve">AC</t>
        </is>
      </c>
      <c r="B116" s="0" t="inlineStr">
        <is>
          <t xml:space="preserve">Journal des achats</t>
        </is>
      </c>
      <c r="C116" s="0" t="inlineStr">
        <is>
          <t xml:space="preserve">AC00010</t>
        </is>
      </c>
      <c r="D116" s="10">
        <v>45692</v>
      </c>
      <c r="E116" s="4" t="inlineStr">
        <is>
          <t xml:space="preserve">401000</t>
        </is>
      </c>
      <c r="F116" s="0" t="inlineStr">
        <is>
          <t xml:space="preserve">Fournisseurs</t>
        </is>
      </c>
      <c r="G116" s="0" t="inlineStr">
        <is>
          <t xml:space="preserve">F002-2025023</t>
        </is>
      </c>
      <c r="H116" s="0" t="inlineStr">
        <is>
          <t xml:space="preserve">Facture Quincaillerie Pro Est F002-2025023</t>
        </is>
      </c>
      <c r="I116" s="8">
        <v>0</v>
      </c>
      <c r="J116" s="8">
        <v>20619.31</v>
      </c>
      <c r="K116" s="0" t="inlineStr">
        <is>
          <t xml:space="preserve">ABR</t>
        </is>
      </c>
      <c r="L116" s="0" t="inlineStr">
        <is>
          <t xml:space="preserve">Quincaillerie Pro Est</t>
        </is>
      </c>
      <c r="M116" s="8">
        <f>I116-J116</f>
      </c>
      <c r="N116" s="0" t="inlineStr">
        <is>
          <t xml:space="preserve">2025-02</t>
        </is>
      </c>
      <c r="O116" s="0">
        <f>INDEX(Journaux!$E$5:$E$18,MATCH("2025|"&amp;A116,Journaux!$A$5:$A$18,0))</f>
      </c>
      <c r="P116" s="0">
        <f>INDEX(Comptes!$K$5:$K$42,MATCH(E116,Comptes!$A$5:$A$42,0))</f>
      </c>
      <c r="Q116" s="0" t="inlineStr">
        <is>
          <t xml:space="preserve">4</t>
        </is>
      </c>
      <c r="R116" s="7" t="inlineStr">
        <is>
          <t xml:space="preserve">401000|F002</t>
        </is>
      </c>
    </row>
    <row r="117">
      <c r="A117" s="4" t="inlineStr">
        <is>
          <t xml:space="preserve">BQ</t>
        </is>
      </c>
      <c r="B117" s="0" t="inlineStr">
        <is>
          <t xml:space="preserve">Banque Fictive</t>
        </is>
      </c>
      <c r="C117" s="0" t="inlineStr">
        <is>
          <t xml:space="preserve">BQ00066</t>
        </is>
      </c>
      <c r="D117" s="10">
        <v>45692</v>
      </c>
      <c r="E117" s="4" t="inlineStr">
        <is>
          <t xml:space="preserve">512000</t>
        </is>
      </c>
      <c r="F117" s="0" t="inlineStr">
        <is>
          <t xml:space="preserve">Banque Fictive</t>
        </is>
      </c>
      <c r="G117" s="0" t="inlineStr">
        <is>
          <t xml:space="preserve">ENC-AN2025</t>
        </is>
      </c>
      <c r="H117" s="0" t="inlineStr">
        <is>
          <t xml:space="preserve">Reglement client Coworking Atelier 9 AN2025</t>
        </is>
      </c>
      <c r="I117" s="8">
        <v>38178.13</v>
      </c>
      <c r="J117" s="8">
        <v>0</v>
      </c>
      <c r="K117" s="0"/>
      <c r="L117" s="0"/>
      <c r="M117" s="8">
        <f>I117-J117</f>
      </c>
      <c r="N117" s="0" t="inlineStr">
        <is>
          <t xml:space="preserve">2025-02</t>
        </is>
      </c>
      <c r="O117" s="0">
        <f>INDEX(Journaux!$E$5:$E$18,MATCH("2025|"&amp;A117,Journaux!$A$5:$A$18,0))</f>
      </c>
      <c r="P117" s="0">
        <f>INDEX(Comptes!$K$5:$K$42,MATCH(E117,Comptes!$A$5:$A$42,0))</f>
      </c>
      <c r="Q117" s="0" t="inlineStr">
        <is>
          <t xml:space="preserve">5</t>
        </is>
      </c>
    </row>
    <row r="118">
      <c r="A118" s="4" t="inlineStr">
        <is>
          <t xml:space="preserve">BQ</t>
        </is>
      </c>
      <c r="B118" s="0" t="inlineStr">
        <is>
          <t xml:space="preserve">Banque Fictive</t>
        </is>
      </c>
      <c r="C118" s="0" t="inlineStr">
        <is>
          <t xml:space="preserve">BQ00066</t>
        </is>
      </c>
      <c r="D118" s="10">
        <v>45692</v>
      </c>
      <c r="E118" s="4" t="inlineStr">
        <is>
          <t xml:space="preserve">411000</t>
        </is>
      </c>
      <c r="F118" s="0" t="inlineStr">
        <is>
          <t xml:space="preserve">Clients</t>
        </is>
      </c>
      <c r="G118" s="0" t="inlineStr">
        <is>
          <t xml:space="preserve">ENC-AN2025</t>
        </is>
      </c>
      <c r="H118" s="0" t="inlineStr">
        <is>
          <t xml:space="preserve">Reglement client Coworking Atelier 9 AN2025</t>
        </is>
      </c>
      <c r="I118" s="8">
        <v>0</v>
      </c>
      <c r="J118" s="8">
        <v>38178.13</v>
      </c>
      <c r="K118" s="0" t="inlineStr">
        <is>
          <t xml:space="preserve">AAG</t>
        </is>
      </c>
      <c r="L118" s="0" t="inlineStr">
        <is>
          <t xml:space="preserve">Coworking Atelier 9</t>
        </is>
      </c>
      <c r="M118" s="8">
        <f>I118-J118</f>
      </c>
      <c r="N118" s="0" t="inlineStr">
        <is>
          <t xml:space="preserve">2025-02</t>
        </is>
      </c>
      <c r="O118" s="0">
        <f>INDEX(Journaux!$E$5:$E$18,MATCH("2025|"&amp;A118,Journaux!$A$5:$A$18,0))</f>
      </c>
      <c r="P118" s="0">
        <f>INDEX(Comptes!$K$5:$K$42,MATCH(E118,Comptes!$A$5:$A$42,0))</f>
      </c>
      <c r="Q118" s="0" t="inlineStr">
        <is>
          <t xml:space="preserve">4</t>
        </is>
      </c>
      <c r="R118" s="7" t="inlineStr">
        <is>
          <t xml:space="preserve">411000|C008</t>
        </is>
      </c>
    </row>
    <row r="119">
      <c r="A119" s="4" t="inlineStr">
        <is>
          <t xml:space="preserve">BQ</t>
        </is>
      </c>
      <c r="B119" s="0" t="inlineStr">
        <is>
          <t xml:space="preserve">Banque Fictive</t>
        </is>
      </c>
      <c r="C119" s="0" t="inlineStr">
        <is>
          <t xml:space="preserve">BQ00123</t>
        </is>
      </c>
      <c r="D119" s="10">
        <v>45692</v>
      </c>
      <c r="E119" s="4" t="inlineStr">
        <is>
          <t xml:space="preserve">401000</t>
        </is>
      </c>
      <c r="F119" s="0" t="inlineStr">
        <is>
          <t xml:space="preserve">Fournisseurs</t>
        </is>
      </c>
      <c r="G119" s="0" t="inlineStr">
        <is>
          <t xml:space="preserve">DEC-F004-202501</t>
        </is>
      </c>
      <c r="H119" s="0" t="inlineStr">
        <is>
          <t xml:space="preserve">Reglement fournisseur SCI Les Halles F004-202501</t>
        </is>
      </c>
      <c r="I119" s="8">
        <v>10200</v>
      </c>
      <c r="J119" s="8">
        <v>0</v>
      </c>
      <c r="K119" s="0" t="inlineStr">
        <is>
          <t xml:space="preserve">ABL</t>
        </is>
      </c>
      <c r="L119" s="0" t="inlineStr">
        <is>
          <t xml:space="preserve">SCI Les Halles</t>
        </is>
      </c>
      <c r="M119" s="8">
        <f>I119-J119</f>
      </c>
      <c r="N119" s="0" t="inlineStr">
        <is>
          <t xml:space="preserve">2025-02</t>
        </is>
      </c>
      <c r="O119" s="0">
        <f>INDEX(Journaux!$E$5:$E$18,MATCH("2025|"&amp;A119,Journaux!$A$5:$A$18,0))</f>
      </c>
      <c r="P119" s="0">
        <f>INDEX(Comptes!$K$5:$K$42,MATCH(E119,Comptes!$A$5:$A$42,0))</f>
      </c>
      <c r="Q119" s="0" t="inlineStr">
        <is>
          <t xml:space="preserve">4</t>
        </is>
      </c>
      <c r="R119" s="7" t="inlineStr">
        <is>
          <t xml:space="preserve">401000|F004</t>
        </is>
      </c>
    </row>
    <row r="120">
      <c r="A120" s="4" t="inlineStr">
        <is>
          <t xml:space="preserve">BQ</t>
        </is>
      </c>
      <c r="B120" s="0" t="inlineStr">
        <is>
          <t xml:space="preserve">Banque Fictive</t>
        </is>
      </c>
      <c r="C120" s="0" t="inlineStr">
        <is>
          <t xml:space="preserve">BQ00123</t>
        </is>
      </c>
      <c r="D120" s="10">
        <v>45692</v>
      </c>
      <c r="E120" s="4" t="inlineStr">
        <is>
          <t xml:space="preserve">512000</t>
        </is>
      </c>
      <c r="F120" s="0" t="inlineStr">
        <is>
          <t xml:space="preserve">Banque Fictive</t>
        </is>
      </c>
      <c r="G120" s="0" t="inlineStr">
        <is>
          <t xml:space="preserve">DEC-F004-202501</t>
        </is>
      </c>
      <c r="H120" s="0" t="inlineStr">
        <is>
          <t xml:space="preserve">Reglement fournisseur SCI Les Halles F004-202501</t>
        </is>
      </c>
      <c r="I120" s="8">
        <v>0</v>
      </c>
      <c r="J120" s="8">
        <v>10200</v>
      </c>
      <c r="K120" s="0"/>
      <c r="L120" s="0"/>
      <c r="M120" s="8">
        <f>I120-J120</f>
      </c>
      <c r="N120" s="0" t="inlineStr">
        <is>
          <t xml:space="preserve">2025-02</t>
        </is>
      </c>
      <c r="O120" s="0">
        <f>INDEX(Journaux!$E$5:$E$18,MATCH("2025|"&amp;A120,Journaux!$A$5:$A$18,0))</f>
      </c>
      <c r="P120" s="0">
        <f>INDEX(Comptes!$K$5:$K$42,MATCH(E120,Comptes!$A$5:$A$42,0))</f>
      </c>
      <c r="Q120" s="0" t="inlineStr">
        <is>
          <t xml:space="preserve">5</t>
        </is>
      </c>
    </row>
    <row r="121">
      <c r="A121" s="4" t="inlineStr">
        <is>
          <t xml:space="preserve">BQ</t>
        </is>
      </c>
      <c r="B121" s="0" t="inlineStr">
        <is>
          <t xml:space="preserve">Banque Fictive</t>
        </is>
      </c>
      <c r="C121" s="0" t="inlineStr">
        <is>
          <t xml:space="preserve">BQ00124</t>
        </is>
      </c>
      <c r="D121" s="10">
        <v>45692</v>
      </c>
      <c r="E121" s="4" t="inlineStr">
        <is>
          <t xml:space="preserve">401000</t>
        </is>
      </c>
      <c r="F121" s="0" t="inlineStr">
        <is>
          <t xml:space="preserve">Fournisseurs</t>
        </is>
      </c>
      <c r="G121" s="0" t="inlineStr">
        <is>
          <t xml:space="preserve">DEC-F005-202501</t>
        </is>
      </c>
      <c r="H121" s="0" t="inlineStr">
        <is>
          <t xml:space="preserve">Reglement fournisseur Energie Plus F005-202501</t>
        </is>
      </c>
      <c r="I121" s="8">
        <v>3308.72</v>
      </c>
      <c r="J121" s="8">
        <v>0</v>
      </c>
      <c r="K121" s="0" t="inlineStr">
        <is>
          <t xml:space="preserve">ABM</t>
        </is>
      </c>
      <c r="L121" s="0" t="inlineStr">
        <is>
          <t xml:space="preserve">Energie Plus</t>
        </is>
      </c>
      <c r="M121" s="8">
        <f>I121-J121</f>
      </c>
      <c r="N121" s="0" t="inlineStr">
        <is>
          <t xml:space="preserve">2025-02</t>
        </is>
      </c>
      <c r="O121" s="0">
        <f>INDEX(Journaux!$E$5:$E$18,MATCH("2025|"&amp;A121,Journaux!$A$5:$A$18,0))</f>
      </c>
      <c r="P121" s="0">
        <f>INDEX(Comptes!$K$5:$K$42,MATCH(E121,Comptes!$A$5:$A$42,0))</f>
      </c>
      <c r="Q121" s="0" t="inlineStr">
        <is>
          <t xml:space="preserve">4</t>
        </is>
      </c>
      <c r="R121" s="7" t="inlineStr">
        <is>
          <t xml:space="preserve">401000|F005</t>
        </is>
      </c>
    </row>
    <row r="122">
      <c r="A122" s="4" t="inlineStr">
        <is>
          <t xml:space="preserve">BQ</t>
        </is>
      </c>
      <c r="B122" s="0" t="inlineStr">
        <is>
          <t xml:space="preserve">Banque Fictive</t>
        </is>
      </c>
      <c r="C122" s="0" t="inlineStr">
        <is>
          <t xml:space="preserve">BQ00124</t>
        </is>
      </c>
      <c r="D122" s="10">
        <v>45692</v>
      </c>
      <c r="E122" s="4" t="inlineStr">
        <is>
          <t xml:space="preserve">512000</t>
        </is>
      </c>
      <c r="F122" s="0" t="inlineStr">
        <is>
          <t xml:space="preserve">Banque Fictive</t>
        </is>
      </c>
      <c r="G122" s="0" t="inlineStr">
        <is>
          <t xml:space="preserve">DEC-F005-202501</t>
        </is>
      </c>
      <c r="H122" s="0" t="inlineStr">
        <is>
          <t xml:space="preserve">Reglement fournisseur Energie Plus F005-202501</t>
        </is>
      </c>
      <c r="I122" s="8">
        <v>0</v>
      </c>
      <c r="J122" s="8">
        <v>3308.72</v>
      </c>
      <c r="K122" s="0"/>
      <c r="L122" s="0"/>
      <c r="M122" s="8">
        <f>I122-J122</f>
      </c>
      <c r="N122" s="0" t="inlineStr">
        <is>
          <t xml:space="preserve">2025-02</t>
        </is>
      </c>
      <c r="O122" s="0">
        <f>INDEX(Journaux!$E$5:$E$18,MATCH("2025|"&amp;A122,Journaux!$A$5:$A$18,0))</f>
      </c>
      <c r="P122" s="0">
        <f>INDEX(Comptes!$K$5:$K$42,MATCH(E122,Comptes!$A$5:$A$42,0))</f>
      </c>
      <c r="Q122" s="0" t="inlineStr">
        <is>
          <t xml:space="preserve">5</t>
        </is>
      </c>
    </row>
    <row r="123">
      <c r="A123" s="4" t="inlineStr">
        <is>
          <t xml:space="preserve">BQ</t>
        </is>
      </c>
      <c r="B123" s="0" t="inlineStr">
        <is>
          <t xml:space="preserve">Banque Fictive</t>
        </is>
      </c>
      <c r="C123" s="0" t="inlineStr">
        <is>
          <t xml:space="preserve">BQ00125</t>
        </is>
      </c>
      <c r="D123" s="10">
        <v>45692</v>
      </c>
      <c r="E123" s="4" t="inlineStr">
        <is>
          <t xml:space="preserve">401000</t>
        </is>
      </c>
      <c r="F123" s="0" t="inlineStr">
        <is>
          <t xml:space="preserve">Fournisseurs</t>
        </is>
      </c>
      <c r="G123" s="0" t="inlineStr">
        <is>
          <t xml:space="preserve">DEC-F008-202501</t>
        </is>
      </c>
      <c r="H123" s="0" t="inlineStr">
        <is>
          <t xml:space="preserve">Reglement fournisseur Telecom Pro F008-202501</t>
        </is>
      </c>
      <c r="I123" s="8">
        <v>576</v>
      </c>
      <c r="J123" s="8">
        <v>0</v>
      </c>
      <c r="K123" s="0" t="inlineStr">
        <is>
          <t xml:space="preserve">ABN</t>
        </is>
      </c>
      <c r="L123" s="0" t="inlineStr">
        <is>
          <t xml:space="preserve">Telecom Pro</t>
        </is>
      </c>
      <c r="M123" s="8">
        <f>I123-J123</f>
      </c>
      <c r="N123" s="0" t="inlineStr">
        <is>
          <t xml:space="preserve">2025-02</t>
        </is>
      </c>
      <c r="O123" s="0">
        <f>INDEX(Journaux!$E$5:$E$18,MATCH("2025|"&amp;A123,Journaux!$A$5:$A$18,0))</f>
      </c>
      <c r="P123" s="0">
        <f>INDEX(Comptes!$K$5:$K$42,MATCH(E123,Comptes!$A$5:$A$42,0))</f>
      </c>
      <c r="Q123" s="0" t="inlineStr">
        <is>
          <t xml:space="preserve">4</t>
        </is>
      </c>
      <c r="R123" s="7" t="inlineStr">
        <is>
          <t xml:space="preserve">401000|F008</t>
        </is>
      </c>
    </row>
    <row r="124">
      <c r="A124" s="4" t="inlineStr">
        <is>
          <t xml:space="preserve">BQ</t>
        </is>
      </c>
      <c r="B124" s="0" t="inlineStr">
        <is>
          <t xml:space="preserve">Banque Fictive</t>
        </is>
      </c>
      <c r="C124" s="0" t="inlineStr">
        <is>
          <t xml:space="preserve">BQ00125</t>
        </is>
      </c>
      <c r="D124" s="10">
        <v>45692</v>
      </c>
      <c r="E124" s="4" t="inlineStr">
        <is>
          <t xml:space="preserve">512000</t>
        </is>
      </c>
      <c r="F124" s="0" t="inlineStr">
        <is>
          <t xml:space="preserve">Banque Fictive</t>
        </is>
      </c>
      <c r="G124" s="0" t="inlineStr">
        <is>
          <t xml:space="preserve">DEC-F008-202501</t>
        </is>
      </c>
      <c r="H124" s="0" t="inlineStr">
        <is>
          <t xml:space="preserve">Reglement fournisseur Telecom Pro F008-202501</t>
        </is>
      </c>
      <c r="I124" s="8">
        <v>0</v>
      </c>
      <c r="J124" s="8">
        <v>576</v>
      </c>
      <c r="K124" s="0"/>
      <c r="L124" s="0"/>
      <c r="M124" s="8">
        <f>I124-J124</f>
      </c>
      <c r="N124" s="0" t="inlineStr">
        <is>
          <t xml:space="preserve">2025-02</t>
        </is>
      </c>
      <c r="O124" s="0">
        <f>INDEX(Journaux!$E$5:$E$18,MATCH("2025|"&amp;A124,Journaux!$A$5:$A$18,0))</f>
      </c>
      <c r="P124" s="0">
        <f>INDEX(Comptes!$K$5:$K$42,MATCH(E124,Comptes!$A$5:$A$42,0))</f>
      </c>
      <c r="Q124" s="0" t="inlineStr">
        <is>
          <t xml:space="preserve">5</t>
        </is>
      </c>
    </row>
    <row r="125">
      <c r="A125" s="4" t="inlineStr">
        <is>
          <t xml:space="preserve">BQ</t>
        </is>
      </c>
      <c r="B125" s="0" t="inlineStr">
        <is>
          <t xml:space="preserve">Banque Fictive</t>
        </is>
      </c>
      <c r="C125" s="0" t="inlineStr">
        <is>
          <t xml:space="preserve">BQ00126</t>
        </is>
      </c>
      <c r="D125" s="10">
        <v>45692</v>
      </c>
      <c r="E125" s="4" t="inlineStr">
        <is>
          <t xml:space="preserve">401000</t>
        </is>
      </c>
      <c r="F125" s="0" t="inlineStr">
        <is>
          <t xml:space="preserve">Fournisseurs</t>
        </is>
      </c>
      <c r="G125" s="0" t="inlineStr">
        <is>
          <t xml:space="preserve">DEC-F006-202501</t>
        </is>
      </c>
      <c r="H125" s="0" t="inlineStr">
        <is>
          <t xml:space="preserve">Reglement fournisseur Assurances Mutuelles Exemple F006-202501</t>
        </is>
      </c>
      <c r="I125" s="8">
        <v>3000</v>
      </c>
      <c r="J125" s="8">
        <v>0</v>
      </c>
      <c r="K125" s="0" t="inlineStr">
        <is>
          <t xml:space="preserve">ABO</t>
        </is>
      </c>
      <c r="L125" s="0" t="inlineStr">
        <is>
          <t xml:space="preserve">Assurances Mutuelles Exemple</t>
        </is>
      </c>
      <c r="M125" s="8">
        <f>I125-J125</f>
      </c>
      <c r="N125" s="0" t="inlineStr">
        <is>
          <t xml:space="preserve">2025-02</t>
        </is>
      </c>
      <c r="O125" s="0">
        <f>INDEX(Journaux!$E$5:$E$18,MATCH("2025|"&amp;A125,Journaux!$A$5:$A$18,0))</f>
      </c>
      <c r="P125" s="0">
        <f>INDEX(Comptes!$K$5:$K$42,MATCH(E125,Comptes!$A$5:$A$42,0))</f>
      </c>
      <c r="Q125" s="0" t="inlineStr">
        <is>
          <t xml:space="preserve">4</t>
        </is>
      </c>
      <c r="R125" s="7" t="inlineStr">
        <is>
          <t xml:space="preserve">401000|F006</t>
        </is>
      </c>
    </row>
    <row r="126">
      <c r="A126" s="4" t="inlineStr">
        <is>
          <t xml:space="preserve">BQ</t>
        </is>
      </c>
      <c r="B126" s="0" t="inlineStr">
        <is>
          <t xml:space="preserve">Banque Fictive</t>
        </is>
      </c>
      <c r="C126" s="0" t="inlineStr">
        <is>
          <t xml:space="preserve">BQ00126</t>
        </is>
      </c>
      <c r="D126" s="10">
        <v>45692</v>
      </c>
      <c r="E126" s="4" t="inlineStr">
        <is>
          <t xml:space="preserve">512000</t>
        </is>
      </c>
      <c r="F126" s="0" t="inlineStr">
        <is>
          <t xml:space="preserve">Banque Fictive</t>
        </is>
      </c>
      <c r="G126" s="0" t="inlineStr">
        <is>
          <t xml:space="preserve">DEC-F006-202501</t>
        </is>
      </c>
      <c r="H126" s="0" t="inlineStr">
        <is>
          <t xml:space="preserve">Reglement fournisseur Assurances Mutuelles Exemple F006-202501</t>
        </is>
      </c>
      <c r="I126" s="8">
        <v>0</v>
      </c>
      <c r="J126" s="8">
        <v>3000</v>
      </c>
      <c r="K126" s="0"/>
      <c r="L126" s="0"/>
      <c r="M126" s="8">
        <f>I126-J126</f>
      </c>
      <c r="N126" s="0" t="inlineStr">
        <is>
          <t xml:space="preserve">2025-02</t>
        </is>
      </c>
      <c r="O126" s="0">
        <f>INDEX(Journaux!$E$5:$E$18,MATCH("2025|"&amp;A126,Journaux!$A$5:$A$18,0))</f>
      </c>
      <c r="P126" s="0">
        <f>INDEX(Comptes!$K$5:$K$42,MATCH(E126,Comptes!$A$5:$A$42,0))</f>
      </c>
      <c r="Q126" s="0" t="inlineStr">
        <is>
          <t xml:space="preserve">5</t>
        </is>
      </c>
    </row>
    <row r="127">
      <c r="A127" s="4" t="inlineStr">
        <is>
          <t xml:space="preserve">AC</t>
        </is>
      </c>
      <c r="B127" s="0" t="inlineStr">
        <is>
          <t xml:space="preserve">Journal des achats</t>
        </is>
      </c>
      <c r="C127" s="0" t="inlineStr">
        <is>
          <t xml:space="preserve">AC00011</t>
        </is>
      </c>
      <c r="D127" s="10">
        <v>45693</v>
      </c>
      <c r="E127" s="4" t="inlineStr">
        <is>
          <t xml:space="preserve">613200</t>
        </is>
      </c>
      <c r="F127" s="0" t="inlineStr">
        <is>
          <t xml:space="preserve">Locations immobilieres</t>
        </is>
      </c>
      <c r="G127" s="0" t="inlineStr">
        <is>
          <t xml:space="preserve">F004-202502</t>
        </is>
      </c>
      <c r="H127" s="0" t="inlineStr">
        <is>
          <t xml:space="preserve">Facture SCI Les Halles 2025-02</t>
        </is>
      </c>
      <c r="I127" s="8">
        <v>8500</v>
      </c>
      <c r="J127" s="8">
        <v>0</v>
      </c>
      <c r="K127" s="0"/>
      <c r="L127" s="0"/>
      <c r="M127" s="8">
        <f>I127-J127</f>
      </c>
      <c r="N127" s="0" t="inlineStr">
        <is>
          <t xml:space="preserve">2025-02</t>
        </is>
      </c>
      <c r="O127" s="0">
        <f>INDEX(Journaux!$E$5:$E$18,MATCH("2025|"&amp;A127,Journaux!$A$5:$A$18,0))</f>
      </c>
      <c r="P127" s="0">
        <f>INDEX(Comptes!$K$5:$K$42,MATCH(E127,Comptes!$A$5:$A$42,0))</f>
      </c>
      <c r="Q127" s="0" t="inlineStr">
        <is>
          <t xml:space="preserve">6</t>
        </is>
      </c>
    </row>
    <row r="128">
      <c r="A128" s="4" t="inlineStr">
        <is>
          <t xml:space="preserve">AC</t>
        </is>
      </c>
      <c r="B128" s="0" t="inlineStr">
        <is>
          <t xml:space="preserve">Journal des achats</t>
        </is>
      </c>
      <c r="C128" s="0" t="inlineStr">
        <is>
          <t xml:space="preserve">AC00011</t>
        </is>
      </c>
      <c r="D128" s="10">
        <v>45693</v>
      </c>
      <c r="E128" s="4" t="inlineStr">
        <is>
          <t xml:space="preserve">445660</t>
        </is>
      </c>
      <c r="F128" s="0" t="inlineStr">
        <is>
          <t xml:space="preserve">TVA deductible sur ABS</t>
        </is>
      </c>
      <c r="G128" s="0" t="inlineStr">
        <is>
          <t xml:space="preserve">F004-202502</t>
        </is>
      </c>
      <c r="H128" s="0" t="inlineStr">
        <is>
          <t xml:space="preserve">Facture SCI Les Halles 2025-02</t>
        </is>
      </c>
      <c r="I128" s="8">
        <v>1700</v>
      </c>
      <c r="J128" s="8">
        <v>0</v>
      </c>
      <c r="K128" s="0"/>
      <c r="L128" s="0"/>
      <c r="M128" s="8">
        <f>I128-J128</f>
      </c>
      <c r="N128" s="0" t="inlineStr">
        <is>
          <t xml:space="preserve">2025-02</t>
        </is>
      </c>
      <c r="O128" s="0">
        <f>INDEX(Journaux!$E$5:$E$18,MATCH("2025|"&amp;A128,Journaux!$A$5:$A$18,0))</f>
      </c>
      <c r="P128" s="0">
        <f>INDEX(Comptes!$K$5:$K$42,MATCH(E128,Comptes!$A$5:$A$42,0))</f>
      </c>
      <c r="Q128" s="0" t="inlineStr">
        <is>
          <t xml:space="preserve">4</t>
        </is>
      </c>
    </row>
    <row r="129">
      <c r="A129" s="4" t="inlineStr">
        <is>
          <t xml:space="preserve">AC</t>
        </is>
      </c>
      <c r="B129" s="0" t="inlineStr">
        <is>
          <t xml:space="preserve">Journal des achats</t>
        </is>
      </c>
      <c r="C129" s="0" t="inlineStr">
        <is>
          <t xml:space="preserve">AC00011</t>
        </is>
      </c>
      <c r="D129" s="10">
        <v>45693</v>
      </c>
      <c r="E129" s="4" t="inlineStr">
        <is>
          <t xml:space="preserve">401000</t>
        </is>
      </c>
      <c r="F129" s="0" t="inlineStr">
        <is>
          <t xml:space="preserve">Fournisseurs</t>
        </is>
      </c>
      <c r="G129" s="0" t="inlineStr">
        <is>
          <t xml:space="preserve">F004-202502</t>
        </is>
      </c>
      <c r="H129" s="0" t="inlineStr">
        <is>
          <t xml:space="preserve">Facture SCI Les Halles 2025-02</t>
        </is>
      </c>
      <c r="I129" s="8">
        <v>0</v>
      </c>
      <c r="J129" s="8">
        <v>10200</v>
      </c>
      <c r="K129" s="0" t="inlineStr">
        <is>
          <t xml:space="preserve">ABS</t>
        </is>
      </c>
      <c r="L129" s="0" t="inlineStr">
        <is>
          <t xml:space="preserve">SCI Les Halles</t>
        </is>
      </c>
      <c r="M129" s="8">
        <f>I129-J129</f>
      </c>
      <c r="N129" s="0" t="inlineStr">
        <is>
          <t xml:space="preserve">2025-02</t>
        </is>
      </c>
      <c r="O129" s="0">
        <f>INDEX(Journaux!$E$5:$E$18,MATCH("2025|"&amp;A129,Journaux!$A$5:$A$18,0))</f>
      </c>
      <c r="P129" s="0">
        <f>INDEX(Comptes!$K$5:$K$42,MATCH(E129,Comptes!$A$5:$A$42,0))</f>
      </c>
      <c r="Q129" s="0" t="inlineStr">
        <is>
          <t xml:space="preserve">4</t>
        </is>
      </c>
      <c r="R129" s="7" t="inlineStr">
        <is>
          <t xml:space="preserve">401000|F004</t>
        </is>
      </c>
    </row>
    <row r="130">
      <c r="A130" s="4" t="inlineStr">
        <is>
          <t xml:space="preserve">AC</t>
        </is>
      </c>
      <c r="B130" s="0" t="inlineStr">
        <is>
          <t xml:space="preserve">Journal des achats</t>
        </is>
      </c>
      <c r="C130" s="0" t="inlineStr">
        <is>
          <t xml:space="preserve">AC00012</t>
        </is>
      </c>
      <c r="D130" s="10">
        <v>45693</v>
      </c>
      <c r="E130" s="4" t="inlineStr">
        <is>
          <t xml:space="preserve">606100</t>
        </is>
      </c>
      <c r="F130" s="0" t="inlineStr">
        <is>
          <t xml:space="preserve">Fournitures non stockables energie</t>
        </is>
      </c>
      <c r="G130" s="0" t="inlineStr">
        <is>
          <t xml:space="preserve">F005-202502</t>
        </is>
      </c>
      <c r="H130" s="0" t="inlineStr">
        <is>
          <t xml:space="preserve">Facture Energie Plus 2025-02</t>
        </is>
      </c>
      <c r="I130" s="8">
        <v>3329.72</v>
      </c>
      <c r="J130" s="8">
        <v>0</v>
      </c>
      <c r="K130" s="0"/>
      <c r="L130" s="0"/>
      <c r="M130" s="8">
        <f>I130-J130</f>
      </c>
      <c r="N130" s="0" t="inlineStr">
        <is>
          <t xml:space="preserve">2025-02</t>
        </is>
      </c>
      <c r="O130" s="0">
        <f>INDEX(Journaux!$E$5:$E$18,MATCH("2025|"&amp;A130,Journaux!$A$5:$A$18,0))</f>
      </c>
      <c r="P130" s="0">
        <f>INDEX(Comptes!$K$5:$K$42,MATCH(E130,Comptes!$A$5:$A$42,0))</f>
      </c>
      <c r="Q130" s="0" t="inlineStr">
        <is>
          <t xml:space="preserve">6</t>
        </is>
      </c>
    </row>
    <row r="131">
      <c r="A131" s="4" t="inlineStr">
        <is>
          <t xml:space="preserve">AC</t>
        </is>
      </c>
      <c r="B131" s="0" t="inlineStr">
        <is>
          <t xml:space="preserve">Journal des achats</t>
        </is>
      </c>
      <c r="C131" s="0" t="inlineStr">
        <is>
          <t xml:space="preserve">AC00012</t>
        </is>
      </c>
      <c r="D131" s="10">
        <v>45693</v>
      </c>
      <c r="E131" s="4" t="inlineStr">
        <is>
          <t xml:space="preserve">445660</t>
        </is>
      </c>
      <c r="F131" s="0" t="inlineStr">
        <is>
          <t xml:space="preserve">TVA deductible sur ABS</t>
        </is>
      </c>
      <c r="G131" s="0" t="inlineStr">
        <is>
          <t xml:space="preserve">F005-202502</t>
        </is>
      </c>
      <c r="H131" s="0" t="inlineStr">
        <is>
          <t xml:space="preserve">Facture Energie Plus 2025-02</t>
        </is>
      </c>
      <c r="I131" s="8">
        <v>665.94</v>
      </c>
      <c r="J131" s="8">
        <v>0</v>
      </c>
      <c r="K131" s="0"/>
      <c r="L131" s="0"/>
      <c r="M131" s="8">
        <f>I131-J131</f>
      </c>
      <c r="N131" s="0" t="inlineStr">
        <is>
          <t xml:space="preserve">2025-02</t>
        </is>
      </c>
      <c r="O131" s="0">
        <f>INDEX(Journaux!$E$5:$E$18,MATCH("2025|"&amp;A131,Journaux!$A$5:$A$18,0))</f>
      </c>
      <c r="P131" s="0">
        <f>INDEX(Comptes!$K$5:$K$42,MATCH(E131,Comptes!$A$5:$A$42,0))</f>
      </c>
      <c r="Q131" s="0" t="inlineStr">
        <is>
          <t xml:space="preserve">4</t>
        </is>
      </c>
    </row>
    <row r="132">
      <c r="A132" s="4" t="inlineStr">
        <is>
          <t xml:space="preserve">AC</t>
        </is>
      </c>
      <c r="B132" s="0" t="inlineStr">
        <is>
          <t xml:space="preserve">Journal des achats</t>
        </is>
      </c>
      <c r="C132" s="0" t="inlineStr">
        <is>
          <t xml:space="preserve">AC00012</t>
        </is>
      </c>
      <c r="D132" s="10">
        <v>45693</v>
      </c>
      <c r="E132" s="4" t="inlineStr">
        <is>
          <t xml:space="preserve">401000</t>
        </is>
      </c>
      <c r="F132" s="0" t="inlineStr">
        <is>
          <t xml:space="preserve">Fournisseurs</t>
        </is>
      </c>
      <c r="G132" s="0" t="inlineStr">
        <is>
          <t xml:space="preserve">F005-202502</t>
        </is>
      </c>
      <c r="H132" s="0" t="inlineStr">
        <is>
          <t xml:space="preserve">Facture Energie Plus 2025-02</t>
        </is>
      </c>
      <c r="I132" s="8">
        <v>0</v>
      </c>
      <c r="J132" s="8">
        <v>3995.66</v>
      </c>
      <c r="K132" s="0" t="inlineStr">
        <is>
          <t xml:space="preserve">ABT</t>
        </is>
      </c>
      <c r="L132" s="0" t="inlineStr">
        <is>
          <t xml:space="preserve">Energie Plus</t>
        </is>
      </c>
      <c r="M132" s="8">
        <f>I132-J132</f>
      </c>
      <c r="N132" s="0" t="inlineStr">
        <is>
          <t xml:space="preserve">2025-02</t>
        </is>
      </c>
      <c r="O132" s="0">
        <f>INDEX(Journaux!$E$5:$E$18,MATCH("2025|"&amp;A132,Journaux!$A$5:$A$18,0))</f>
      </c>
      <c r="P132" s="0">
        <f>INDEX(Comptes!$K$5:$K$42,MATCH(E132,Comptes!$A$5:$A$42,0))</f>
      </c>
      <c r="Q132" s="0" t="inlineStr">
        <is>
          <t xml:space="preserve">4</t>
        </is>
      </c>
      <c r="R132" s="7" t="inlineStr">
        <is>
          <t xml:space="preserve">401000|F005</t>
        </is>
      </c>
    </row>
    <row r="133">
      <c r="A133" s="4" t="inlineStr">
        <is>
          <t xml:space="preserve">AC</t>
        </is>
      </c>
      <c r="B133" s="0" t="inlineStr">
        <is>
          <t xml:space="preserve">Journal des achats</t>
        </is>
      </c>
      <c r="C133" s="0" t="inlineStr">
        <is>
          <t xml:space="preserve">AC00013</t>
        </is>
      </c>
      <c r="D133" s="10">
        <v>45693</v>
      </c>
      <c r="E133" s="4" t="inlineStr">
        <is>
          <t xml:space="preserve">626000</t>
        </is>
      </c>
      <c r="F133" s="0" t="inlineStr">
        <is>
          <t xml:space="preserve">Frais postaux et telecommunications</t>
        </is>
      </c>
      <c r="G133" s="0" t="inlineStr">
        <is>
          <t xml:space="preserve">F008-202502</t>
        </is>
      </c>
      <c r="H133" s="0" t="inlineStr">
        <is>
          <t xml:space="preserve">Facture Telecom Pro 2025-02</t>
        </is>
      </c>
      <c r="I133" s="8">
        <v>480</v>
      </c>
      <c r="J133" s="8">
        <v>0</v>
      </c>
      <c r="K133" s="0"/>
      <c r="L133" s="0"/>
      <c r="M133" s="8">
        <f>I133-J133</f>
      </c>
      <c r="N133" s="0" t="inlineStr">
        <is>
          <t xml:space="preserve">2025-02</t>
        </is>
      </c>
      <c r="O133" s="0">
        <f>INDEX(Journaux!$E$5:$E$18,MATCH("2025|"&amp;A133,Journaux!$A$5:$A$18,0))</f>
      </c>
      <c r="P133" s="0">
        <f>INDEX(Comptes!$K$5:$K$42,MATCH(E133,Comptes!$A$5:$A$42,0))</f>
      </c>
      <c r="Q133" s="0" t="inlineStr">
        <is>
          <t xml:space="preserve">6</t>
        </is>
      </c>
    </row>
    <row r="134">
      <c r="A134" s="4" t="inlineStr">
        <is>
          <t xml:space="preserve">AC</t>
        </is>
      </c>
      <c r="B134" s="0" t="inlineStr">
        <is>
          <t xml:space="preserve">Journal des achats</t>
        </is>
      </c>
      <c r="C134" s="0" t="inlineStr">
        <is>
          <t xml:space="preserve">AC00013</t>
        </is>
      </c>
      <c r="D134" s="10">
        <v>45693</v>
      </c>
      <c r="E134" s="4" t="inlineStr">
        <is>
          <t xml:space="preserve">445660</t>
        </is>
      </c>
      <c r="F134" s="0" t="inlineStr">
        <is>
          <t xml:space="preserve">TVA deductible sur ABS</t>
        </is>
      </c>
      <c r="G134" s="0" t="inlineStr">
        <is>
          <t xml:space="preserve">F008-202502</t>
        </is>
      </c>
      <c r="H134" s="0" t="inlineStr">
        <is>
          <t xml:space="preserve">Facture Telecom Pro 2025-02</t>
        </is>
      </c>
      <c r="I134" s="8">
        <v>96</v>
      </c>
      <c r="J134" s="8">
        <v>0</v>
      </c>
      <c r="K134" s="0"/>
      <c r="L134" s="0"/>
      <c r="M134" s="8">
        <f>I134-J134</f>
      </c>
      <c r="N134" s="0" t="inlineStr">
        <is>
          <t xml:space="preserve">2025-02</t>
        </is>
      </c>
      <c r="O134" s="0">
        <f>INDEX(Journaux!$E$5:$E$18,MATCH("2025|"&amp;A134,Journaux!$A$5:$A$18,0))</f>
      </c>
      <c r="P134" s="0">
        <f>INDEX(Comptes!$K$5:$K$42,MATCH(E134,Comptes!$A$5:$A$42,0))</f>
      </c>
      <c r="Q134" s="0" t="inlineStr">
        <is>
          <t xml:space="preserve">4</t>
        </is>
      </c>
    </row>
    <row r="135">
      <c r="A135" s="4" t="inlineStr">
        <is>
          <t xml:space="preserve">AC</t>
        </is>
      </c>
      <c r="B135" s="0" t="inlineStr">
        <is>
          <t xml:space="preserve">Journal des achats</t>
        </is>
      </c>
      <c r="C135" s="0" t="inlineStr">
        <is>
          <t xml:space="preserve">AC00013</t>
        </is>
      </c>
      <c r="D135" s="10">
        <v>45693</v>
      </c>
      <c r="E135" s="4" t="inlineStr">
        <is>
          <t xml:space="preserve">401000</t>
        </is>
      </c>
      <c r="F135" s="0" t="inlineStr">
        <is>
          <t xml:space="preserve">Fournisseurs</t>
        </is>
      </c>
      <c r="G135" s="0" t="inlineStr">
        <is>
          <t xml:space="preserve">F008-202502</t>
        </is>
      </c>
      <c r="H135" s="0" t="inlineStr">
        <is>
          <t xml:space="preserve">Facture Telecom Pro 2025-02</t>
        </is>
      </c>
      <c r="I135" s="8">
        <v>0</v>
      </c>
      <c r="J135" s="8">
        <v>576</v>
      </c>
      <c r="K135" s="0" t="inlineStr">
        <is>
          <t xml:space="preserve">ABU</t>
        </is>
      </c>
      <c r="L135" s="0" t="inlineStr">
        <is>
          <t xml:space="preserve">Telecom Pro</t>
        </is>
      </c>
      <c r="M135" s="8">
        <f>I135-J135</f>
      </c>
      <c r="N135" s="0" t="inlineStr">
        <is>
          <t xml:space="preserve">2025-02</t>
        </is>
      </c>
      <c r="O135" s="0">
        <f>INDEX(Journaux!$E$5:$E$18,MATCH("2025|"&amp;A135,Journaux!$A$5:$A$18,0))</f>
      </c>
      <c r="P135" s="0">
        <f>INDEX(Comptes!$K$5:$K$42,MATCH(E135,Comptes!$A$5:$A$42,0))</f>
      </c>
      <c r="Q135" s="0" t="inlineStr">
        <is>
          <t xml:space="preserve">4</t>
        </is>
      </c>
      <c r="R135" s="7" t="inlineStr">
        <is>
          <t xml:space="preserve">401000|F008</t>
        </is>
      </c>
    </row>
    <row r="136">
      <c r="A136" s="4" t="inlineStr">
        <is>
          <t xml:space="preserve">AC</t>
        </is>
      </c>
      <c r="B136" s="0" t="inlineStr">
        <is>
          <t xml:space="preserve">Journal des achats</t>
        </is>
      </c>
      <c r="C136" s="0" t="inlineStr">
        <is>
          <t xml:space="preserve">AC00009</t>
        </is>
      </c>
      <c r="D136" s="10">
        <v>45694</v>
      </c>
      <c r="E136" s="4" t="inlineStr">
        <is>
          <t xml:space="preserve">601000</t>
        </is>
      </c>
      <c r="F136" s="0" t="inlineStr">
        <is>
          <t xml:space="preserve">Achats de matieres premieres</t>
        </is>
      </c>
      <c r="G136" s="0" t="inlineStr">
        <is>
          <t xml:space="preserve">F001-2025022</t>
        </is>
      </c>
      <c r="H136" s="0" t="inlineStr">
        <is>
          <t xml:space="preserve">Facture Scierie du Nord F001-2025022</t>
        </is>
      </c>
      <c r="I136" s="8">
        <v>18172.98</v>
      </c>
      <c r="J136" s="8">
        <v>0</v>
      </c>
      <c r="K136" s="0"/>
      <c r="L136" s="0"/>
      <c r="M136" s="8">
        <f>I136-J136</f>
      </c>
      <c r="N136" s="0" t="inlineStr">
        <is>
          <t xml:space="preserve">2025-02</t>
        </is>
      </c>
      <c r="O136" s="0">
        <f>INDEX(Journaux!$E$5:$E$18,MATCH("2025|"&amp;A136,Journaux!$A$5:$A$18,0))</f>
      </c>
      <c r="P136" s="0">
        <f>INDEX(Comptes!$K$5:$K$42,MATCH(E136,Comptes!$A$5:$A$42,0))</f>
      </c>
      <c r="Q136" s="0" t="inlineStr">
        <is>
          <t xml:space="preserve">6</t>
        </is>
      </c>
    </row>
    <row r="137">
      <c r="A137" s="4" t="inlineStr">
        <is>
          <t xml:space="preserve">AC</t>
        </is>
      </c>
      <c r="B137" s="0" t="inlineStr">
        <is>
          <t xml:space="preserve">Journal des achats</t>
        </is>
      </c>
      <c r="C137" s="0" t="inlineStr">
        <is>
          <t xml:space="preserve">AC00009</t>
        </is>
      </c>
      <c r="D137" s="10">
        <v>45694</v>
      </c>
      <c r="E137" s="4" t="inlineStr">
        <is>
          <t xml:space="preserve">445660</t>
        </is>
      </c>
      <c r="F137" s="0" t="inlineStr">
        <is>
          <t xml:space="preserve">TVA deductible sur ABS</t>
        </is>
      </c>
      <c r="G137" s="0" t="inlineStr">
        <is>
          <t xml:space="preserve">F001-2025022</t>
        </is>
      </c>
      <c r="H137" s="0" t="inlineStr">
        <is>
          <t xml:space="preserve">Facture Scierie du Nord F001-2025022</t>
        </is>
      </c>
      <c r="I137" s="8">
        <v>3634.6</v>
      </c>
      <c r="J137" s="8">
        <v>0</v>
      </c>
      <c r="K137" s="0"/>
      <c r="L137" s="0"/>
      <c r="M137" s="8">
        <f>I137-J137</f>
      </c>
      <c r="N137" s="0" t="inlineStr">
        <is>
          <t xml:space="preserve">2025-02</t>
        </is>
      </c>
      <c r="O137" s="0">
        <f>INDEX(Journaux!$E$5:$E$18,MATCH("2025|"&amp;A137,Journaux!$A$5:$A$18,0))</f>
      </c>
      <c r="P137" s="0">
        <f>INDEX(Comptes!$K$5:$K$42,MATCH(E137,Comptes!$A$5:$A$42,0))</f>
      </c>
      <c r="Q137" s="0" t="inlineStr">
        <is>
          <t xml:space="preserve">4</t>
        </is>
      </c>
    </row>
    <row r="138">
      <c r="A138" s="4" t="inlineStr">
        <is>
          <t xml:space="preserve">AC</t>
        </is>
      </c>
      <c r="B138" s="0" t="inlineStr">
        <is>
          <t xml:space="preserve">Journal des achats</t>
        </is>
      </c>
      <c r="C138" s="0" t="inlineStr">
        <is>
          <t xml:space="preserve">AC00009</t>
        </is>
      </c>
      <c r="D138" s="10">
        <v>45694</v>
      </c>
      <c r="E138" s="4" t="inlineStr">
        <is>
          <t xml:space="preserve">401000</t>
        </is>
      </c>
      <c r="F138" s="0" t="inlineStr">
        <is>
          <t xml:space="preserve">Fournisseurs</t>
        </is>
      </c>
      <c r="G138" s="0" t="inlineStr">
        <is>
          <t xml:space="preserve">F001-2025022</t>
        </is>
      </c>
      <c r="H138" s="0" t="inlineStr">
        <is>
          <t xml:space="preserve">Facture Scierie du Nord F001-2025022</t>
        </is>
      </c>
      <c r="I138" s="8">
        <v>0</v>
      </c>
      <c r="J138" s="8">
        <v>21807.58</v>
      </c>
      <c r="K138" s="0" t="inlineStr">
        <is>
          <t xml:space="preserve">ABQ</t>
        </is>
      </c>
      <c r="L138" s="0" t="inlineStr">
        <is>
          <t xml:space="preserve">Scierie du Nord</t>
        </is>
      </c>
      <c r="M138" s="8">
        <f>I138-J138</f>
      </c>
      <c r="N138" s="0" t="inlineStr">
        <is>
          <t xml:space="preserve">2025-02</t>
        </is>
      </c>
      <c r="O138" s="0">
        <f>INDEX(Journaux!$E$5:$E$18,MATCH("2025|"&amp;A138,Journaux!$A$5:$A$18,0))</f>
      </c>
      <c r="P138" s="0">
        <f>INDEX(Comptes!$K$5:$K$42,MATCH(E138,Comptes!$A$5:$A$42,0))</f>
      </c>
      <c r="Q138" s="0" t="inlineStr">
        <is>
          <t xml:space="preserve">4</t>
        </is>
      </c>
      <c r="R138" s="7" t="inlineStr">
        <is>
          <t xml:space="preserve">401000|F001</t>
        </is>
      </c>
    </row>
    <row r="139">
      <c r="A139" s="4" t="inlineStr">
        <is>
          <t xml:space="preserve">BQ</t>
        </is>
      </c>
      <c r="B139" s="0" t="inlineStr">
        <is>
          <t xml:space="preserve">Banque Fictive</t>
        </is>
      </c>
      <c r="C139" s="0" t="inlineStr">
        <is>
          <t xml:space="preserve">BQ00005</t>
        </is>
      </c>
      <c r="D139" s="10">
        <v>45698</v>
      </c>
      <c r="E139" s="4" t="inlineStr">
        <is>
          <t xml:space="preserve">164000</t>
        </is>
      </c>
      <c r="F139" s="0" t="inlineStr">
        <is>
          <t xml:space="preserve">Emprunts aupres des etablissements de credit</t>
        </is>
      </c>
      <c r="G139" s="0" t="inlineStr">
        <is>
          <t xml:space="preserve">ECH202502</t>
        </is>
      </c>
      <c r="H139" s="0" t="inlineStr">
        <is>
          <t xml:space="preserve">Echeance emprunt 02/2025</t>
        </is>
      </c>
      <c r="I139" s="8">
        <v>2000</v>
      </c>
      <c r="J139" s="8">
        <v>0</v>
      </c>
      <c r="K139" s="0"/>
      <c r="L139" s="0"/>
      <c r="M139" s="8">
        <f>I139-J139</f>
      </c>
      <c r="N139" s="0" t="inlineStr">
        <is>
          <t xml:space="preserve">2025-02</t>
        </is>
      </c>
      <c r="O139" s="0">
        <f>INDEX(Journaux!$E$5:$E$18,MATCH("2025|"&amp;A139,Journaux!$A$5:$A$18,0))</f>
      </c>
      <c r="P139" s="0">
        <f>INDEX(Comptes!$K$5:$K$42,MATCH(E139,Comptes!$A$5:$A$42,0))</f>
      </c>
      <c r="Q139" s="0" t="inlineStr">
        <is>
          <t xml:space="preserve">1</t>
        </is>
      </c>
    </row>
    <row r="140">
      <c r="A140" s="4" t="inlineStr">
        <is>
          <t xml:space="preserve">BQ</t>
        </is>
      </c>
      <c r="B140" s="0" t="inlineStr">
        <is>
          <t xml:space="preserve">Banque Fictive</t>
        </is>
      </c>
      <c r="C140" s="0" t="inlineStr">
        <is>
          <t xml:space="preserve">BQ00005</t>
        </is>
      </c>
      <c r="D140" s="10">
        <v>45698</v>
      </c>
      <c r="E140" s="4" t="inlineStr">
        <is>
          <t xml:space="preserve">661100</t>
        </is>
      </c>
      <c r="F140" s="0" t="inlineStr">
        <is>
          <t xml:space="preserve">Interets des emprunts</t>
        </is>
      </c>
      <c r="G140" s="0" t="inlineStr">
        <is>
          <t xml:space="preserve">ECH202502</t>
        </is>
      </c>
      <c r="H140" s="0" t="inlineStr">
        <is>
          <t xml:space="preserve">Echeance emprunt 02/2025</t>
        </is>
      </c>
      <c r="I140" s="8">
        <v>213.33</v>
      </c>
      <c r="J140" s="8">
        <v>0</v>
      </c>
      <c r="K140" s="0"/>
      <c r="L140" s="0"/>
      <c r="M140" s="8">
        <f>I140-J140</f>
      </c>
      <c r="N140" s="0" t="inlineStr">
        <is>
          <t xml:space="preserve">2025-02</t>
        </is>
      </c>
      <c r="O140" s="0">
        <f>INDEX(Journaux!$E$5:$E$18,MATCH("2025|"&amp;A140,Journaux!$A$5:$A$18,0))</f>
      </c>
      <c r="P140" s="0">
        <f>INDEX(Comptes!$K$5:$K$42,MATCH(E140,Comptes!$A$5:$A$42,0))</f>
      </c>
      <c r="Q140" s="0" t="inlineStr">
        <is>
          <t xml:space="preserve">6</t>
        </is>
      </c>
    </row>
    <row r="141">
      <c r="A141" s="4" t="inlineStr">
        <is>
          <t xml:space="preserve">BQ</t>
        </is>
      </c>
      <c r="B141" s="0" t="inlineStr">
        <is>
          <t xml:space="preserve">Banque Fictive</t>
        </is>
      </c>
      <c r="C141" s="0" t="inlineStr">
        <is>
          <t xml:space="preserve">BQ00005</t>
        </is>
      </c>
      <c r="D141" s="10">
        <v>45698</v>
      </c>
      <c r="E141" s="4" t="inlineStr">
        <is>
          <t xml:space="preserve">512000</t>
        </is>
      </c>
      <c r="F141" s="0" t="inlineStr">
        <is>
          <t xml:space="preserve">Banque Fictive</t>
        </is>
      </c>
      <c r="G141" s="0" t="inlineStr">
        <is>
          <t xml:space="preserve">ECH202502</t>
        </is>
      </c>
      <c r="H141" s="0" t="inlineStr">
        <is>
          <t xml:space="preserve">Echeance emprunt 02/2025</t>
        </is>
      </c>
      <c r="I141" s="8">
        <v>0</v>
      </c>
      <c r="J141" s="8">
        <v>2213.33</v>
      </c>
      <c r="K141" s="0"/>
      <c r="L141" s="0"/>
      <c r="M141" s="8">
        <f>I141-J141</f>
      </c>
      <c r="N141" s="0" t="inlineStr">
        <is>
          <t xml:space="preserve">2025-02</t>
        </is>
      </c>
      <c r="O141" s="0">
        <f>INDEX(Journaux!$E$5:$E$18,MATCH("2025|"&amp;A141,Journaux!$A$5:$A$18,0))</f>
      </c>
      <c r="P141" s="0">
        <f>INDEX(Comptes!$K$5:$K$42,MATCH(E141,Comptes!$A$5:$A$42,0))</f>
      </c>
      <c r="Q141" s="0" t="inlineStr">
        <is>
          <t xml:space="preserve">5</t>
        </is>
      </c>
    </row>
    <row r="142">
      <c r="A142" s="4" t="inlineStr">
        <is>
          <t xml:space="preserve">VT</t>
        </is>
      </c>
      <c r="B142" s="0" t="inlineStr">
        <is>
          <t xml:space="preserve">Journal des ventes</t>
        </is>
      </c>
      <c r="C142" s="0" t="inlineStr">
        <is>
          <t xml:space="preserve">VT00006</t>
        </is>
      </c>
      <c r="D142" s="10">
        <v>45698</v>
      </c>
      <c r="E142" s="4" t="inlineStr">
        <is>
          <t xml:space="preserve">411000</t>
        </is>
      </c>
      <c r="F142" s="0" t="inlineStr">
        <is>
          <t xml:space="preserve">Clients</t>
        </is>
      </c>
      <c r="G142" s="0" t="inlineStr">
        <is>
          <t xml:space="preserve">FA2025-0006</t>
        </is>
      </c>
      <c r="H142" s="0" t="inlineStr">
        <is>
          <t xml:space="preserve">Facture FA2025-0006 Coworking Atelier 9</t>
        </is>
      </c>
      <c r="I142" s="8">
        <v>33188.89</v>
      </c>
      <c r="J142" s="8">
        <v>0</v>
      </c>
      <c r="K142" s="0" t="inlineStr">
        <is>
          <t xml:space="preserve">AAN</t>
        </is>
      </c>
      <c r="L142" s="0" t="inlineStr">
        <is>
          <t xml:space="preserve">Coworking Atelier 9</t>
        </is>
      </c>
      <c r="M142" s="8">
        <f>I142-J142</f>
      </c>
      <c r="N142" s="0" t="inlineStr">
        <is>
          <t xml:space="preserve">2025-02</t>
        </is>
      </c>
      <c r="O142" s="0">
        <f>INDEX(Journaux!$E$5:$E$18,MATCH("2025|"&amp;A142,Journaux!$A$5:$A$18,0))</f>
      </c>
      <c r="P142" s="0">
        <f>INDEX(Comptes!$K$5:$K$42,MATCH(E142,Comptes!$A$5:$A$42,0))</f>
      </c>
      <c r="Q142" s="0" t="inlineStr">
        <is>
          <t xml:space="preserve">4</t>
        </is>
      </c>
      <c r="R142" s="7" t="inlineStr">
        <is>
          <t xml:space="preserve">411000|C008</t>
        </is>
      </c>
    </row>
    <row r="143">
      <c r="A143" s="4" t="inlineStr">
        <is>
          <t xml:space="preserve">VT</t>
        </is>
      </c>
      <c r="B143" s="0" t="inlineStr">
        <is>
          <t xml:space="preserve">Journal des ventes</t>
        </is>
      </c>
      <c r="C143" s="0" t="inlineStr">
        <is>
          <t xml:space="preserve">VT00006</t>
        </is>
      </c>
      <c r="D143" s="10">
        <v>45698</v>
      </c>
      <c r="E143" s="4" t="inlineStr">
        <is>
          <t xml:space="preserve">701000</t>
        </is>
      </c>
      <c r="F143" s="0" t="inlineStr">
        <is>
          <t xml:space="preserve">Ventes de produits finis</t>
        </is>
      </c>
      <c r="G143" s="0" t="inlineStr">
        <is>
          <t xml:space="preserve">FA2025-0006</t>
        </is>
      </c>
      <c r="H143" s="0" t="inlineStr">
        <is>
          <t xml:space="preserve">Facture FA2025-0006 Coworking Atelier 9</t>
        </is>
      </c>
      <c r="I143" s="8">
        <v>0</v>
      </c>
      <c r="J143" s="8">
        <v>27657.41</v>
      </c>
      <c r="K143" s="0"/>
      <c r="L143" s="0"/>
      <c r="M143" s="8">
        <f>I143-J143</f>
      </c>
      <c r="N143" s="0" t="inlineStr">
        <is>
          <t xml:space="preserve">2025-02</t>
        </is>
      </c>
      <c r="O143" s="0">
        <f>INDEX(Journaux!$E$5:$E$18,MATCH("2025|"&amp;A143,Journaux!$A$5:$A$18,0))</f>
      </c>
      <c r="P143" s="0">
        <f>INDEX(Comptes!$K$5:$K$42,MATCH(E143,Comptes!$A$5:$A$42,0))</f>
      </c>
      <c r="Q143" s="0" t="inlineStr">
        <is>
          <t xml:space="preserve">7</t>
        </is>
      </c>
    </row>
    <row r="144">
      <c r="A144" s="4" t="inlineStr">
        <is>
          <t xml:space="preserve">VT</t>
        </is>
      </c>
      <c r="B144" s="0" t="inlineStr">
        <is>
          <t xml:space="preserve">Journal des ventes</t>
        </is>
      </c>
      <c r="C144" s="0" t="inlineStr">
        <is>
          <t xml:space="preserve">VT00006</t>
        </is>
      </c>
      <c r="D144" s="10">
        <v>45698</v>
      </c>
      <c r="E144" s="4" t="inlineStr">
        <is>
          <t xml:space="preserve">445710</t>
        </is>
      </c>
      <c r="F144" s="0" t="inlineStr">
        <is>
          <t xml:space="preserve">TVA collectee</t>
        </is>
      </c>
      <c r="G144" s="0" t="inlineStr">
        <is>
          <t xml:space="preserve">FA2025-0006</t>
        </is>
      </c>
      <c r="H144" s="0" t="inlineStr">
        <is>
          <t xml:space="preserve">Facture FA2025-0006 Coworking Atelier 9</t>
        </is>
      </c>
      <c r="I144" s="8">
        <v>0</v>
      </c>
      <c r="J144" s="8">
        <v>5531.48</v>
      </c>
      <c r="K144" s="0"/>
      <c r="L144" s="0"/>
      <c r="M144" s="8">
        <f>I144-J144</f>
      </c>
      <c r="N144" s="0" t="inlineStr">
        <is>
          <t xml:space="preserve">2025-02</t>
        </is>
      </c>
      <c r="O144" s="0">
        <f>INDEX(Journaux!$E$5:$E$18,MATCH("2025|"&amp;A144,Journaux!$A$5:$A$18,0))</f>
      </c>
      <c r="P144" s="0">
        <f>INDEX(Comptes!$K$5:$K$42,MATCH(E144,Comptes!$A$5:$A$42,0))</f>
      </c>
      <c r="Q144" s="0" t="inlineStr">
        <is>
          <t xml:space="preserve">4</t>
        </is>
      </c>
    </row>
    <row r="145">
      <c r="A145" s="4" t="inlineStr">
        <is>
          <t xml:space="preserve">VT</t>
        </is>
      </c>
      <c r="B145" s="0" t="inlineStr">
        <is>
          <t xml:space="preserve">Journal des ventes</t>
        </is>
      </c>
      <c r="C145" s="0" t="inlineStr">
        <is>
          <t xml:space="preserve">VT00007</t>
        </is>
      </c>
      <c r="D145" s="10">
        <v>45698</v>
      </c>
      <c r="E145" s="4" t="inlineStr">
        <is>
          <t xml:space="preserve">411000</t>
        </is>
      </c>
      <c r="F145" s="0" t="inlineStr">
        <is>
          <t xml:space="preserve">Clients</t>
        </is>
      </c>
      <c r="G145" s="0" t="inlineStr">
        <is>
          <t xml:space="preserve">FA2025-0007</t>
        </is>
      </c>
      <c r="H145" s="0" t="inlineStr">
        <is>
          <t xml:space="preserve">Facture FA2025-0007 Cabinet Varenne Associes</t>
        </is>
      </c>
      <c r="I145" s="8">
        <v>29641.25</v>
      </c>
      <c r="J145" s="8">
        <v>0</v>
      </c>
      <c r="K145" s="0" t="inlineStr">
        <is>
          <t xml:space="preserve">AAO</t>
        </is>
      </c>
      <c r="L145" s="0" t="inlineStr">
        <is>
          <t xml:space="preserve">Cabinet Varenne Associes</t>
        </is>
      </c>
      <c r="M145" s="8">
        <f>I145-J145</f>
      </c>
      <c r="N145" s="0" t="inlineStr">
        <is>
          <t xml:space="preserve">2025-02</t>
        </is>
      </c>
      <c r="O145" s="0">
        <f>INDEX(Journaux!$E$5:$E$18,MATCH("2025|"&amp;A145,Journaux!$A$5:$A$18,0))</f>
      </c>
      <c r="P145" s="0">
        <f>INDEX(Comptes!$K$5:$K$42,MATCH(E145,Comptes!$A$5:$A$42,0))</f>
      </c>
      <c r="Q145" s="0" t="inlineStr">
        <is>
          <t xml:space="preserve">4</t>
        </is>
      </c>
      <c r="R145" s="7" t="inlineStr">
        <is>
          <t xml:space="preserve">411000|C004</t>
        </is>
      </c>
    </row>
    <row r="146">
      <c r="A146" s="4" t="inlineStr">
        <is>
          <t xml:space="preserve">VT</t>
        </is>
      </c>
      <c r="B146" s="0" t="inlineStr">
        <is>
          <t xml:space="preserve">Journal des ventes</t>
        </is>
      </c>
      <c r="C146" s="0" t="inlineStr">
        <is>
          <t xml:space="preserve">VT00007</t>
        </is>
      </c>
      <c r="D146" s="10">
        <v>45698</v>
      </c>
      <c r="E146" s="4" t="inlineStr">
        <is>
          <t xml:space="preserve">701000</t>
        </is>
      </c>
      <c r="F146" s="0" t="inlineStr">
        <is>
          <t xml:space="preserve">Ventes de produits finis</t>
        </is>
      </c>
      <c r="G146" s="0" t="inlineStr">
        <is>
          <t xml:space="preserve">FA2025-0007</t>
        </is>
      </c>
      <c r="H146" s="0" t="inlineStr">
        <is>
          <t xml:space="preserve">Facture FA2025-0007 Cabinet Varenne Associes</t>
        </is>
      </c>
      <c r="I146" s="8">
        <v>0</v>
      </c>
      <c r="J146" s="8">
        <v>24701.04</v>
      </c>
      <c r="K146" s="0"/>
      <c r="L146" s="0"/>
      <c r="M146" s="8">
        <f>I146-J146</f>
      </c>
      <c r="N146" s="0" t="inlineStr">
        <is>
          <t xml:space="preserve">2025-02</t>
        </is>
      </c>
      <c r="O146" s="0">
        <f>INDEX(Journaux!$E$5:$E$18,MATCH("2025|"&amp;A146,Journaux!$A$5:$A$18,0))</f>
      </c>
      <c r="P146" s="0">
        <f>INDEX(Comptes!$K$5:$K$42,MATCH(E146,Comptes!$A$5:$A$42,0))</f>
      </c>
      <c r="Q146" s="0" t="inlineStr">
        <is>
          <t xml:space="preserve">7</t>
        </is>
      </c>
    </row>
    <row r="147">
      <c r="A147" s="4" t="inlineStr">
        <is>
          <t xml:space="preserve">VT</t>
        </is>
      </c>
      <c r="B147" s="0" t="inlineStr">
        <is>
          <t xml:space="preserve">Journal des ventes</t>
        </is>
      </c>
      <c r="C147" s="0" t="inlineStr">
        <is>
          <t xml:space="preserve">VT00007</t>
        </is>
      </c>
      <c r="D147" s="10">
        <v>45698</v>
      </c>
      <c r="E147" s="4" t="inlineStr">
        <is>
          <t xml:space="preserve">445710</t>
        </is>
      </c>
      <c r="F147" s="0" t="inlineStr">
        <is>
          <t xml:space="preserve">TVA collectee</t>
        </is>
      </c>
      <c r="G147" s="0" t="inlineStr">
        <is>
          <t xml:space="preserve">FA2025-0007</t>
        </is>
      </c>
      <c r="H147" s="0" t="inlineStr">
        <is>
          <t xml:space="preserve">Facture FA2025-0007 Cabinet Varenne Associes</t>
        </is>
      </c>
      <c r="I147" s="8">
        <v>0</v>
      </c>
      <c r="J147" s="8">
        <v>4940.21</v>
      </c>
      <c r="K147" s="0"/>
      <c r="L147" s="0"/>
      <c r="M147" s="8">
        <f>I147-J147</f>
      </c>
      <c r="N147" s="0" t="inlineStr">
        <is>
          <t xml:space="preserve">2025-02</t>
        </is>
      </c>
      <c r="O147" s="0">
        <f>INDEX(Journaux!$E$5:$E$18,MATCH("2025|"&amp;A147,Journaux!$A$5:$A$18,0))</f>
      </c>
      <c r="P147" s="0">
        <f>INDEX(Comptes!$K$5:$K$42,MATCH(E147,Comptes!$A$5:$A$42,0))</f>
      </c>
      <c r="Q147" s="0" t="inlineStr">
        <is>
          <t xml:space="preserve">4</t>
        </is>
      </c>
    </row>
    <row r="148">
      <c r="A148" s="4" t="inlineStr">
        <is>
          <t xml:space="preserve">VT</t>
        </is>
      </c>
      <c r="B148" s="0" t="inlineStr">
        <is>
          <t xml:space="preserve">Journal des ventes</t>
        </is>
      </c>
      <c r="C148" s="0" t="inlineStr">
        <is>
          <t xml:space="preserve">VT00060</t>
        </is>
      </c>
      <c r="D148" s="10">
        <v>45702</v>
      </c>
      <c r="E148" s="4" t="inlineStr">
        <is>
          <t xml:space="preserve">411000</t>
        </is>
      </c>
      <c r="F148" s="0" t="inlineStr">
        <is>
          <t xml:space="preserve">Clients</t>
        </is>
      </c>
      <c r="G148" s="0" t="inlineStr">
        <is>
          <t xml:space="preserve">FA2025-0900</t>
        </is>
      </c>
      <c r="H148" s="0" t="inlineStr">
        <is>
          <t xml:space="preserve">Facture FA2025-0900 Clinique du Parc amenagement accueil</t>
        </is>
      </c>
      <c r="I148" s="8">
        <v>48000</v>
      </c>
      <c r="J148" s="8">
        <v>0</v>
      </c>
      <c r="K148" s="0"/>
      <c r="L148" s="0" t="inlineStr">
        <is>
          <t xml:space="preserve">Clinique du Parc</t>
        </is>
      </c>
      <c r="M148" s="8">
        <f>I148-J148</f>
      </c>
      <c r="N148" s="0" t="inlineStr">
        <is>
          <t xml:space="preserve">2025-02</t>
        </is>
      </c>
      <c r="O148" s="0">
        <f>INDEX(Journaux!$E$5:$E$18,MATCH("2025|"&amp;A148,Journaux!$A$5:$A$18,0))</f>
      </c>
      <c r="P148" s="0">
        <f>INDEX(Comptes!$K$5:$K$42,MATCH(E148,Comptes!$A$5:$A$42,0))</f>
      </c>
      <c r="Q148" s="0" t="inlineStr">
        <is>
          <t xml:space="preserve">4</t>
        </is>
      </c>
      <c r="R148" s="7" t="inlineStr">
        <is>
          <t xml:space="preserve">411000|C006</t>
        </is>
      </c>
    </row>
    <row r="149">
      <c r="A149" s="4" t="inlineStr">
        <is>
          <t xml:space="preserve">VT</t>
        </is>
      </c>
      <c r="B149" s="0" t="inlineStr">
        <is>
          <t xml:space="preserve">Journal des ventes</t>
        </is>
      </c>
      <c r="C149" s="0" t="inlineStr">
        <is>
          <t xml:space="preserve">VT00060</t>
        </is>
      </c>
      <c r="D149" s="10">
        <v>45702</v>
      </c>
      <c r="E149" s="4" t="inlineStr">
        <is>
          <t xml:space="preserve">701000</t>
        </is>
      </c>
      <c r="F149" s="0" t="inlineStr">
        <is>
          <t xml:space="preserve">Ventes de produits finis</t>
        </is>
      </c>
      <c r="G149" s="0" t="inlineStr">
        <is>
          <t xml:space="preserve">FA2025-0900</t>
        </is>
      </c>
      <c r="H149" s="0" t="inlineStr">
        <is>
          <t xml:space="preserve">Facture FA2025-0900 Clinique du Parc amenagement accueil</t>
        </is>
      </c>
      <c r="I149" s="8">
        <v>0</v>
      </c>
      <c r="J149" s="8">
        <v>40000</v>
      </c>
      <c r="K149" s="0"/>
      <c r="L149" s="0"/>
      <c r="M149" s="8">
        <f>I149-J149</f>
      </c>
      <c r="N149" s="0" t="inlineStr">
        <is>
          <t xml:space="preserve">2025-02</t>
        </is>
      </c>
      <c r="O149" s="0">
        <f>INDEX(Journaux!$E$5:$E$18,MATCH("2025|"&amp;A149,Journaux!$A$5:$A$18,0))</f>
      </c>
      <c r="P149" s="0">
        <f>INDEX(Comptes!$K$5:$K$42,MATCH(E149,Comptes!$A$5:$A$42,0))</f>
      </c>
      <c r="Q149" s="0" t="inlineStr">
        <is>
          <t xml:space="preserve">7</t>
        </is>
      </c>
    </row>
    <row r="150">
      <c r="A150" s="4" t="inlineStr">
        <is>
          <t xml:space="preserve">VT</t>
        </is>
      </c>
      <c r="B150" s="0" t="inlineStr">
        <is>
          <t xml:space="preserve">Journal des ventes</t>
        </is>
      </c>
      <c r="C150" s="0" t="inlineStr">
        <is>
          <t xml:space="preserve">VT00060</t>
        </is>
      </c>
      <c r="D150" s="10">
        <v>45702</v>
      </c>
      <c r="E150" s="4" t="inlineStr">
        <is>
          <t xml:space="preserve">445710</t>
        </is>
      </c>
      <c r="F150" s="0" t="inlineStr">
        <is>
          <t xml:space="preserve">TVA collectee</t>
        </is>
      </c>
      <c r="G150" s="0" t="inlineStr">
        <is>
          <t xml:space="preserve">FA2025-0900</t>
        </is>
      </c>
      <c r="H150" s="0" t="inlineStr">
        <is>
          <t xml:space="preserve">Facture FA2025-0900 Clinique du Parc amenagement accueil</t>
        </is>
      </c>
      <c r="I150" s="8">
        <v>0</v>
      </c>
      <c r="J150" s="8">
        <v>8000</v>
      </c>
      <c r="K150" s="0"/>
      <c r="L150" s="0"/>
      <c r="M150" s="8">
        <f>I150-J150</f>
      </c>
      <c r="N150" s="0" t="inlineStr">
        <is>
          <t xml:space="preserve">2025-02</t>
        </is>
      </c>
      <c r="O150" s="0">
        <f>INDEX(Journaux!$E$5:$E$18,MATCH("2025|"&amp;A150,Journaux!$A$5:$A$18,0))</f>
      </c>
      <c r="P150" s="0">
        <f>INDEX(Comptes!$K$5:$K$42,MATCH(E150,Comptes!$A$5:$A$42,0))</f>
      </c>
      <c r="Q150" s="0" t="inlineStr">
        <is>
          <t xml:space="preserve">4</t>
        </is>
      </c>
    </row>
    <row r="151">
      <c r="A151" s="4" t="inlineStr">
        <is>
          <t xml:space="preserve">BQ</t>
        </is>
      </c>
      <c r="B151" s="0" t="inlineStr">
        <is>
          <t xml:space="preserve">Banque Fictive</t>
        </is>
      </c>
      <c r="C151" s="0" t="inlineStr">
        <is>
          <t xml:space="preserve">BQ00040</t>
        </is>
      </c>
      <c r="D151" s="10">
        <v>45703</v>
      </c>
      <c r="E151" s="4" t="inlineStr">
        <is>
          <t xml:space="preserve">431000</t>
        </is>
      </c>
      <c r="F151" s="0" t="inlineStr">
        <is>
          <t xml:space="preserve">Securite sociale</t>
        </is>
      </c>
      <c r="G151" s="0" t="inlineStr">
        <is>
          <t xml:space="preserve">URSSAF202501</t>
        </is>
      </c>
      <c r="H151" s="0" t="inlineStr">
        <is>
          <t xml:space="preserve">Reglement URSSAF 01/2025</t>
        </is>
      </c>
      <c r="I151" s="8">
        <v>31463.92</v>
      </c>
      <c r="J151" s="8">
        <v>0</v>
      </c>
      <c r="K151" s="0"/>
      <c r="L151" s="0"/>
      <c r="M151" s="8">
        <f>I151-J151</f>
      </c>
      <c r="N151" s="0" t="inlineStr">
        <is>
          <t xml:space="preserve">2025-02</t>
        </is>
      </c>
      <c r="O151" s="0">
        <f>INDEX(Journaux!$E$5:$E$18,MATCH("2025|"&amp;A151,Journaux!$A$5:$A$18,0))</f>
      </c>
      <c r="P151" s="0">
        <f>INDEX(Comptes!$K$5:$K$42,MATCH(E151,Comptes!$A$5:$A$42,0))</f>
      </c>
      <c r="Q151" s="0" t="inlineStr">
        <is>
          <t xml:space="preserve">4</t>
        </is>
      </c>
    </row>
    <row r="152">
      <c r="A152" s="4" t="inlineStr">
        <is>
          <t xml:space="preserve">BQ</t>
        </is>
      </c>
      <c r="B152" s="0" t="inlineStr">
        <is>
          <t xml:space="preserve">Banque Fictive</t>
        </is>
      </c>
      <c r="C152" s="0" t="inlineStr">
        <is>
          <t xml:space="preserve">BQ00040</t>
        </is>
      </c>
      <c r="D152" s="10">
        <v>45703</v>
      </c>
      <c r="E152" s="4" t="inlineStr">
        <is>
          <t xml:space="preserve">512000</t>
        </is>
      </c>
      <c r="F152" s="0" t="inlineStr">
        <is>
          <t xml:space="preserve">Banque Fictive</t>
        </is>
      </c>
      <c r="G152" s="0" t="inlineStr">
        <is>
          <t xml:space="preserve">URSSAF202501</t>
        </is>
      </c>
      <c r="H152" s="0" t="inlineStr">
        <is>
          <t xml:space="preserve">Reglement URSSAF 01/2025</t>
        </is>
      </c>
      <c r="I152" s="8">
        <v>0</v>
      </c>
      <c r="J152" s="8">
        <v>31463.92</v>
      </c>
      <c r="K152" s="0"/>
      <c r="L152" s="0"/>
      <c r="M152" s="8">
        <f>I152-J152</f>
      </c>
      <c r="N152" s="0" t="inlineStr">
        <is>
          <t xml:space="preserve">2025-02</t>
        </is>
      </c>
      <c r="O152" s="0">
        <f>INDEX(Journaux!$E$5:$E$18,MATCH("2025|"&amp;A152,Journaux!$A$5:$A$18,0))</f>
      </c>
      <c r="P152" s="0">
        <f>INDEX(Comptes!$K$5:$K$42,MATCH(E152,Comptes!$A$5:$A$42,0))</f>
      </c>
      <c r="Q152" s="0" t="inlineStr">
        <is>
          <t xml:space="preserve">5</t>
        </is>
      </c>
    </row>
    <row r="153">
      <c r="A153" s="4" t="inlineStr">
        <is>
          <t xml:space="preserve">BQ</t>
        </is>
      </c>
      <c r="B153" s="0" t="inlineStr">
        <is>
          <t xml:space="preserve">Banque Fictive</t>
        </is>
      </c>
      <c r="C153" s="0" t="inlineStr">
        <is>
          <t xml:space="preserve">BQ00041</t>
        </is>
      </c>
      <c r="D153" s="10">
        <v>45708</v>
      </c>
      <c r="E153" s="4" t="inlineStr">
        <is>
          <t xml:space="preserve">445510</t>
        </is>
      </c>
      <c r="F153" s="0" t="inlineStr">
        <is>
          <t xml:space="preserve">TVA a decaisser</t>
        </is>
      </c>
      <c r="G153" s="0" t="inlineStr">
        <is>
          <t xml:space="preserve">TVA202501</t>
        </is>
      </c>
      <c r="H153" s="0" t="inlineStr">
        <is>
          <t xml:space="preserve">Reglement TVA 01/2025</t>
        </is>
      </c>
      <c r="I153" s="8">
        <v>9400.88</v>
      </c>
      <c r="J153" s="8">
        <v>0</v>
      </c>
      <c r="K153" s="0"/>
      <c r="L153" s="0"/>
      <c r="M153" s="8">
        <f>I153-J153</f>
      </c>
      <c r="N153" s="0" t="inlineStr">
        <is>
          <t xml:space="preserve">2025-02</t>
        </is>
      </c>
      <c r="O153" s="0">
        <f>INDEX(Journaux!$E$5:$E$18,MATCH("2025|"&amp;A153,Journaux!$A$5:$A$18,0))</f>
      </c>
      <c r="P153" s="0">
        <f>INDEX(Comptes!$K$5:$K$42,MATCH(E153,Comptes!$A$5:$A$42,0))</f>
      </c>
      <c r="Q153" s="0" t="inlineStr">
        <is>
          <t xml:space="preserve">4</t>
        </is>
      </c>
    </row>
    <row r="154">
      <c r="A154" s="4" t="inlineStr">
        <is>
          <t xml:space="preserve">BQ</t>
        </is>
      </c>
      <c r="B154" s="0" t="inlineStr">
        <is>
          <t xml:space="preserve">Banque Fictive</t>
        </is>
      </c>
      <c r="C154" s="0" t="inlineStr">
        <is>
          <t xml:space="preserve">BQ00041</t>
        </is>
      </c>
      <c r="D154" s="10">
        <v>45708</v>
      </c>
      <c r="E154" s="4" t="inlineStr">
        <is>
          <t xml:space="preserve">512000</t>
        </is>
      </c>
      <c r="F154" s="0" t="inlineStr">
        <is>
          <t xml:space="preserve">Banque Fictive</t>
        </is>
      </c>
      <c r="G154" s="0" t="inlineStr">
        <is>
          <t xml:space="preserve">TVA202501</t>
        </is>
      </c>
      <c r="H154" s="0" t="inlineStr">
        <is>
          <t xml:space="preserve">Reglement TVA 01/2025</t>
        </is>
      </c>
      <c r="I154" s="8">
        <v>0</v>
      </c>
      <c r="J154" s="8">
        <v>9400.88</v>
      </c>
      <c r="K154" s="0"/>
      <c r="L154" s="0"/>
      <c r="M154" s="8">
        <f>I154-J154</f>
      </c>
      <c r="N154" s="0" t="inlineStr">
        <is>
          <t xml:space="preserve">2025-02</t>
        </is>
      </c>
      <c r="O154" s="0">
        <f>INDEX(Journaux!$E$5:$E$18,MATCH("2025|"&amp;A154,Journaux!$A$5:$A$18,0))</f>
      </c>
      <c r="P154" s="0">
        <f>INDEX(Comptes!$K$5:$K$42,MATCH(E154,Comptes!$A$5:$A$42,0))</f>
      </c>
      <c r="Q154" s="0" t="inlineStr">
        <is>
          <t xml:space="preserve">5</t>
        </is>
      </c>
    </row>
    <row r="155">
      <c r="A155" s="4" t="inlineStr">
        <is>
          <t xml:space="preserve">BQ</t>
        </is>
      </c>
      <c r="B155" s="0" t="inlineStr">
        <is>
          <t xml:space="preserve">Banque Fictive</t>
        </is>
      </c>
      <c r="C155" s="0" t="inlineStr">
        <is>
          <t xml:space="preserve">BQ00114</t>
        </is>
      </c>
      <c r="D155" s="10">
        <v>45712</v>
      </c>
      <c r="E155" s="4" t="inlineStr">
        <is>
          <t xml:space="preserve">401000</t>
        </is>
      </c>
      <c r="F155" s="0" t="inlineStr">
        <is>
          <t xml:space="preserve">Fournisseurs</t>
        </is>
      </c>
      <c r="G155" s="0" t="inlineStr">
        <is>
          <t xml:space="preserve">DEC-AN2025</t>
        </is>
      </c>
      <c r="H155" s="0" t="inlineStr">
        <is>
          <t xml:space="preserve">Reglement fournisseur Vernis et Finitions AN2025</t>
        </is>
      </c>
      <c r="I155" s="8">
        <v>34477.39</v>
      </c>
      <c r="J155" s="8">
        <v>0</v>
      </c>
      <c r="K155" s="0" t="inlineStr">
        <is>
          <t xml:space="preserve">ABC</t>
        </is>
      </c>
      <c r="L155" s="0" t="inlineStr">
        <is>
          <t xml:space="preserve">Vernis et Finitions</t>
        </is>
      </c>
      <c r="M155" s="8">
        <f>I155-J155</f>
      </c>
      <c r="N155" s="0" t="inlineStr">
        <is>
          <t xml:space="preserve">2025-02</t>
        </is>
      </c>
      <c r="O155" s="0">
        <f>INDEX(Journaux!$E$5:$E$18,MATCH("2025|"&amp;A155,Journaux!$A$5:$A$18,0))</f>
      </c>
      <c r="P155" s="0">
        <f>INDEX(Comptes!$K$5:$K$42,MATCH(E155,Comptes!$A$5:$A$42,0))</f>
      </c>
      <c r="Q155" s="0" t="inlineStr">
        <is>
          <t xml:space="preserve">4</t>
        </is>
      </c>
      <c r="R155" s="7" t="inlineStr">
        <is>
          <t xml:space="preserve">401000|F003</t>
        </is>
      </c>
    </row>
    <row r="156">
      <c r="A156" s="4" t="inlineStr">
        <is>
          <t xml:space="preserve">BQ</t>
        </is>
      </c>
      <c r="B156" s="0" t="inlineStr">
        <is>
          <t xml:space="preserve">Banque Fictive</t>
        </is>
      </c>
      <c r="C156" s="0" t="inlineStr">
        <is>
          <t xml:space="preserve">BQ00114</t>
        </is>
      </c>
      <c r="D156" s="10">
        <v>45712</v>
      </c>
      <c r="E156" s="4" t="inlineStr">
        <is>
          <t xml:space="preserve">512000</t>
        </is>
      </c>
      <c r="F156" s="0" t="inlineStr">
        <is>
          <t xml:space="preserve">Banque Fictive</t>
        </is>
      </c>
      <c r="G156" s="0" t="inlineStr">
        <is>
          <t xml:space="preserve">DEC-AN2025</t>
        </is>
      </c>
      <c r="H156" s="0" t="inlineStr">
        <is>
          <t xml:space="preserve">Reglement fournisseur Vernis et Finitions AN2025</t>
        </is>
      </c>
      <c r="I156" s="8">
        <v>0</v>
      </c>
      <c r="J156" s="8">
        <v>34477.39</v>
      </c>
      <c r="K156" s="0"/>
      <c r="L156" s="0"/>
      <c r="M156" s="8">
        <f>I156-J156</f>
      </c>
      <c r="N156" s="0" t="inlineStr">
        <is>
          <t xml:space="preserve">2025-02</t>
        </is>
      </c>
      <c r="O156" s="0">
        <f>INDEX(Journaux!$E$5:$E$18,MATCH("2025|"&amp;A156,Journaux!$A$5:$A$18,0))</f>
      </c>
      <c r="P156" s="0">
        <f>INDEX(Comptes!$K$5:$K$42,MATCH(E156,Comptes!$A$5:$A$42,0))</f>
      </c>
      <c r="Q156" s="0" t="inlineStr">
        <is>
          <t xml:space="preserve">5</t>
        </is>
      </c>
    </row>
    <row r="157">
      <c r="A157" s="4" t="inlineStr">
        <is>
          <t xml:space="preserve">VT</t>
        </is>
      </c>
      <c r="B157" s="0" t="inlineStr">
        <is>
          <t xml:space="preserve">Journal des ventes</t>
        </is>
      </c>
      <c r="C157" s="0" t="inlineStr">
        <is>
          <t xml:space="preserve">VT00009</t>
        </is>
      </c>
      <c r="D157" s="10">
        <v>45714</v>
      </c>
      <c r="E157" s="4" t="inlineStr">
        <is>
          <t xml:space="preserve">411000</t>
        </is>
      </c>
      <c r="F157" s="0" t="inlineStr">
        <is>
          <t xml:space="preserve">Clients</t>
        </is>
      </c>
      <c r="G157" s="0" t="inlineStr">
        <is>
          <t xml:space="preserve">FA2025-0009</t>
        </is>
      </c>
      <c r="H157" s="0" t="inlineStr">
        <is>
          <t xml:space="preserve">Facture FA2025-0009 Restaurant Le Comptoir</t>
        </is>
      </c>
      <c r="I157" s="8">
        <v>43129.25</v>
      </c>
      <c r="J157" s="8">
        <v>0</v>
      </c>
      <c r="K157" s="0" t="inlineStr">
        <is>
          <t xml:space="preserve">AAQ</t>
        </is>
      </c>
      <c r="L157" s="0" t="inlineStr">
        <is>
          <t xml:space="preserve">Restaurant Le Comptoir</t>
        </is>
      </c>
      <c r="M157" s="8">
        <f>I157-J157</f>
      </c>
      <c r="N157" s="0" t="inlineStr">
        <is>
          <t xml:space="preserve">2025-02</t>
        </is>
      </c>
      <c r="O157" s="0">
        <f>INDEX(Journaux!$E$5:$E$18,MATCH("2025|"&amp;A157,Journaux!$A$5:$A$18,0))</f>
      </c>
      <c r="P157" s="0">
        <f>INDEX(Comptes!$K$5:$K$42,MATCH(E157,Comptes!$A$5:$A$42,0))</f>
      </c>
      <c r="Q157" s="0" t="inlineStr">
        <is>
          <t xml:space="preserve">4</t>
        </is>
      </c>
      <c r="R157" s="7" t="inlineStr">
        <is>
          <t xml:space="preserve">411000|C005</t>
        </is>
      </c>
    </row>
    <row r="158">
      <c r="A158" s="4" t="inlineStr">
        <is>
          <t xml:space="preserve">VT</t>
        </is>
      </c>
      <c r="B158" s="0" t="inlineStr">
        <is>
          <t xml:space="preserve">Journal des ventes</t>
        </is>
      </c>
      <c r="C158" s="0" t="inlineStr">
        <is>
          <t xml:space="preserve">VT00009</t>
        </is>
      </c>
      <c r="D158" s="10">
        <v>45714</v>
      </c>
      <c r="E158" s="4" t="inlineStr">
        <is>
          <t xml:space="preserve">701000</t>
        </is>
      </c>
      <c r="F158" s="0" t="inlineStr">
        <is>
          <t xml:space="preserve">Ventes de produits finis</t>
        </is>
      </c>
      <c r="G158" s="0" t="inlineStr">
        <is>
          <t xml:space="preserve">FA2025-0009</t>
        </is>
      </c>
      <c r="H158" s="0" t="inlineStr">
        <is>
          <t xml:space="preserve">Facture FA2025-0009 Restaurant Le Comptoir</t>
        </is>
      </c>
      <c r="I158" s="8">
        <v>0</v>
      </c>
      <c r="J158" s="8">
        <v>35941.04</v>
      </c>
      <c r="K158" s="0"/>
      <c r="L158" s="0"/>
      <c r="M158" s="8">
        <f>I158-J158</f>
      </c>
      <c r="N158" s="0" t="inlineStr">
        <is>
          <t xml:space="preserve">2025-02</t>
        </is>
      </c>
      <c r="O158" s="0">
        <f>INDEX(Journaux!$E$5:$E$18,MATCH("2025|"&amp;A158,Journaux!$A$5:$A$18,0))</f>
      </c>
      <c r="P158" s="0">
        <f>INDEX(Comptes!$K$5:$K$42,MATCH(E158,Comptes!$A$5:$A$42,0))</f>
      </c>
      <c r="Q158" s="0" t="inlineStr">
        <is>
          <t xml:space="preserve">7</t>
        </is>
      </c>
    </row>
    <row r="159">
      <c r="A159" s="4" t="inlineStr">
        <is>
          <t xml:space="preserve">VT</t>
        </is>
      </c>
      <c r="B159" s="0" t="inlineStr">
        <is>
          <t xml:space="preserve">Journal des ventes</t>
        </is>
      </c>
      <c r="C159" s="0" t="inlineStr">
        <is>
          <t xml:space="preserve">VT00009</t>
        </is>
      </c>
      <c r="D159" s="10">
        <v>45714</v>
      </c>
      <c r="E159" s="4" t="inlineStr">
        <is>
          <t xml:space="preserve">445710</t>
        </is>
      </c>
      <c r="F159" s="0" t="inlineStr">
        <is>
          <t xml:space="preserve">TVA collectee</t>
        </is>
      </c>
      <c r="G159" s="0" t="inlineStr">
        <is>
          <t xml:space="preserve">FA2025-0009</t>
        </is>
      </c>
      <c r="H159" s="0" t="inlineStr">
        <is>
          <t xml:space="preserve">Facture FA2025-0009 Restaurant Le Comptoir</t>
        </is>
      </c>
      <c r="I159" s="8">
        <v>0</v>
      </c>
      <c r="J159" s="8">
        <v>7188.21</v>
      </c>
      <c r="K159" s="0"/>
      <c r="L159" s="0"/>
      <c r="M159" s="8">
        <f>I159-J159</f>
      </c>
      <c r="N159" s="0" t="inlineStr">
        <is>
          <t xml:space="preserve">2025-02</t>
        </is>
      </c>
      <c r="O159" s="0">
        <f>INDEX(Journaux!$E$5:$E$18,MATCH("2025|"&amp;A159,Journaux!$A$5:$A$18,0))</f>
      </c>
      <c r="P159" s="0">
        <f>INDEX(Comptes!$K$5:$K$42,MATCH(E159,Comptes!$A$5:$A$42,0))</f>
      </c>
      <c r="Q159" s="0" t="inlineStr">
        <is>
          <t xml:space="preserve">4</t>
        </is>
      </c>
    </row>
    <row r="160">
      <c r="A160" s="4" t="inlineStr">
        <is>
          <t xml:space="preserve">AC</t>
        </is>
      </c>
      <c r="B160" s="0" t="inlineStr">
        <is>
          <t xml:space="preserve">Journal des achats</t>
        </is>
      </c>
      <c r="C160" s="0" t="inlineStr">
        <is>
          <t xml:space="preserve">AC00008</t>
        </is>
      </c>
      <c r="D160" s="10">
        <v>45715</v>
      </c>
      <c r="E160" s="4" t="inlineStr">
        <is>
          <t xml:space="preserve">601000</t>
        </is>
      </c>
      <c r="F160" s="0" t="inlineStr">
        <is>
          <t xml:space="preserve">Achats de matieres premieres</t>
        </is>
      </c>
      <c r="G160" s="0" t="inlineStr">
        <is>
          <t xml:space="preserve">F002-2025021</t>
        </is>
      </c>
      <c r="H160" s="0" t="inlineStr">
        <is>
          <t xml:space="preserve">Facture Quincaillerie Pro Est F002-2025021</t>
        </is>
      </c>
      <c r="I160" s="8">
        <v>16735.93</v>
      </c>
      <c r="J160" s="8">
        <v>0</v>
      </c>
      <c r="K160" s="0"/>
      <c r="L160" s="0"/>
      <c r="M160" s="8">
        <f>I160-J160</f>
      </c>
      <c r="N160" s="0" t="inlineStr">
        <is>
          <t xml:space="preserve">2025-02</t>
        </is>
      </c>
      <c r="O160" s="0">
        <f>INDEX(Journaux!$E$5:$E$18,MATCH("2025|"&amp;A160,Journaux!$A$5:$A$18,0))</f>
      </c>
      <c r="P160" s="0">
        <f>INDEX(Comptes!$K$5:$K$42,MATCH(E160,Comptes!$A$5:$A$42,0))</f>
      </c>
      <c r="Q160" s="0" t="inlineStr">
        <is>
          <t xml:space="preserve">6</t>
        </is>
      </c>
    </row>
    <row r="161">
      <c r="A161" s="4" t="inlineStr">
        <is>
          <t xml:space="preserve">AC</t>
        </is>
      </c>
      <c r="B161" s="0" t="inlineStr">
        <is>
          <t xml:space="preserve">Journal des achats</t>
        </is>
      </c>
      <c r="C161" s="0" t="inlineStr">
        <is>
          <t xml:space="preserve">AC00008</t>
        </is>
      </c>
      <c r="D161" s="10">
        <v>45715</v>
      </c>
      <c r="E161" s="4" t="inlineStr">
        <is>
          <t xml:space="preserve">445660</t>
        </is>
      </c>
      <c r="F161" s="0" t="inlineStr">
        <is>
          <t xml:space="preserve">TVA deductible sur ABS</t>
        </is>
      </c>
      <c r="G161" s="0" t="inlineStr">
        <is>
          <t xml:space="preserve">F002-2025021</t>
        </is>
      </c>
      <c r="H161" s="0" t="inlineStr">
        <is>
          <t xml:space="preserve">Facture Quincaillerie Pro Est F002-2025021</t>
        </is>
      </c>
      <c r="I161" s="8">
        <v>3347.19</v>
      </c>
      <c r="J161" s="8">
        <v>0</v>
      </c>
      <c r="K161" s="0"/>
      <c r="L161" s="0"/>
      <c r="M161" s="8">
        <f>I161-J161</f>
      </c>
      <c r="N161" s="0" t="inlineStr">
        <is>
          <t xml:space="preserve">2025-02</t>
        </is>
      </c>
      <c r="O161" s="0">
        <f>INDEX(Journaux!$E$5:$E$18,MATCH("2025|"&amp;A161,Journaux!$A$5:$A$18,0))</f>
      </c>
      <c r="P161" s="0">
        <f>INDEX(Comptes!$K$5:$K$42,MATCH(E161,Comptes!$A$5:$A$42,0))</f>
      </c>
      <c r="Q161" s="0" t="inlineStr">
        <is>
          <t xml:space="preserve">4</t>
        </is>
      </c>
    </row>
    <row r="162">
      <c r="A162" s="4" t="inlineStr">
        <is>
          <t xml:space="preserve">AC</t>
        </is>
      </c>
      <c r="B162" s="0" t="inlineStr">
        <is>
          <t xml:space="preserve">Journal des achats</t>
        </is>
      </c>
      <c r="C162" s="0" t="inlineStr">
        <is>
          <t xml:space="preserve">AC00008</t>
        </is>
      </c>
      <c r="D162" s="10">
        <v>45715</v>
      </c>
      <c r="E162" s="4" t="inlineStr">
        <is>
          <t xml:space="preserve">401000</t>
        </is>
      </c>
      <c r="F162" s="0" t="inlineStr">
        <is>
          <t xml:space="preserve">Fournisseurs</t>
        </is>
      </c>
      <c r="G162" s="0" t="inlineStr">
        <is>
          <t xml:space="preserve">F002-2025021</t>
        </is>
      </c>
      <c r="H162" s="0" t="inlineStr">
        <is>
          <t xml:space="preserve">Facture Quincaillerie Pro Est F002-2025021</t>
        </is>
      </c>
      <c r="I162" s="8">
        <v>0</v>
      </c>
      <c r="J162" s="8">
        <v>20083.12</v>
      </c>
      <c r="K162" s="0" t="inlineStr">
        <is>
          <t xml:space="preserve">ABP</t>
        </is>
      </c>
      <c r="L162" s="0" t="inlineStr">
        <is>
          <t xml:space="preserve">Quincaillerie Pro Est</t>
        </is>
      </c>
      <c r="M162" s="8">
        <f>I162-J162</f>
      </c>
      <c r="N162" s="0" t="inlineStr">
        <is>
          <t xml:space="preserve">2025-02</t>
        </is>
      </c>
      <c r="O162" s="0">
        <f>INDEX(Journaux!$E$5:$E$18,MATCH("2025|"&amp;A162,Journaux!$A$5:$A$18,0))</f>
      </c>
      <c r="P162" s="0">
        <f>INDEX(Comptes!$K$5:$K$42,MATCH(E162,Comptes!$A$5:$A$42,0))</f>
      </c>
      <c r="Q162" s="0" t="inlineStr">
        <is>
          <t xml:space="preserve">4</t>
        </is>
      </c>
      <c r="R162" s="7" t="inlineStr">
        <is>
          <t xml:space="preserve">401000|F002</t>
        </is>
      </c>
    </row>
    <row r="163">
      <c r="A163" s="4" t="inlineStr">
        <is>
          <t xml:space="preserve">BQ</t>
        </is>
      </c>
      <c r="B163" s="0" t="inlineStr">
        <is>
          <t xml:space="preserve">Banque Fictive</t>
        </is>
      </c>
      <c r="C163" s="0" t="inlineStr">
        <is>
          <t xml:space="preserve">BQ00004</t>
        </is>
      </c>
      <c r="D163" s="10">
        <v>45716</v>
      </c>
      <c r="E163" s="4" t="inlineStr">
        <is>
          <t xml:space="preserve">421000</t>
        </is>
      </c>
      <c r="F163" s="0" t="inlineStr">
        <is>
          <t xml:space="preserve">Personnel remunerations dues</t>
        </is>
      </c>
      <c r="G163" s="0" t="inlineStr">
        <is>
          <t xml:space="preserve">VIRSAL202502</t>
        </is>
      </c>
      <c r="H163" s="0" t="inlineStr">
        <is>
          <t xml:space="preserve">Virement salaires 02/2025</t>
        </is>
      </c>
      <c r="I163" s="8">
        <v>39311.59</v>
      </c>
      <c r="J163" s="8">
        <v>0</v>
      </c>
      <c r="K163" s="0"/>
      <c r="L163" s="0"/>
      <c r="M163" s="8">
        <f>I163-J163</f>
      </c>
      <c r="N163" s="0" t="inlineStr">
        <is>
          <t xml:space="preserve">2025-02</t>
        </is>
      </c>
      <c r="O163" s="0">
        <f>INDEX(Journaux!$E$5:$E$18,MATCH("2025|"&amp;A163,Journaux!$A$5:$A$18,0))</f>
      </c>
      <c r="P163" s="0">
        <f>INDEX(Comptes!$K$5:$K$42,MATCH(E163,Comptes!$A$5:$A$42,0))</f>
      </c>
      <c r="Q163" s="0" t="inlineStr">
        <is>
          <t xml:space="preserve">4</t>
        </is>
      </c>
    </row>
    <row r="164">
      <c r="A164" s="4" t="inlineStr">
        <is>
          <t xml:space="preserve">BQ</t>
        </is>
      </c>
      <c r="B164" s="0" t="inlineStr">
        <is>
          <t xml:space="preserve">Banque Fictive</t>
        </is>
      </c>
      <c r="C164" s="0" t="inlineStr">
        <is>
          <t xml:space="preserve">BQ00004</t>
        </is>
      </c>
      <c r="D164" s="10">
        <v>45716</v>
      </c>
      <c r="E164" s="4" t="inlineStr">
        <is>
          <t xml:space="preserve">512000</t>
        </is>
      </c>
      <c r="F164" s="0" t="inlineStr">
        <is>
          <t xml:space="preserve">Banque Fictive</t>
        </is>
      </c>
      <c r="G164" s="0" t="inlineStr">
        <is>
          <t xml:space="preserve">VIRSAL202502</t>
        </is>
      </c>
      <c r="H164" s="0" t="inlineStr">
        <is>
          <t xml:space="preserve">Virement salaires 02/2025</t>
        </is>
      </c>
      <c r="I164" s="8">
        <v>0</v>
      </c>
      <c r="J164" s="8">
        <v>39311.59</v>
      </c>
      <c r="K164" s="0"/>
      <c r="L164" s="0"/>
      <c r="M164" s="8">
        <f>I164-J164</f>
      </c>
      <c r="N164" s="0" t="inlineStr">
        <is>
          <t xml:space="preserve">2025-02</t>
        </is>
      </c>
      <c r="O164" s="0">
        <f>INDEX(Journaux!$E$5:$E$18,MATCH("2025|"&amp;A164,Journaux!$A$5:$A$18,0))</f>
      </c>
      <c r="P164" s="0">
        <f>INDEX(Comptes!$K$5:$K$42,MATCH(E164,Comptes!$A$5:$A$42,0))</f>
      </c>
      <c r="Q164" s="0" t="inlineStr">
        <is>
          <t xml:space="preserve">5</t>
        </is>
      </c>
    </row>
    <row r="165">
      <c r="A165" s="4" t="inlineStr">
        <is>
          <t xml:space="preserve">BQ</t>
        </is>
      </c>
      <c r="B165" s="0" t="inlineStr">
        <is>
          <t xml:space="preserve">Banque Fictive</t>
        </is>
      </c>
      <c r="C165" s="0" t="inlineStr">
        <is>
          <t xml:space="preserve">BQ00006</t>
        </is>
      </c>
      <c r="D165" s="10">
        <v>45716</v>
      </c>
      <c r="E165" s="4" t="inlineStr">
        <is>
          <t xml:space="preserve">627000</t>
        </is>
      </c>
      <c r="F165" s="0" t="inlineStr">
        <is>
          <t xml:space="preserve">Services bancaires</t>
        </is>
      </c>
      <c r="G165" s="0" t="inlineStr">
        <is>
          <t xml:space="preserve">FRB202502</t>
        </is>
      </c>
      <c r="H165" s="0" t="inlineStr">
        <is>
          <t xml:space="preserve">Frais bancaires 02/2025</t>
        </is>
      </c>
      <c r="I165" s="8">
        <v>85</v>
      </c>
      <c r="J165" s="8">
        <v>0</v>
      </c>
      <c r="K165" s="0"/>
      <c r="L165" s="0"/>
      <c r="M165" s="8">
        <f>I165-J165</f>
      </c>
      <c r="N165" s="0" t="inlineStr">
        <is>
          <t xml:space="preserve">2025-02</t>
        </is>
      </c>
      <c r="O165" s="0">
        <f>INDEX(Journaux!$E$5:$E$18,MATCH("2025|"&amp;A165,Journaux!$A$5:$A$18,0))</f>
      </c>
      <c r="P165" s="0">
        <f>INDEX(Comptes!$K$5:$K$42,MATCH(E165,Comptes!$A$5:$A$42,0))</f>
      </c>
      <c r="Q165" s="0" t="inlineStr">
        <is>
          <t xml:space="preserve">6</t>
        </is>
      </c>
    </row>
    <row r="166">
      <c r="A166" s="4" t="inlineStr">
        <is>
          <t xml:space="preserve">BQ</t>
        </is>
      </c>
      <c r="B166" s="0" t="inlineStr">
        <is>
          <t xml:space="preserve">Banque Fictive</t>
        </is>
      </c>
      <c r="C166" s="0" t="inlineStr">
        <is>
          <t xml:space="preserve">BQ00006</t>
        </is>
      </c>
      <c r="D166" s="10">
        <v>45716</v>
      </c>
      <c r="E166" s="4" t="inlineStr">
        <is>
          <t xml:space="preserve">512000</t>
        </is>
      </c>
      <c r="F166" s="0" t="inlineStr">
        <is>
          <t xml:space="preserve">Banque Fictive</t>
        </is>
      </c>
      <c r="G166" s="0" t="inlineStr">
        <is>
          <t xml:space="preserve">FRB202502</t>
        </is>
      </c>
      <c r="H166" s="0" t="inlineStr">
        <is>
          <t xml:space="preserve">Frais bancaires 02/2025</t>
        </is>
      </c>
      <c r="I166" s="8">
        <v>0</v>
      </c>
      <c r="J166" s="8">
        <v>85</v>
      </c>
      <c r="K166" s="0"/>
      <c r="L166" s="0"/>
      <c r="M166" s="8">
        <f>I166-J166</f>
      </c>
      <c r="N166" s="0" t="inlineStr">
        <is>
          <t xml:space="preserve">2025-02</t>
        </is>
      </c>
      <c r="O166" s="0">
        <f>INDEX(Journaux!$E$5:$E$18,MATCH("2025|"&amp;A166,Journaux!$A$5:$A$18,0))</f>
      </c>
      <c r="P166" s="0">
        <f>INDEX(Comptes!$K$5:$K$42,MATCH(E166,Comptes!$A$5:$A$42,0))</f>
      </c>
      <c r="Q166" s="0" t="inlineStr">
        <is>
          <t xml:space="preserve">5</t>
        </is>
      </c>
    </row>
    <row r="167">
      <c r="A167" s="4" t="inlineStr">
        <is>
          <t xml:space="preserve">OD</t>
        </is>
      </c>
      <c r="B167" s="0" t="inlineStr">
        <is>
          <t xml:space="preserve">Operations diverses</t>
        </is>
      </c>
      <c r="C167" s="0" t="inlineStr">
        <is>
          <t xml:space="preserve">OD00002</t>
        </is>
      </c>
      <c r="D167" s="10">
        <v>45716</v>
      </c>
      <c r="E167" s="4" t="inlineStr">
        <is>
          <t xml:space="preserve">445710</t>
        </is>
      </c>
      <c r="F167" s="0" t="inlineStr">
        <is>
          <t xml:space="preserve">TVA collectee</t>
        </is>
      </c>
      <c r="G167" s="0" t="inlineStr">
        <is>
          <t xml:space="preserve">CA3-202502</t>
        </is>
      </c>
      <c r="H167" s="0" t="inlineStr">
        <is>
          <t xml:space="preserve">Declaration TVA 02/2025</t>
        </is>
      </c>
      <c r="I167" s="8">
        <v>22166.67</v>
      </c>
      <c r="J167" s="8">
        <v>0</v>
      </c>
      <c r="K167" s="0"/>
      <c r="L167" s="0"/>
      <c r="M167" s="8">
        <f>I167-J167</f>
      </c>
      <c r="N167" s="0" t="inlineStr">
        <is>
          <t xml:space="preserve">2025-02</t>
        </is>
      </c>
      <c r="O167" s="0">
        <f>INDEX(Journaux!$E$5:$E$18,MATCH("2025|"&amp;A167,Journaux!$A$5:$A$18,0))</f>
      </c>
      <c r="P167" s="0">
        <f>INDEX(Comptes!$K$5:$K$42,MATCH(E167,Comptes!$A$5:$A$42,0))</f>
      </c>
      <c r="Q167" s="0" t="inlineStr">
        <is>
          <t xml:space="preserve">4</t>
        </is>
      </c>
    </row>
    <row r="168">
      <c r="A168" s="4" t="inlineStr">
        <is>
          <t xml:space="preserve">OD</t>
        </is>
      </c>
      <c r="B168" s="0" t="inlineStr">
        <is>
          <t xml:space="preserve">Operations diverses</t>
        </is>
      </c>
      <c r="C168" s="0" t="inlineStr">
        <is>
          <t xml:space="preserve">OD00002</t>
        </is>
      </c>
      <c r="D168" s="10">
        <v>45716</v>
      </c>
      <c r="E168" s="4" t="inlineStr">
        <is>
          <t xml:space="preserve">445660</t>
        </is>
      </c>
      <c r="F168" s="0" t="inlineStr">
        <is>
          <t xml:space="preserve">TVA deductible sur ABS</t>
        </is>
      </c>
      <c r="G168" s="0" t="inlineStr">
        <is>
          <t xml:space="preserve">CA3-202502</t>
        </is>
      </c>
      <c r="H168" s="0" t="inlineStr">
        <is>
          <t xml:space="preserve">Declaration TVA 02/2025</t>
        </is>
      </c>
      <c r="I168" s="8">
        <v>0</v>
      </c>
      <c r="J168" s="8">
        <v>12880.28</v>
      </c>
      <c r="K168" s="0"/>
      <c r="L168" s="0"/>
      <c r="M168" s="8">
        <f>I168-J168</f>
      </c>
      <c r="N168" s="0" t="inlineStr">
        <is>
          <t xml:space="preserve">2025-02</t>
        </is>
      </c>
      <c r="O168" s="0">
        <f>INDEX(Journaux!$E$5:$E$18,MATCH("2025|"&amp;A168,Journaux!$A$5:$A$18,0))</f>
      </c>
      <c r="P168" s="0">
        <f>INDEX(Comptes!$K$5:$K$42,MATCH(E168,Comptes!$A$5:$A$42,0))</f>
      </c>
      <c r="Q168" s="0" t="inlineStr">
        <is>
          <t xml:space="preserve">4</t>
        </is>
      </c>
    </row>
    <row r="169">
      <c r="A169" s="4" t="inlineStr">
        <is>
          <t xml:space="preserve">OD</t>
        </is>
      </c>
      <c r="B169" s="0" t="inlineStr">
        <is>
          <t xml:space="preserve">Operations diverses</t>
        </is>
      </c>
      <c r="C169" s="0" t="inlineStr">
        <is>
          <t xml:space="preserve">OD00002</t>
        </is>
      </c>
      <c r="D169" s="10">
        <v>45716</v>
      </c>
      <c r="E169" s="4" t="inlineStr">
        <is>
          <t xml:space="preserve">445510</t>
        </is>
      </c>
      <c r="F169" s="0" t="inlineStr">
        <is>
          <t xml:space="preserve">TVA a decaisser</t>
        </is>
      </c>
      <c r="G169" s="0" t="inlineStr">
        <is>
          <t xml:space="preserve">CA3-202502</t>
        </is>
      </c>
      <c r="H169" s="0" t="inlineStr">
        <is>
          <t xml:space="preserve">Declaration TVA 02/2025</t>
        </is>
      </c>
      <c r="I169" s="8">
        <v>0</v>
      </c>
      <c r="J169" s="8">
        <v>9286.39</v>
      </c>
      <c r="K169" s="0"/>
      <c r="L169" s="0"/>
      <c r="M169" s="8">
        <f>I169-J169</f>
      </c>
      <c r="N169" s="0" t="inlineStr">
        <is>
          <t xml:space="preserve">2025-02</t>
        </is>
      </c>
      <c r="O169" s="0">
        <f>INDEX(Journaux!$E$5:$E$18,MATCH("2025|"&amp;A169,Journaux!$A$5:$A$18,0))</f>
      </c>
      <c r="P169" s="0">
        <f>INDEX(Comptes!$K$5:$K$42,MATCH(E169,Comptes!$A$5:$A$42,0))</f>
      </c>
      <c r="Q169" s="0" t="inlineStr">
        <is>
          <t xml:space="preserve">4</t>
        </is>
      </c>
    </row>
    <row r="170">
      <c r="A170" s="4" t="inlineStr">
        <is>
          <t xml:space="preserve">OD</t>
        </is>
      </c>
      <c r="B170" s="0" t="inlineStr">
        <is>
          <t xml:space="preserve">Operations diverses</t>
        </is>
      </c>
      <c r="C170" s="0" t="inlineStr">
        <is>
          <t xml:space="preserve">OD00016</t>
        </is>
      </c>
      <c r="D170" s="10">
        <v>45716</v>
      </c>
      <c r="E170" s="4" t="inlineStr">
        <is>
          <t xml:space="preserve">445710</t>
        </is>
      </c>
      <c r="F170" s="0" t="inlineStr">
        <is>
          <t xml:space="preserve">TVA collectee</t>
        </is>
      </c>
      <c r="G170" s="0" t="inlineStr">
        <is>
          <t xml:space="preserve">CA3-202502C</t>
        </is>
      </c>
      <c r="H170" s="0" t="inlineStr">
        <is>
          <t xml:space="preserve">Declaration TVA complementaire 02/2025</t>
        </is>
      </c>
      <c r="I170" s="8">
        <v>8000</v>
      </c>
      <c r="J170" s="8">
        <v>0</v>
      </c>
      <c r="K170" s="0"/>
      <c r="L170" s="0"/>
      <c r="M170" s="8">
        <f>I170-J170</f>
      </c>
      <c r="N170" s="0" t="inlineStr">
        <is>
          <t xml:space="preserve">2025-02</t>
        </is>
      </c>
      <c r="O170" s="0">
        <f>INDEX(Journaux!$E$5:$E$18,MATCH("2025|"&amp;A170,Journaux!$A$5:$A$18,0))</f>
      </c>
      <c r="P170" s="0">
        <f>INDEX(Comptes!$K$5:$K$42,MATCH(E170,Comptes!$A$5:$A$42,0))</f>
      </c>
      <c r="Q170" s="0" t="inlineStr">
        <is>
          <t xml:space="preserve">4</t>
        </is>
      </c>
    </row>
    <row r="171">
      <c r="A171" s="4" t="inlineStr">
        <is>
          <t xml:space="preserve">OD</t>
        </is>
      </c>
      <c r="B171" s="0" t="inlineStr">
        <is>
          <t xml:space="preserve">Operations diverses</t>
        </is>
      </c>
      <c r="C171" s="0" t="inlineStr">
        <is>
          <t xml:space="preserve">OD00016</t>
        </is>
      </c>
      <c r="D171" s="10">
        <v>45716</v>
      </c>
      <c r="E171" s="4" t="inlineStr">
        <is>
          <t xml:space="preserve">445510</t>
        </is>
      </c>
      <c r="F171" s="0" t="inlineStr">
        <is>
          <t xml:space="preserve">TVA a decaisser</t>
        </is>
      </c>
      <c r="G171" s="0" t="inlineStr">
        <is>
          <t xml:space="preserve">CA3-202502C</t>
        </is>
      </c>
      <c r="H171" s="0" t="inlineStr">
        <is>
          <t xml:space="preserve">Declaration TVA complementaire 02/2025</t>
        </is>
      </c>
      <c r="I171" s="8">
        <v>0</v>
      </c>
      <c r="J171" s="8">
        <v>8000</v>
      </c>
      <c r="K171" s="0"/>
      <c r="L171" s="0"/>
      <c r="M171" s="8">
        <f>I171-J171</f>
      </c>
      <c r="N171" s="0" t="inlineStr">
        <is>
          <t xml:space="preserve">2025-02</t>
        </is>
      </c>
      <c r="O171" s="0">
        <f>INDEX(Journaux!$E$5:$E$18,MATCH("2025|"&amp;A171,Journaux!$A$5:$A$18,0))</f>
      </c>
      <c r="P171" s="0">
        <f>INDEX(Comptes!$K$5:$K$42,MATCH(E171,Comptes!$A$5:$A$42,0))</f>
      </c>
      <c r="Q171" s="0" t="inlineStr">
        <is>
          <t xml:space="preserve">4</t>
        </is>
      </c>
    </row>
    <row r="172">
      <c r="A172" s="4" t="inlineStr">
        <is>
          <t xml:space="preserve">SA</t>
        </is>
      </c>
      <c r="B172" s="0" t="inlineStr">
        <is>
          <t xml:space="preserve">Salaires</t>
        </is>
      </c>
      <c r="C172" s="0" t="inlineStr">
        <is>
          <t xml:space="preserve">SA00002</t>
        </is>
      </c>
      <c r="D172" s="10">
        <v>45716</v>
      </c>
      <c r="E172" s="4" t="inlineStr">
        <is>
          <t xml:space="preserve">641000</t>
        </is>
      </c>
      <c r="F172" s="0" t="inlineStr">
        <is>
          <t xml:space="preserve">Remunerations du personnel</t>
        </is>
      </c>
      <c r="G172" s="0" t="inlineStr">
        <is>
          <t xml:space="preserve">PAIE202502</t>
        </is>
      </c>
      <c r="H172" s="0" t="inlineStr">
        <is>
          <t xml:space="preserve">Paie 02/2025</t>
        </is>
      </c>
      <c r="I172" s="8">
        <v>50399.47</v>
      </c>
      <c r="J172" s="8">
        <v>0</v>
      </c>
      <c r="K172" s="0"/>
      <c r="L172" s="0"/>
      <c r="M172" s="8">
        <f>I172-J172</f>
      </c>
      <c r="N172" s="0" t="inlineStr">
        <is>
          <t xml:space="preserve">2025-02</t>
        </is>
      </c>
      <c r="O172" s="0">
        <f>INDEX(Journaux!$E$5:$E$18,MATCH("2025|"&amp;A172,Journaux!$A$5:$A$18,0))</f>
      </c>
      <c r="P172" s="0">
        <f>INDEX(Comptes!$K$5:$K$42,MATCH(E172,Comptes!$A$5:$A$42,0))</f>
      </c>
      <c r="Q172" s="0" t="inlineStr">
        <is>
          <t xml:space="preserve">6</t>
        </is>
      </c>
    </row>
    <row r="173">
      <c r="A173" s="4" t="inlineStr">
        <is>
          <t xml:space="preserve">SA</t>
        </is>
      </c>
      <c r="B173" s="0" t="inlineStr">
        <is>
          <t xml:space="preserve">Salaires</t>
        </is>
      </c>
      <c r="C173" s="0" t="inlineStr">
        <is>
          <t xml:space="preserve">SA00002</t>
        </is>
      </c>
      <c r="D173" s="10">
        <v>45716</v>
      </c>
      <c r="E173" s="4" t="inlineStr">
        <is>
          <t xml:space="preserve">645100</t>
        </is>
      </c>
      <c r="F173" s="0" t="inlineStr">
        <is>
          <t xml:space="preserve">Cotisations URSSAF</t>
        </is>
      </c>
      <c r="G173" s="0" t="inlineStr">
        <is>
          <t xml:space="preserve">PAIE202502</t>
        </is>
      </c>
      <c r="H173" s="0" t="inlineStr">
        <is>
          <t xml:space="preserve">Paie 02/2025</t>
        </is>
      </c>
      <c r="I173" s="8">
        <v>21167.78</v>
      </c>
      <c r="J173" s="8">
        <v>0</v>
      </c>
      <c r="K173" s="0"/>
      <c r="L173" s="0"/>
      <c r="M173" s="8">
        <f>I173-J173</f>
      </c>
      <c r="N173" s="0" t="inlineStr">
        <is>
          <t xml:space="preserve">2025-02</t>
        </is>
      </c>
      <c r="O173" s="0">
        <f>INDEX(Journaux!$E$5:$E$18,MATCH("2025|"&amp;A173,Journaux!$A$5:$A$18,0))</f>
      </c>
      <c r="P173" s="0">
        <f>INDEX(Comptes!$K$5:$K$42,MATCH(E173,Comptes!$A$5:$A$42,0))</f>
      </c>
      <c r="Q173" s="0" t="inlineStr">
        <is>
          <t xml:space="preserve">6</t>
        </is>
      </c>
    </row>
    <row r="174">
      <c r="A174" s="4" t="inlineStr">
        <is>
          <t xml:space="preserve">SA</t>
        </is>
      </c>
      <c r="B174" s="0" t="inlineStr">
        <is>
          <t xml:space="preserve">Salaires</t>
        </is>
      </c>
      <c r="C174" s="0" t="inlineStr">
        <is>
          <t xml:space="preserve">SA00002</t>
        </is>
      </c>
      <c r="D174" s="10">
        <v>45716</v>
      </c>
      <c r="E174" s="4" t="inlineStr">
        <is>
          <t xml:space="preserve">421000</t>
        </is>
      </c>
      <c r="F174" s="0" t="inlineStr">
        <is>
          <t xml:space="preserve">Personnel remunerations dues</t>
        </is>
      </c>
      <c r="G174" s="0" t="inlineStr">
        <is>
          <t xml:space="preserve">PAIE202502</t>
        </is>
      </c>
      <c r="H174" s="0" t="inlineStr">
        <is>
          <t xml:space="preserve">Paie 02/2025</t>
        </is>
      </c>
      <c r="I174" s="8">
        <v>0</v>
      </c>
      <c r="J174" s="8">
        <v>39311.59</v>
      </c>
      <c r="K174" s="0"/>
      <c r="L174" s="0"/>
      <c r="M174" s="8">
        <f>I174-J174</f>
      </c>
      <c r="N174" s="0" t="inlineStr">
        <is>
          <t xml:space="preserve">2025-02</t>
        </is>
      </c>
      <c r="O174" s="0">
        <f>INDEX(Journaux!$E$5:$E$18,MATCH("2025|"&amp;A174,Journaux!$A$5:$A$18,0))</f>
      </c>
      <c r="P174" s="0">
        <f>INDEX(Comptes!$K$5:$K$42,MATCH(E174,Comptes!$A$5:$A$42,0))</f>
      </c>
      <c r="Q174" s="0" t="inlineStr">
        <is>
          <t xml:space="preserve">4</t>
        </is>
      </c>
    </row>
    <row r="175">
      <c r="A175" s="4" t="inlineStr">
        <is>
          <t xml:space="preserve">SA</t>
        </is>
      </c>
      <c r="B175" s="0" t="inlineStr">
        <is>
          <t xml:space="preserve">Salaires</t>
        </is>
      </c>
      <c r="C175" s="0" t="inlineStr">
        <is>
          <t xml:space="preserve">SA00002</t>
        </is>
      </c>
      <c r="D175" s="10">
        <v>45716</v>
      </c>
      <c r="E175" s="4" t="inlineStr">
        <is>
          <t xml:space="preserve">431000</t>
        </is>
      </c>
      <c r="F175" s="0" t="inlineStr">
        <is>
          <t xml:space="preserve">Securite sociale</t>
        </is>
      </c>
      <c r="G175" s="0" t="inlineStr">
        <is>
          <t xml:space="preserve">PAIE202502</t>
        </is>
      </c>
      <c r="H175" s="0" t="inlineStr">
        <is>
          <t xml:space="preserve">Paie 02/2025</t>
        </is>
      </c>
      <c r="I175" s="8">
        <v>0</v>
      </c>
      <c r="J175" s="8">
        <v>32255.66</v>
      </c>
      <c r="K175" s="0"/>
      <c r="L175" s="0"/>
      <c r="M175" s="8">
        <f>I175-J175</f>
      </c>
      <c r="N175" s="0" t="inlineStr">
        <is>
          <t xml:space="preserve">2025-02</t>
        </is>
      </c>
      <c r="O175" s="0">
        <f>INDEX(Journaux!$E$5:$E$18,MATCH("2025|"&amp;A175,Journaux!$A$5:$A$18,0))</f>
      </c>
      <c r="P175" s="0">
        <f>INDEX(Comptes!$K$5:$K$42,MATCH(E175,Comptes!$A$5:$A$42,0))</f>
      </c>
      <c r="Q175" s="0" t="inlineStr">
        <is>
          <t xml:space="preserve">4</t>
        </is>
      </c>
    </row>
    <row r="176">
      <c r="A176" s="4" t="inlineStr">
        <is>
          <t xml:space="preserve">AC</t>
        </is>
      </c>
      <c r="B176" s="0" t="inlineStr">
        <is>
          <t xml:space="preserve">Journal des achats</t>
        </is>
      </c>
      <c r="C176" s="0" t="inlineStr">
        <is>
          <t xml:space="preserve">AC00014</t>
        </is>
      </c>
      <c r="D176" s="10">
        <v>45719</v>
      </c>
      <c r="E176" s="4" t="inlineStr">
        <is>
          <t xml:space="preserve">601000</t>
        </is>
      </c>
      <c r="F176" s="0" t="inlineStr">
        <is>
          <t xml:space="preserve">Achats de matieres premieres</t>
        </is>
      </c>
      <c r="G176" s="0" t="inlineStr">
        <is>
          <t xml:space="preserve">F003-2025031</t>
        </is>
      </c>
      <c r="H176" s="0" t="inlineStr">
        <is>
          <t xml:space="preserve">Facture Vernis et Finitions F003-2025031</t>
        </is>
      </c>
      <c r="I176" s="8">
        <v>15835.65</v>
      </c>
      <c r="J176" s="8">
        <v>0</v>
      </c>
      <c r="K176" s="0"/>
      <c r="L176" s="0"/>
      <c r="M176" s="8">
        <f>I176-J176</f>
      </c>
      <c r="N176" s="0" t="inlineStr">
        <is>
          <t xml:space="preserve">2025-03</t>
        </is>
      </c>
      <c r="O176" s="0">
        <f>INDEX(Journaux!$E$5:$E$18,MATCH("2025|"&amp;A176,Journaux!$A$5:$A$18,0))</f>
      </c>
      <c r="P176" s="0">
        <f>INDEX(Comptes!$K$5:$K$42,MATCH(E176,Comptes!$A$5:$A$42,0))</f>
      </c>
      <c r="Q176" s="0" t="inlineStr">
        <is>
          <t xml:space="preserve">6</t>
        </is>
      </c>
    </row>
    <row r="177">
      <c r="A177" s="4" t="inlineStr">
        <is>
          <t xml:space="preserve">AC</t>
        </is>
      </c>
      <c r="B177" s="0" t="inlineStr">
        <is>
          <t xml:space="preserve">Journal des achats</t>
        </is>
      </c>
      <c r="C177" s="0" t="inlineStr">
        <is>
          <t xml:space="preserve">AC00014</t>
        </is>
      </c>
      <c r="D177" s="10">
        <v>45719</v>
      </c>
      <c r="E177" s="4" t="inlineStr">
        <is>
          <t xml:space="preserve">445660</t>
        </is>
      </c>
      <c r="F177" s="0" t="inlineStr">
        <is>
          <t xml:space="preserve">TVA deductible sur ABS</t>
        </is>
      </c>
      <c r="G177" s="0" t="inlineStr">
        <is>
          <t xml:space="preserve">F003-2025031</t>
        </is>
      </c>
      <c r="H177" s="0" t="inlineStr">
        <is>
          <t xml:space="preserve">Facture Vernis et Finitions F003-2025031</t>
        </is>
      </c>
      <c r="I177" s="8">
        <v>3167.13</v>
      </c>
      <c r="J177" s="8">
        <v>0</v>
      </c>
      <c r="K177" s="0"/>
      <c r="L177" s="0"/>
      <c r="M177" s="8">
        <f>I177-J177</f>
      </c>
      <c r="N177" s="0" t="inlineStr">
        <is>
          <t xml:space="preserve">2025-03</t>
        </is>
      </c>
      <c r="O177" s="0">
        <f>INDEX(Journaux!$E$5:$E$18,MATCH("2025|"&amp;A177,Journaux!$A$5:$A$18,0))</f>
      </c>
      <c r="P177" s="0">
        <f>INDEX(Comptes!$K$5:$K$42,MATCH(E177,Comptes!$A$5:$A$42,0))</f>
      </c>
      <c r="Q177" s="0" t="inlineStr">
        <is>
          <t xml:space="preserve">4</t>
        </is>
      </c>
    </row>
    <row r="178">
      <c r="A178" s="4" t="inlineStr">
        <is>
          <t xml:space="preserve">AC</t>
        </is>
      </c>
      <c r="B178" s="0" t="inlineStr">
        <is>
          <t xml:space="preserve">Journal des achats</t>
        </is>
      </c>
      <c r="C178" s="0" t="inlineStr">
        <is>
          <t xml:space="preserve">AC00014</t>
        </is>
      </c>
      <c r="D178" s="10">
        <v>45719</v>
      </c>
      <c r="E178" s="4" t="inlineStr">
        <is>
          <t xml:space="preserve">401000</t>
        </is>
      </c>
      <c r="F178" s="0" t="inlineStr">
        <is>
          <t xml:space="preserve">Fournisseurs</t>
        </is>
      </c>
      <c r="G178" s="0" t="inlineStr">
        <is>
          <t xml:space="preserve">F003-2025031</t>
        </is>
      </c>
      <c r="H178" s="0" t="inlineStr">
        <is>
          <t xml:space="preserve">Facture Vernis et Finitions F003-2025031</t>
        </is>
      </c>
      <c r="I178" s="8">
        <v>0</v>
      </c>
      <c r="J178" s="8">
        <v>19002.78</v>
      </c>
      <c r="K178" s="0" t="inlineStr">
        <is>
          <t xml:space="preserve">ABV</t>
        </is>
      </c>
      <c r="L178" s="0" t="inlineStr">
        <is>
          <t xml:space="preserve">Vernis et Finitions</t>
        </is>
      </c>
      <c r="M178" s="8">
        <f>I178-J178</f>
      </c>
      <c r="N178" s="0" t="inlineStr">
        <is>
          <t xml:space="preserve">2025-03</t>
        </is>
      </c>
      <c r="O178" s="0">
        <f>INDEX(Journaux!$E$5:$E$18,MATCH("2025|"&amp;A178,Journaux!$A$5:$A$18,0))</f>
      </c>
      <c r="P178" s="0">
        <f>INDEX(Comptes!$K$5:$K$42,MATCH(E178,Comptes!$A$5:$A$42,0))</f>
      </c>
      <c r="Q178" s="0" t="inlineStr">
        <is>
          <t xml:space="preserve">4</t>
        </is>
      </c>
      <c r="R178" s="7" t="inlineStr">
        <is>
          <t xml:space="preserve">401000|F003</t>
        </is>
      </c>
    </row>
    <row r="179">
      <c r="A179" s="4" t="inlineStr">
        <is>
          <t xml:space="preserve">BQ</t>
        </is>
      </c>
      <c r="B179" s="0" t="inlineStr">
        <is>
          <t xml:space="preserve">Banque Fictive</t>
        </is>
      </c>
      <c r="C179" s="0" t="inlineStr">
        <is>
          <t xml:space="preserve">BQ00071</t>
        </is>
      </c>
      <c r="D179" s="10">
        <v>45719</v>
      </c>
      <c r="E179" s="4" t="inlineStr">
        <is>
          <t xml:space="preserve">512000</t>
        </is>
      </c>
      <c r="F179" s="0" t="inlineStr">
        <is>
          <t xml:space="preserve">Banque Fictive</t>
        </is>
      </c>
      <c r="G179" s="0" t="inlineStr">
        <is>
          <t xml:space="preserve">ENC-FA2025-0004</t>
        </is>
      </c>
      <c r="H179" s="0" t="inlineStr">
        <is>
          <t xml:space="preserve">Reglement client Agence Mobilis FA2025-0004</t>
        </is>
      </c>
      <c r="I179" s="8">
        <v>34109.22</v>
      </c>
      <c r="J179" s="8">
        <v>0</v>
      </c>
      <c r="K179" s="0"/>
      <c r="L179" s="0"/>
      <c r="M179" s="8">
        <f>I179-J179</f>
      </c>
      <c r="N179" s="0" t="inlineStr">
        <is>
          <t xml:space="preserve">2025-03</t>
        </is>
      </c>
      <c r="O179" s="0">
        <f>INDEX(Journaux!$E$5:$E$18,MATCH("2025|"&amp;A179,Journaux!$A$5:$A$18,0))</f>
      </c>
      <c r="P179" s="0">
        <f>INDEX(Comptes!$K$5:$K$42,MATCH(E179,Comptes!$A$5:$A$42,0))</f>
      </c>
      <c r="Q179" s="0" t="inlineStr">
        <is>
          <t xml:space="preserve">5</t>
        </is>
      </c>
    </row>
    <row r="180">
      <c r="A180" s="4" t="inlineStr">
        <is>
          <t xml:space="preserve">BQ</t>
        </is>
      </c>
      <c r="B180" s="0" t="inlineStr">
        <is>
          <t xml:space="preserve">Banque Fictive</t>
        </is>
      </c>
      <c r="C180" s="0" t="inlineStr">
        <is>
          <t xml:space="preserve">BQ00071</t>
        </is>
      </c>
      <c r="D180" s="10">
        <v>45719</v>
      </c>
      <c r="E180" s="4" t="inlineStr">
        <is>
          <t xml:space="preserve">411000</t>
        </is>
      </c>
      <c r="F180" s="0" t="inlineStr">
        <is>
          <t xml:space="preserve">Clients</t>
        </is>
      </c>
      <c r="G180" s="0" t="inlineStr">
        <is>
          <t xml:space="preserve">ENC-FA2025-0004</t>
        </is>
      </c>
      <c r="H180" s="0" t="inlineStr">
        <is>
          <t xml:space="preserve">Reglement client Agence Mobilis FA2025-0004</t>
        </is>
      </c>
      <c r="I180" s="8">
        <v>0</v>
      </c>
      <c r="J180" s="8">
        <v>34109.22</v>
      </c>
      <c r="K180" s="0" t="inlineStr">
        <is>
          <t xml:space="preserve">AAL</t>
        </is>
      </c>
      <c r="L180" s="0" t="inlineStr">
        <is>
          <t xml:space="preserve">Agence Mobilis</t>
        </is>
      </c>
      <c r="M180" s="8">
        <f>I180-J180</f>
      </c>
      <c r="N180" s="0" t="inlineStr">
        <is>
          <t xml:space="preserve">2025-03</t>
        </is>
      </c>
      <c r="O180" s="0">
        <f>INDEX(Journaux!$E$5:$E$18,MATCH("2025|"&amp;A180,Journaux!$A$5:$A$18,0))</f>
      </c>
      <c r="P180" s="0">
        <f>INDEX(Comptes!$K$5:$K$42,MATCH(E180,Comptes!$A$5:$A$42,0))</f>
      </c>
      <c r="Q180" s="0" t="inlineStr">
        <is>
          <t xml:space="preserve">4</t>
        </is>
      </c>
      <c r="R180" s="7" t="inlineStr">
        <is>
          <t xml:space="preserve">411000|C002</t>
        </is>
      </c>
    </row>
    <row r="181">
      <c r="A181" s="4" t="inlineStr">
        <is>
          <t xml:space="preserve">VT</t>
        </is>
      </c>
      <c r="B181" s="0" t="inlineStr">
        <is>
          <t xml:space="preserve">Journal des ventes</t>
        </is>
      </c>
      <c r="C181" s="0" t="inlineStr">
        <is>
          <t xml:space="preserve">VT00011</t>
        </is>
      </c>
      <c r="D181" s="10">
        <v>45719</v>
      </c>
      <c r="E181" s="4" t="inlineStr">
        <is>
          <t xml:space="preserve">411000</t>
        </is>
      </c>
      <c r="F181" s="0" t="inlineStr">
        <is>
          <t xml:space="preserve">Clients</t>
        </is>
      </c>
      <c r="G181" s="0" t="inlineStr">
        <is>
          <t xml:space="preserve">FA2025-0011</t>
        </is>
      </c>
      <c r="H181" s="0" t="inlineStr">
        <is>
          <t xml:space="preserve">Facture FA2025-0011 Hotel Les Tilleuls</t>
        </is>
      </c>
      <c r="I181" s="8">
        <v>34519.87</v>
      </c>
      <c r="J181" s="8">
        <v>0</v>
      </c>
      <c r="K181" s="0" t="inlineStr">
        <is>
          <t xml:space="preserve">AAS</t>
        </is>
      </c>
      <c r="L181" s="0" t="inlineStr">
        <is>
          <t xml:space="preserve">Hotel Les Tilleuls</t>
        </is>
      </c>
      <c r="M181" s="8">
        <f>I181-J181</f>
      </c>
      <c r="N181" s="0" t="inlineStr">
        <is>
          <t xml:space="preserve">2025-03</t>
        </is>
      </c>
      <c r="O181" s="0">
        <f>INDEX(Journaux!$E$5:$E$18,MATCH("2025|"&amp;A181,Journaux!$A$5:$A$18,0))</f>
      </c>
      <c r="P181" s="0">
        <f>INDEX(Comptes!$K$5:$K$42,MATCH(E181,Comptes!$A$5:$A$42,0))</f>
      </c>
      <c r="Q181" s="0" t="inlineStr">
        <is>
          <t xml:space="preserve">4</t>
        </is>
      </c>
      <c r="R181" s="7" t="inlineStr">
        <is>
          <t xml:space="preserve">411000|C001</t>
        </is>
      </c>
    </row>
    <row r="182">
      <c r="A182" s="4" t="inlineStr">
        <is>
          <t xml:space="preserve">VT</t>
        </is>
      </c>
      <c r="B182" s="0" t="inlineStr">
        <is>
          <t xml:space="preserve">Journal des ventes</t>
        </is>
      </c>
      <c r="C182" s="0" t="inlineStr">
        <is>
          <t xml:space="preserve">VT00011</t>
        </is>
      </c>
      <c r="D182" s="10">
        <v>45719</v>
      </c>
      <c r="E182" s="4" t="inlineStr">
        <is>
          <t xml:space="preserve">701000</t>
        </is>
      </c>
      <c r="F182" s="0" t="inlineStr">
        <is>
          <t xml:space="preserve">Ventes de produits finis</t>
        </is>
      </c>
      <c r="G182" s="0" t="inlineStr">
        <is>
          <t xml:space="preserve">FA2025-0011</t>
        </is>
      </c>
      <c r="H182" s="0" t="inlineStr">
        <is>
          <t xml:space="preserve">Facture FA2025-0011 Hotel Les Tilleuls</t>
        </is>
      </c>
      <c r="I182" s="8">
        <v>0</v>
      </c>
      <c r="J182" s="8">
        <v>28766.56</v>
      </c>
      <c r="K182" s="0"/>
      <c r="L182" s="0"/>
      <c r="M182" s="8">
        <f>I182-J182</f>
      </c>
      <c r="N182" s="0" t="inlineStr">
        <is>
          <t xml:space="preserve">2025-03</t>
        </is>
      </c>
      <c r="O182" s="0">
        <f>INDEX(Journaux!$E$5:$E$18,MATCH("2025|"&amp;A182,Journaux!$A$5:$A$18,0))</f>
      </c>
      <c r="P182" s="0">
        <f>INDEX(Comptes!$K$5:$K$42,MATCH(E182,Comptes!$A$5:$A$42,0))</f>
      </c>
      <c r="Q182" s="0" t="inlineStr">
        <is>
          <t xml:space="preserve">7</t>
        </is>
      </c>
    </row>
    <row r="183">
      <c r="A183" s="4" t="inlineStr">
        <is>
          <t xml:space="preserve">VT</t>
        </is>
      </c>
      <c r="B183" s="0" t="inlineStr">
        <is>
          <t xml:space="preserve">Journal des ventes</t>
        </is>
      </c>
      <c r="C183" s="0" t="inlineStr">
        <is>
          <t xml:space="preserve">VT00011</t>
        </is>
      </c>
      <c r="D183" s="10">
        <v>45719</v>
      </c>
      <c r="E183" s="4" t="inlineStr">
        <is>
          <t xml:space="preserve">445710</t>
        </is>
      </c>
      <c r="F183" s="0" t="inlineStr">
        <is>
          <t xml:space="preserve">TVA collectee</t>
        </is>
      </c>
      <c r="G183" s="0" t="inlineStr">
        <is>
          <t xml:space="preserve">FA2025-0011</t>
        </is>
      </c>
      <c r="H183" s="0" t="inlineStr">
        <is>
          <t xml:space="preserve">Facture FA2025-0011 Hotel Les Tilleuls</t>
        </is>
      </c>
      <c r="I183" s="8">
        <v>0</v>
      </c>
      <c r="J183" s="8">
        <v>5753.31</v>
      </c>
      <c r="K183" s="0"/>
      <c r="L183" s="0"/>
      <c r="M183" s="8">
        <f>I183-J183</f>
      </c>
      <c r="N183" s="0" t="inlineStr">
        <is>
          <t xml:space="preserve">2025-03</t>
        </is>
      </c>
      <c r="O183" s="0">
        <f>INDEX(Journaux!$E$5:$E$18,MATCH("2025|"&amp;A183,Journaux!$A$5:$A$18,0))</f>
      </c>
      <c r="P183" s="0">
        <f>INDEX(Comptes!$K$5:$K$42,MATCH(E183,Comptes!$A$5:$A$42,0))</f>
      </c>
      <c r="Q183" s="0" t="inlineStr">
        <is>
          <t xml:space="preserve">4</t>
        </is>
      </c>
    </row>
    <row r="184">
      <c r="A184" s="4" t="inlineStr">
        <is>
          <t xml:space="preserve">AC</t>
        </is>
      </c>
      <c r="B184" s="0" t="inlineStr">
        <is>
          <t xml:space="preserve">Journal des achats</t>
        </is>
      </c>
      <c r="C184" s="0" t="inlineStr">
        <is>
          <t xml:space="preserve">AC00016</t>
        </is>
      </c>
      <c r="D184" s="10">
        <v>45720</v>
      </c>
      <c r="E184" s="4" t="inlineStr">
        <is>
          <t xml:space="preserve">601000</t>
        </is>
      </c>
      <c r="F184" s="0" t="inlineStr">
        <is>
          <t xml:space="preserve">Achats de matieres premieres</t>
        </is>
      </c>
      <c r="G184" s="0" t="inlineStr">
        <is>
          <t xml:space="preserve">F002-2025033</t>
        </is>
      </c>
      <c r="H184" s="0" t="inlineStr">
        <is>
          <t xml:space="preserve">Facture Quincaillerie Pro Est F002-2025033</t>
        </is>
      </c>
      <c r="I184" s="8">
        <v>21160.13</v>
      </c>
      <c r="J184" s="8">
        <v>0</v>
      </c>
      <c r="K184" s="0"/>
      <c r="L184" s="0"/>
      <c r="M184" s="8">
        <f>I184-J184</f>
      </c>
      <c r="N184" s="0" t="inlineStr">
        <is>
          <t xml:space="preserve">2025-03</t>
        </is>
      </c>
      <c r="O184" s="0">
        <f>INDEX(Journaux!$E$5:$E$18,MATCH("2025|"&amp;A184,Journaux!$A$5:$A$18,0))</f>
      </c>
      <c r="P184" s="0">
        <f>INDEX(Comptes!$K$5:$K$42,MATCH(E184,Comptes!$A$5:$A$42,0))</f>
      </c>
      <c r="Q184" s="0" t="inlineStr">
        <is>
          <t xml:space="preserve">6</t>
        </is>
      </c>
    </row>
    <row r="185">
      <c r="A185" s="4" t="inlineStr">
        <is>
          <t xml:space="preserve">AC</t>
        </is>
      </c>
      <c r="B185" s="0" t="inlineStr">
        <is>
          <t xml:space="preserve">Journal des achats</t>
        </is>
      </c>
      <c r="C185" s="0" t="inlineStr">
        <is>
          <t xml:space="preserve">AC00016</t>
        </is>
      </c>
      <c r="D185" s="10">
        <v>45720</v>
      </c>
      <c r="E185" s="4" t="inlineStr">
        <is>
          <t xml:space="preserve">445660</t>
        </is>
      </c>
      <c r="F185" s="0" t="inlineStr">
        <is>
          <t xml:space="preserve">TVA deductible sur ABS</t>
        </is>
      </c>
      <c r="G185" s="0" t="inlineStr">
        <is>
          <t xml:space="preserve">F002-2025033</t>
        </is>
      </c>
      <c r="H185" s="0" t="inlineStr">
        <is>
          <t xml:space="preserve">Facture Quincaillerie Pro Est F002-2025033</t>
        </is>
      </c>
      <c r="I185" s="8">
        <v>4232.03</v>
      </c>
      <c r="J185" s="8">
        <v>0</v>
      </c>
      <c r="K185" s="0"/>
      <c r="L185" s="0"/>
      <c r="M185" s="8">
        <f>I185-J185</f>
      </c>
      <c r="N185" s="0" t="inlineStr">
        <is>
          <t xml:space="preserve">2025-03</t>
        </is>
      </c>
      <c r="O185" s="0">
        <f>INDEX(Journaux!$E$5:$E$18,MATCH("2025|"&amp;A185,Journaux!$A$5:$A$18,0))</f>
      </c>
      <c r="P185" s="0">
        <f>INDEX(Comptes!$K$5:$K$42,MATCH(E185,Comptes!$A$5:$A$42,0))</f>
      </c>
      <c r="Q185" s="0" t="inlineStr">
        <is>
          <t xml:space="preserve">4</t>
        </is>
      </c>
    </row>
    <row r="186">
      <c r="A186" s="4" t="inlineStr">
        <is>
          <t xml:space="preserve">AC</t>
        </is>
      </c>
      <c r="B186" s="0" t="inlineStr">
        <is>
          <t xml:space="preserve">Journal des achats</t>
        </is>
      </c>
      <c r="C186" s="0" t="inlineStr">
        <is>
          <t xml:space="preserve">AC00016</t>
        </is>
      </c>
      <c r="D186" s="10">
        <v>45720</v>
      </c>
      <c r="E186" s="4" t="inlineStr">
        <is>
          <t xml:space="preserve">401000</t>
        </is>
      </c>
      <c r="F186" s="0" t="inlineStr">
        <is>
          <t xml:space="preserve">Fournisseurs</t>
        </is>
      </c>
      <c r="G186" s="0" t="inlineStr">
        <is>
          <t xml:space="preserve">F002-2025033</t>
        </is>
      </c>
      <c r="H186" s="0" t="inlineStr">
        <is>
          <t xml:space="preserve">Facture Quincaillerie Pro Est F002-2025033</t>
        </is>
      </c>
      <c r="I186" s="8">
        <v>0</v>
      </c>
      <c r="J186" s="8">
        <v>25392.16</v>
      </c>
      <c r="K186" s="0" t="inlineStr">
        <is>
          <t xml:space="preserve">ABX</t>
        </is>
      </c>
      <c r="L186" s="0" t="inlineStr">
        <is>
          <t xml:space="preserve">Quincaillerie Pro Est</t>
        </is>
      </c>
      <c r="M186" s="8">
        <f>I186-J186</f>
      </c>
      <c r="N186" s="0" t="inlineStr">
        <is>
          <t xml:space="preserve">2025-03</t>
        </is>
      </c>
      <c r="O186" s="0">
        <f>INDEX(Journaux!$E$5:$E$18,MATCH("2025|"&amp;A186,Journaux!$A$5:$A$18,0))</f>
      </c>
      <c r="P186" s="0">
        <f>INDEX(Comptes!$K$5:$K$42,MATCH(E186,Comptes!$A$5:$A$42,0))</f>
      </c>
      <c r="Q186" s="0" t="inlineStr">
        <is>
          <t xml:space="preserve">4</t>
        </is>
      </c>
      <c r="R186" s="7" t="inlineStr">
        <is>
          <t xml:space="preserve">401000|F002</t>
        </is>
      </c>
    </row>
    <row r="187">
      <c r="A187" s="4" t="inlineStr">
        <is>
          <t xml:space="preserve">AC</t>
        </is>
      </c>
      <c r="B187" s="0" t="inlineStr">
        <is>
          <t xml:space="preserve">Journal des achats</t>
        </is>
      </c>
      <c r="C187" s="0" t="inlineStr">
        <is>
          <t xml:space="preserve">AC00017</t>
        </is>
      </c>
      <c r="D187" s="10">
        <v>45721</v>
      </c>
      <c r="E187" s="4" t="inlineStr">
        <is>
          <t xml:space="preserve">613200</t>
        </is>
      </c>
      <c r="F187" s="0" t="inlineStr">
        <is>
          <t xml:space="preserve">Locations immobilieres</t>
        </is>
      </c>
      <c r="G187" s="0" t="inlineStr">
        <is>
          <t xml:space="preserve">F004-202503</t>
        </is>
      </c>
      <c r="H187" s="0" t="inlineStr">
        <is>
          <t xml:space="preserve">Facture SCI Les Halles 2025-03</t>
        </is>
      </c>
      <c r="I187" s="8">
        <v>8500</v>
      </c>
      <c r="J187" s="8">
        <v>0</v>
      </c>
      <c r="K187" s="0"/>
      <c r="L187" s="0"/>
      <c r="M187" s="8">
        <f>I187-J187</f>
      </c>
      <c r="N187" s="0" t="inlineStr">
        <is>
          <t xml:space="preserve">2025-03</t>
        </is>
      </c>
      <c r="O187" s="0">
        <f>INDEX(Journaux!$E$5:$E$18,MATCH("2025|"&amp;A187,Journaux!$A$5:$A$18,0))</f>
      </c>
      <c r="P187" s="0">
        <f>INDEX(Comptes!$K$5:$K$42,MATCH(E187,Comptes!$A$5:$A$42,0))</f>
      </c>
      <c r="Q187" s="0" t="inlineStr">
        <is>
          <t xml:space="preserve">6</t>
        </is>
      </c>
    </row>
    <row r="188">
      <c r="A188" s="4" t="inlineStr">
        <is>
          <t xml:space="preserve">AC</t>
        </is>
      </c>
      <c r="B188" s="0" t="inlineStr">
        <is>
          <t xml:space="preserve">Journal des achats</t>
        </is>
      </c>
      <c r="C188" s="0" t="inlineStr">
        <is>
          <t xml:space="preserve">AC00017</t>
        </is>
      </c>
      <c r="D188" s="10">
        <v>45721</v>
      </c>
      <c r="E188" s="4" t="inlineStr">
        <is>
          <t xml:space="preserve">445660</t>
        </is>
      </c>
      <c r="F188" s="0" t="inlineStr">
        <is>
          <t xml:space="preserve">TVA deductible sur ABS</t>
        </is>
      </c>
      <c r="G188" s="0" t="inlineStr">
        <is>
          <t xml:space="preserve">F004-202503</t>
        </is>
      </c>
      <c r="H188" s="0" t="inlineStr">
        <is>
          <t xml:space="preserve">Facture SCI Les Halles 2025-03</t>
        </is>
      </c>
      <c r="I188" s="8">
        <v>1700</v>
      </c>
      <c r="J188" s="8">
        <v>0</v>
      </c>
      <c r="K188" s="0"/>
      <c r="L188" s="0"/>
      <c r="M188" s="8">
        <f>I188-J188</f>
      </c>
      <c r="N188" s="0" t="inlineStr">
        <is>
          <t xml:space="preserve">2025-03</t>
        </is>
      </c>
      <c r="O188" s="0">
        <f>INDEX(Journaux!$E$5:$E$18,MATCH("2025|"&amp;A188,Journaux!$A$5:$A$18,0))</f>
      </c>
      <c r="P188" s="0">
        <f>INDEX(Comptes!$K$5:$K$42,MATCH(E188,Comptes!$A$5:$A$42,0))</f>
      </c>
      <c r="Q188" s="0" t="inlineStr">
        <is>
          <t xml:space="preserve">4</t>
        </is>
      </c>
    </row>
    <row r="189">
      <c r="A189" s="4" t="inlineStr">
        <is>
          <t xml:space="preserve">AC</t>
        </is>
      </c>
      <c r="B189" s="0" t="inlineStr">
        <is>
          <t xml:space="preserve">Journal des achats</t>
        </is>
      </c>
      <c r="C189" s="0" t="inlineStr">
        <is>
          <t xml:space="preserve">AC00017</t>
        </is>
      </c>
      <c r="D189" s="10">
        <v>45721</v>
      </c>
      <c r="E189" s="4" t="inlineStr">
        <is>
          <t xml:space="preserve">401000</t>
        </is>
      </c>
      <c r="F189" s="0" t="inlineStr">
        <is>
          <t xml:space="preserve">Fournisseurs</t>
        </is>
      </c>
      <c r="G189" s="0" t="inlineStr">
        <is>
          <t xml:space="preserve">F004-202503</t>
        </is>
      </c>
      <c r="H189" s="0" t="inlineStr">
        <is>
          <t xml:space="preserve">Facture SCI Les Halles 2025-03</t>
        </is>
      </c>
      <c r="I189" s="8">
        <v>0</v>
      </c>
      <c r="J189" s="8">
        <v>10200</v>
      </c>
      <c r="K189" s="0" t="inlineStr">
        <is>
          <t xml:space="preserve">ABY</t>
        </is>
      </c>
      <c r="L189" s="0" t="inlineStr">
        <is>
          <t xml:space="preserve">SCI Les Halles</t>
        </is>
      </c>
      <c r="M189" s="8">
        <f>I189-J189</f>
      </c>
      <c r="N189" s="0" t="inlineStr">
        <is>
          <t xml:space="preserve">2025-03</t>
        </is>
      </c>
      <c r="O189" s="0">
        <f>INDEX(Journaux!$E$5:$E$18,MATCH("2025|"&amp;A189,Journaux!$A$5:$A$18,0))</f>
      </c>
      <c r="P189" s="0">
        <f>INDEX(Comptes!$K$5:$K$42,MATCH(E189,Comptes!$A$5:$A$42,0))</f>
      </c>
      <c r="Q189" s="0" t="inlineStr">
        <is>
          <t xml:space="preserve">4</t>
        </is>
      </c>
      <c r="R189" s="7" t="inlineStr">
        <is>
          <t xml:space="preserve">401000|F004</t>
        </is>
      </c>
    </row>
    <row r="190">
      <c r="A190" s="4" t="inlineStr">
        <is>
          <t xml:space="preserve">AC</t>
        </is>
      </c>
      <c r="B190" s="0" t="inlineStr">
        <is>
          <t xml:space="preserve">Journal des achats</t>
        </is>
      </c>
      <c r="C190" s="0" t="inlineStr">
        <is>
          <t xml:space="preserve">AC00018</t>
        </is>
      </c>
      <c r="D190" s="10">
        <v>45721</v>
      </c>
      <c r="E190" s="4" t="inlineStr">
        <is>
          <t xml:space="preserve">606100</t>
        </is>
      </c>
      <c r="F190" s="0" t="inlineStr">
        <is>
          <t xml:space="preserve">Fournitures non stockables energie</t>
        </is>
      </c>
      <c r="G190" s="0" t="inlineStr">
        <is>
          <t xml:space="preserve">F005-202503</t>
        </is>
      </c>
      <c r="H190" s="0" t="inlineStr">
        <is>
          <t xml:space="preserve">Facture Energie Plus 2025-03</t>
        </is>
      </c>
      <c r="I190" s="8">
        <v>2845.23</v>
      </c>
      <c r="J190" s="8">
        <v>0</v>
      </c>
      <c r="K190" s="0"/>
      <c r="L190" s="0"/>
      <c r="M190" s="8">
        <f>I190-J190</f>
      </c>
      <c r="N190" s="0" t="inlineStr">
        <is>
          <t xml:space="preserve">2025-03</t>
        </is>
      </c>
      <c r="O190" s="0">
        <f>INDEX(Journaux!$E$5:$E$18,MATCH("2025|"&amp;A190,Journaux!$A$5:$A$18,0))</f>
      </c>
      <c r="P190" s="0">
        <f>INDEX(Comptes!$K$5:$K$42,MATCH(E190,Comptes!$A$5:$A$42,0))</f>
      </c>
      <c r="Q190" s="0" t="inlineStr">
        <is>
          <t xml:space="preserve">6</t>
        </is>
      </c>
    </row>
    <row r="191">
      <c r="A191" s="4" t="inlineStr">
        <is>
          <t xml:space="preserve">AC</t>
        </is>
      </c>
      <c r="B191" s="0" t="inlineStr">
        <is>
          <t xml:space="preserve">Journal des achats</t>
        </is>
      </c>
      <c r="C191" s="0" t="inlineStr">
        <is>
          <t xml:space="preserve">AC00018</t>
        </is>
      </c>
      <c r="D191" s="10">
        <v>45721</v>
      </c>
      <c r="E191" s="4" t="inlineStr">
        <is>
          <t xml:space="preserve">445660</t>
        </is>
      </c>
      <c r="F191" s="0" t="inlineStr">
        <is>
          <t xml:space="preserve">TVA deductible sur ABS</t>
        </is>
      </c>
      <c r="G191" s="0" t="inlineStr">
        <is>
          <t xml:space="preserve">F005-202503</t>
        </is>
      </c>
      <c r="H191" s="0" t="inlineStr">
        <is>
          <t xml:space="preserve">Facture Energie Plus 2025-03</t>
        </is>
      </c>
      <c r="I191" s="8">
        <v>569.05</v>
      </c>
      <c r="J191" s="8">
        <v>0</v>
      </c>
      <c r="K191" s="0"/>
      <c r="L191" s="0"/>
      <c r="M191" s="8">
        <f>I191-J191</f>
      </c>
      <c r="N191" s="0" t="inlineStr">
        <is>
          <t xml:space="preserve">2025-03</t>
        </is>
      </c>
      <c r="O191" s="0">
        <f>INDEX(Journaux!$E$5:$E$18,MATCH("2025|"&amp;A191,Journaux!$A$5:$A$18,0))</f>
      </c>
      <c r="P191" s="0">
        <f>INDEX(Comptes!$K$5:$K$42,MATCH(E191,Comptes!$A$5:$A$42,0))</f>
      </c>
      <c r="Q191" s="0" t="inlineStr">
        <is>
          <t xml:space="preserve">4</t>
        </is>
      </c>
    </row>
    <row r="192">
      <c r="A192" s="4" t="inlineStr">
        <is>
          <t xml:space="preserve">AC</t>
        </is>
      </c>
      <c r="B192" s="0" t="inlineStr">
        <is>
          <t xml:space="preserve">Journal des achats</t>
        </is>
      </c>
      <c r="C192" s="0" t="inlineStr">
        <is>
          <t xml:space="preserve">AC00018</t>
        </is>
      </c>
      <c r="D192" s="10">
        <v>45721</v>
      </c>
      <c r="E192" s="4" t="inlineStr">
        <is>
          <t xml:space="preserve">401000</t>
        </is>
      </c>
      <c r="F192" s="0" t="inlineStr">
        <is>
          <t xml:space="preserve">Fournisseurs</t>
        </is>
      </c>
      <c r="G192" s="0" t="inlineStr">
        <is>
          <t xml:space="preserve">F005-202503</t>
        </is>
      </c>
      <c r="H192" s="0" t="inlineStr">
        <is>
          <t xml:space="preserve">Facture Energie Plus 2025-03</t>
        </is>
      </c>
      <c r="I192" s="8">
        <v>0</v>
      </c>
      <c r="J192" s="8">
        <v>3414.28</v>
      </c>
      <c r="K192" s="0" t="inlineStr">
        <is>
          <t xml:space="preserve">ABZ</t>
        </is>
      </c>
      <c r="L192" s="0" t="inlineStr">
        <is>
          <t xml:space="preserve">Energie Plus</t>
        </is>
      </c>
      <c r="M192" s="8">
        <f>I192-J192</f>
      </c>
      <c r="N192" s="0" t="inlineStr">
        <is>
          <t xml:space="preserve">2025-03</t>
        </is>
      </c>
      <c r="O192" s="0">
        <f>INDEX(Journaux!$E$5:$E$18,MATCH("2025|"&amp;A192,Journaux!$A$5:$A$18,0))</f>
      </c>
      <c r="P192" s="0">
        <f>INDEX(Comptes!$K$5:$K$42,MATCH(E192,Comptes!$A$5:$A$42,0))</f>
      </c>
      <c r="Q192" s="0" t="inlineStr">
        <is>
          <t xml:space="preserve">4</t>
        </is>
      </c>
      <c r="R192" s="7" t="inlineStr">
        <is>
          <t xml:space="preserve">401000|F005</t>
        </is>
      </c>
    </row>
    <row r="193">
      <c r="A193" s="4" t="inlineStr">
        <is>
          <t xml:space="preserve">AC</t>
        </is>
      </c>
      <c r="B193" s="0" t="inlineStr">
        <is>
          <t xml:space="preserve">Journal des achats</t>
        </is>
      </c>
      <c r="C193" s="0" t="inlineStr">
        <is>
          <t xml:space="preserve">AC00019</t>
        </is>
      </c>
      <c r="D193" s="10">
        <v>45721</v>
      </c>
      <c r="E193" s="4" t="inlineStr">
        <is>
          <t xml:space="preserve">626000</t>
        </is>
      </c>
      <c r="F193" s="0" t="inlineStr">
        <is>
          <t xml:space="preserve">Frais postaux et telecommunications</t>
        </is>
      </c>
      <c r="G193" s="0" t="inlineStr">
        <is>
          <t xml:space="preserve">F008-202503</t>
        </is>
      </c>
      <c r="H193" s="0" t="inlineStr">
        <is>
          <t xml:space="preserve">Facture Telecom Pro 2025-03</t>
        </is>
      </c>
      <c r="I193" s="8">
        <v>480</v>
      </c>
      <c r="J193" s="8">
        <v>0</v>
      </c>
      <c r="K193" s="0"/>
      <c r="L193" s="0"/>
      <c r="M193" s="8">
        <f>I193-J193</f>
      </c>
      <c r="N193" s="0" t="inlineStr">
        <is>
          <t xml:space="preserve">2025-03</t>
        </is>
      </c>
      <c r="O193" s="0">
        <f>INDEX(Journaux!$E$5:$E$18,MATCH("2025|"&amp;A193,Journaux!$A$5:$A$18,0))</f>
      </c>
      <c r="P193" s="0">
        <f>INDEX(Comptes!$K$5:$K$42,MATCH(E193,Comptes!$A$5:$A$42,0))</f>
      </c>
      <c r="Q193" s="0" t="inlineStr">
        <is>
          <t xml:space="preserve">6</t>
        </is>
      </c>
    </row>
    <row r="194">
      <c r="A194" s="4" t="inlineStr">
        <is>
          <t xml:space="preserve">AC</t>
        </is>
      </c>
      <c r="B194" s="0" t="inlineStr">
        <is>
          <t xml:space="preserve">Journal des achats</t>
        </is>
      </c>
      <c r="C194" s="0" t="inlineStr">
        <is>
          <t xml:space="preserve">AC00019</t>
        </is>
      </c>
      <c r="D194" s="10">
        <v>45721</v>
      </c>
      <c r="E194" s="4" t="inlineStr">
        <is>
          <t xml:space="preserve">445660</t>
        </is>
      </c>
      <c r="F194" s="0" t="inlineStr">
        <is>
          <t xml:space="preserve">TVA deductible sur ABS</t>
        </is>
      </c>
      <c r="G194" s="0" t="inlineStr">
        <is>
          <t xml:space="preserve">F008-202503</t>
        </is>
      </c>
      <c r="H194" s="0" t="inlineStr">
        <is>
          <t xml:space="preserve">Facture Telecom Pro 2025-03</t>
        </is>
      </c>
      <c r="I194" s="8">
        <v>96</v>
      </c>
      <c r="J194" s="8">
        <v>0</v>
      </c>
      <c r="K194" s="0"/>
      <c r="L194" s="0"/>
      <c r="M194" s="8">
        <f>I194-J194</f>
      </c>
      <c r="N194" s="0" t="inlineStr">
        <is>
          <t xml:space="preserve">2025-03</t>
        </is>
      </c>
      <c r="O194" s="0">
        <f>INDEX(Journaux!$E$5:$E$18,MATCH("2025|"&amp;A194,Journaux!$A$5:$A$18,0))</f>
      </c>
      <c r="P194" s="0">
        <f>INDEX(Comptes!$K$5:$K$42,MATCH(E194,Comptes!$A$5:$A$42,0))</f>
      </c>
      <c r="Q194" s="0" t="inlineStr">
        <is>
          <t xml:space="preserve">4</t>
        </is>
      </c>
    </row>
    <row r="195">
      <c r="A195" s="4" t="inlineStr">
        <is>
          <t xml:space="preserve">AC</t>
        </is>
      </c>
      <c r="B195" s="0" t="inlineStr">
        <is>
          <t xml:space="preserve">Journal des achats</t>
        </is>
      </c>
      <c r="C195" s="0" t="inlineStr">
        <is>
          <t xml:space="preserve">AC00019</t>
        </is>
      </c>
      <c r="D195" s="10">
        <v>45721</v>
      </c>
      <c r="E195" s="4" t="inlineStr">
        <is>
          <t xml:space="preserve">401000</t>
        </is>
      </c>
      <c r="F195" s="0" t="inlineStr">
        <is>
          <t xml:space="preserve">Fournisseurs</t>
        </is>
      </c>
      <c r="G195" s="0" t="inlineStr">
        <is>
          <t xml:space="preserve">F008-202503</t>
        </is>
      </c>
      <c r="H195" s="0" t="inlineStr">
        <is>
          <t xml:space="preserve">Facture Telecom Pro 2025-03</t>
        </is>
      </c>
      <c r="I195" s="8">
        <v>0</v>
      </c>
      <c r="J195" s="8">
        <v>576</v>
      </c>
      <c r="K195" s="0" t="inlineStr">
        <is>
          <t xml:space="preserve">ACA</t>
        </is>
      </c>
      <c r="L195" s="0" t="inlineStr">
        <is>
          <t xml:space="preserve">Telecom Pro</t>
        </is>
      </c>
      <c r="M195" s="8">
        <f>I195-J195</f>
      </c>
      <c r="N195" s="0" t="inlineStr">
        <is>
          <t xml:space="preserve">2025-03</t>
        </is>
      </c>
      <c r="O195" s="0">
        <f>INDEX(Journaux!$E$5:$E$18,MATCH("2025|"&amp;A195,Journaux!$A$5:$A$18,0))</f>
      </c>
      <c r="P195" s="0">
        <f>INDEX(Comptes!$K$5:$K$42,MATCH(E195,Comptes!$A$5:$A$42,0))</f>
      </c>
      <c r="Q195" s="0" t="inlineStr">
        <is>
          <t xml:space="preserve">4</t>
        </is>
      </c>
      <c r="R195" s="7" t="inlineStr">
        <is>
          <t xml:space="preserve">401000|F008</t>
        </is>
      </c>
    </row>
    <row r="196">
      <c r="A196" s="4" t="inlineStr">
        <is>
          <t xml:space="preserve">AC</t>
        </is>
      </c>
      <c r="B196" s="0" t="inlineStr">
        <is>
          <t xml:space="preserve">Journal des achats</t>
        </is>
      </c>
      <c r="C196" s="0" t="inlineStr">
        <is>
          <t xml:space="preserve">AC00020</t>
        </is>
      </c>
      <c r="D196" s="10">
        <v>45721</v>
      </c>
      <c r="E196" s="4" t="inlineStr">
        <is>
          <t xml:space="preserve">622600</t>
        </is>
      </c>
      <c r="F196" s="0" t="inlineStr">
        <is>
          <t xml:space="preserve">Honoraires</t>
        </is>
      </c>
      <c r="G196" s="0" t="inlineStr">
        <is>
          <t xml:space="preserve">F007-202503</t>
        </is>
      </c>
      <c r="H196" s="0" t="inlineStr">
        <is>
          <t xml:space="preserve">Facture Cabinet Comptable Exemple 2025-03</t>
        </is>
      </c>
      <c r="I196" s="8">
        <v>6000</v>
      </c>
      <c r="J196" s="8">
        <v>0</v>
      </c>
      <c r="K196" s="0"/>
      <c r="L196" s="0"/>
      <c r="M196" s="8">
        <f>I196-J196</f>
      </c>
      <c r="N196" s="0" t="inlineStr">
        <is>
          <t xml:space="preserve">2025-03</t>
        </is>
      </c>
      <c r="O196" s="0">
        <f>INDEX(Journaux!$E$5:$E$18,MATCH("2025|"&amp;A196,Journaux!$A$5:$A$18,0))</f>
      </c>
      <c r="P196" s="0">
        <f>INDEX(Comptes!$K$5:$K$42,MATCH(E196,Comptes!$A$5:$A$42,0))</f>
      </c>
      <c r="Q196" s="0" t="inlineStr">
        <is>
          <t xml:space="preserve">6</t>
        </is>
      </c>
    </row>
    <row r="197">
      <c r="A197" s="4" t="inlineStr">
        <is>
          <t xml:space="preserve">AC</t>
        </is>
      </c>
      <c r="B197" s="0" t="inlineStr">
        <is>
          <t xml:space="preserve">Journal des achats</t>
        </is>
      </c>
      <c r="C197" s="0" t="inlineStr">
        <is>
          <t xml:space="preserve">AC00020</t>
        </is>
      </c>
      <c r="D197" s="10">
        <v>45721</v>
      </c>
      <c r="E197" s="4" t="inlineStr">
        <is>
          <t xml:space="preserve">445660</t>
        </is>
      </c>
      <c r="F197" s="0" t="inlineStr">
        <is>
          <t xml:space="preserve">TVA deductible sur ABS</t>
        </is>
      </c>
      <c r="G197" s="0" t="inlineStr">
        <is>
          <t xml:space="preserve">F007-202503</t>
        </is>
      </c>
      <c r="H197" s="0" t="inlineStr">
        <is>
          <t xml:space="preserve">Facture Cabinet Comptable Exemple 2025-03</t>
        </is>
      </c>
      <c r="I197" s="8">
        <v>1200</v>
      </c>
      <c r="J197" s="8">
        <v>0</v>
      </c>
      <c r="K197" s="0"/>
      <c r="L197" s="0"/>
      <c r="M197" s="8">
        <f>I197-J197</f>
      </c>
      <c r="N197" s="0" t="inlineStr">
        <is>
          <t xml:space="preserve">2025-03</t>
        </is>
      </c>
      <c r="O197" s="0">
        <f>INDEX(Journaux!$E$5:$E$18,MATCH("2025|"&amp;A197,Journaux!$A$5:$A$18,0))</f>
      </c>
      <c r="P197" s="0">
        <f>INDEX(Comptes!$K$5:$K$42,MATCH(E197,Comptes!$A$5:$A$42,0))</f>
      </c>
      <c r="Q197" s="0" t="inlineStr">
        <is>
          <t xml:space="preserve">4</t>
        </is>
      </c>
    </row>
    <row r="198">
      <c r="A198" s="4" t="inlineStr">
        <is>
          <t xml:space="preserve">AC</t>
        </is>
      </c>
      <c r="B198" s="0" t="inlineStr">
        <is>
          <t xml:space="preserve">Journal des achats</t>
        </is>
      </c>
      <c r="C198" s="0" t="inlineStr">
        <is>
          <t xml:space="preserve">AC00020</t>
        </is>
      </c>
      <c r="D198" s="10">
        <v>45721</v>
      </c>
      <c r="E198" s="4" t="inlineStr">
        <is>
          <t xml:space="preserve">401000</t>
        </is>
      </c>
      <c r="F198" s="0" t="inlineStr">
        <is>
          <t xml:space="preserve">Fournisseurs</t>
        </is>
      </c>
      <c r="G198" s="0" t="inlineStr">
        <is>
          <t xml:space="preserve">F007-202503</t>
        </is>
      </c>
      <c r="H198" s="0" t="inlineStr">
        <is>
          <t xml:space="preserve">Facture Cabinet Comptable Exemple 2025-03</t>
        </is>
      </c>
      <c r="I198" s="8">
        <v>0</v>
      </c>
      <c r="J198" s="8">
        <v>7200</v>
      </c>
      <c r="K198" s="0" t="inlineStr">
        <is>
          <t xml:space="preserve">ACB</t>
        </is>
      </c>
      <c r="L198" s="0" t="inlineStr">
        <is>
          <t xml:space="preserve">Cabinet Comptable Exemple</t>
        </is>
      </c>
      <c r="M198" s="8">
        <f>I198-J198</f>
      </c>
      <c r="N198" s="0" t="inlineStr">
        <is>
          <t xml:space="preserve">2025-03</t>
        </is>
      </c>
      <c r="O198" s="0">
        <f>INDEX(Journaux!$E$5:$E$18,MATCH("2025|"&amp;A198,Journaux!$A$5:$A$18,0))</f>
      </c>
      <c r="P198" s="0">
        <f>INDEX(Comptes!$K$5:$K$42,MATCH(E198,Comptes!$A$5:$A$42,0))</f>
      </c>
      <c r="Q198" s="0" t="inlineStr">
        <is>
          <t xml:space="preserve">4</t>
        </is>
      </c>
      <c r="R198" s="7" t="inlineStr">
        <is>
          <t xml:space="preserve">401000|F007</t>
        </is>
      </c>
    </row>
    <row r="199">
      <c r="A199" s="4" t="inlineStr">
        <is>
          <t xml:space="preserve">BQ</t>
        </is>
      </c>
      <c r="B199" s="0" t="inlineStr">
        <is>
          <t xml:space="preserve">Banque Fictive</t>
        </is>
      </c>
      <c r="C199" s="0" t="inlineStr">
        <is>
          <t xml:space="preserve">BQ00130</t>
        </is>
      </c>
      <c r="D199" s="10">
        <v>45723</v>
      </c>
      <c r="E199" s="4" t="inlineStr">
        <is>
          <t xml:space="preserve">401000</t>
        </is>
      </c>
      <c r="F199" s="0" t="inlineStr">
        <is>
          <t xml:space="preserve">Fournisseurs</t>
        </is>
      </c>
      <c r="G199" s="0" t="inlineStr">
        <is>
          <t xml:space="preserve">DEC-F004-202502</t>
        </is>
      </c>
      <c r="H199" s="0" t="inlineStr">
        <is>
          <t xml:space="preserve">Reglement fournisseur SCI Les Halles F004-202502</t>
        </is>
      </c>
      <c r="I199" s="8">
        <v>10200</v>
      </c>
      <c r="J199" s="8">
        <v>0</v>
      </c>
      <c r="K199" s="0" t="inlineStr">
        <is>
          <t xml:space="preserve">ABS</t>
        </is>
      </c>
      <c r="L199" s="0" t="inlineStr">
        <is>
          <t xml:space="preserve">SCI Les Halles</t>
        </is>
      </c>
      <c r="M199" s="8">
        <f>I199-J199</f>
      </c>
      <c r="N199" s="0" t="inlineStr">
        <is>
          <t xml:space="preserve">2025-03</t>
        </is>
      </c>
      <c r="O199" s="0">
        <f>INDEX(Journaux!$E$5:$E$18,MATCH("2025|"&amp;A199,Journaux!$A$5:$A$18,0))</f>
      </c>
      <c r="P199" s="0">
        <f>INDEX(Comptes!$K$5:$K$42,MATCH(E199,Comptes!$A$5:$A$42,0))</f>
      </c>
      <c r="Q199" s="0" t="inlineStr">
        <is>
          <t xml:space="preserve">4</t>
        </is>
      </c>
      <c r="R199" s="7" t="inlineStr">
        <is>
          <t xml:space="preserve">401000|F004</t>
        </is>
      </c>
    </row>
    <row r="200">
      <c r="A200" s="4" t="inlineStr">
        <is>
          <t xml:space="preserve">BQ</t>
        </is>
      </c>
      <c r="B200" s="0" t="inlineStr">
        <is>
          <t xml:space="preserve">Banque Fictive</t>
        </is>
      </c>
      <c r="C200" s="0" t="inlineStr">
        <is>
          <t xml:space="preserve">BQ00130</t>
        </is>
      </c>
      <c r="D200" s="10">
        <v>45723</v>
      </c>
      <c r="E200" s="4" t="inlineStr">
        <is>
          <t xml:space="preserve">512000</t>
        </is>
      </c>
      <c r="F200" s="0" t="inlineStr">
        <is>
          <t xml:space="preserve">Banque Fictive</t>
        </is>
      </c>
      <c r="G200" s="0" t="inlineStr">
        <is>
          <t xml:space="preserve">DEC-F004-202502</t>
        </is>
      </c>
      <c r="H200" s="0" t="inlineStr">
        <is>
          <t xml:space="preserve">Reglement fournisseur SCI Les Halles F004-202502</t>
        </is>
      </c>
      <c r="I200" s="8">
        <v>0</v>
      </c>
      <c r="J200" s="8">
        <v>10200</v>
      </c>
      <c r="K200" s="0"/>
      <c r="L200" s="0"/>
      <c r="M200" s="8">
        <f>I200-J200</f>
      </c>
      <c r="N200" s="0" t="inlineStr">
        <is>
          <t xml:space="preserve">2025-03</t>
        </is>
      </c>
      <c r="O200" s="0">
        <f>INDEX(Journaux!$E$5:$E$18,MATCH("2025|"&amp;A200,Journaux!$A$5:$A$18,0))</f>
      </c>
      <c r="P200" s="0">
        <f>INDEX(Comptes!$K$5:$K$42,MATCH(E200,Comptes!$A$5:$A$42,0))</f>
      </c>
      <c r="Q200" s="0" t="inlineStr">
        <is>
          <t xml:space="preserve">5</t>
        </is>
      </c>
    </row>
    <row r="201">
      <c r="A201" s="4" t="inlineStr">
        <is>
          <t xml:space="preserve">BQ</t>
        </is>
      </c>
      <c r="B201" s="0" t="inlineStr">
        <is>
          <t xml:space="preserve">Banque Fictive</t>
        </is>
      </c>
      <c r="C201" s="0" t="inlineStr">
        <is>
          <t xml:space="preserve">BQ00131</t>
        </is>
      </c>
      <c r="D201" s="10">
        <v>45723</v>
      </c>
      <c r="E201" s="4" t="inlineStr">
        <is>
          <t xml:space="preserve">401000</t>
        </is>
      </c>
      <c r="F201" s="0" t="inlineStr">
        <is>
          <t xml:space="preserve">Fournisseurs</t>
        </is>
      </c>
      <c r="G201" s="0" t="inlineStr">
        <is>
          <t xml:space="preserve">DEC-F005-202502</t>
        </is>
      </c>
      <c r="H201" s="0" t="inlineStr">
        <is>
          <t xml:space="preserve">Reglement fournisseur Energie Plus F005-202502</t>
        </is>
      </c>
      <c r="I201" s="8">
        <v>3995.66</v>
      </c>
      <c r="J201" s="8">
        <v>0</v>
      </c>
      <c r="K201" s="0" t="inlineStr">
        <is>
          <t xml:space="preserve">ABT</t>
        </is>
      </c>
      <c r="L201" s="0" t="inlineStr">
        <is>
          <t xml:space="preserve">Energie Plus</t>
        </is>
      </c>
      <c r="M201" s="8">
        <f>I201-J201</f>
      </c>
      <c r="N201" s="0" t="inlineStr">
        <is>
          <t xml:space="preserve">2025-03</t>
        </is>
      </c>
      <c r="O201" s="0">
        <f>INDEX(Journaux!$E$5:$E$18,MATCH("2025|"&amp;A201,Journaux!$A$5:$A$18,0))</f>
      </c>
      <c r="P201" s="0">
        <f>INDEX(Comptes!$K$5:$K$42,MATCH(E201,Comptes!$A$5:$A$42,0))</f>
      </c>
      <c r="Q201" s="0" t="inlineStr">
        <is>
          <t xml:space="preserve">4</t>
        </is>
      </c>
      <c r="R201" s="7" t="inlineStr">
        <is>
          <t xml:space="preserve">401000|F005</t>
        </is>
      </c>
    </row>
    <row r="202">
      <c r="A202" s="4" t="inlineStr">
        <is>
          <t xml:space="preserve">BQ</t>
        </is>
      </c>
      <c r="B202" s="0" t="inlineStr">
        <is>
          <t xml:space="preserve">Banque Fictive</t>
        </is>
      </c>
      <c r="C202" s="0" t="inlineStr">
        <is>
          <t xml:space="preserve">BQ00131</t>
        </is>
      </c>
      <c r="D202" s="10">
        <v>45723</v>
      </c>
      <c r="E202" s="4" t="inlineStr">
        <is>
          <t xml:space="preserve">512000</t>
        </is>
      </c>
      <c r="F202" s="0" t="inlineStr">
        <is>
          <t xml:space="preserve">Banque Fictive</t>
        </is>
      </c>
      <c r="G202" s="0" t="inlineStr">
        <is>
          <t xml:space="preserve">DEC-F005-202502</t>
        </is>
      </c>
      <c r="H202" s="0" t="inlineStr">
        <is>
          <t xml:space="preserve">Reglement fournisseur Energie Plus F005-202502</t>
        </is>
      </c>
      <c r="I202" s="8">
        <v>0</v>
      </c>
      <c r="J202" s="8">
        <v>3995.66</v>
      </c>
      <c r="K202" s="0"/>
      <c r="L202" s="0"/>
      <c r="M202" s="8">
        <f>I202-J202</f>
      </c>
      <c r="N202" s="0" t="inlineStr">
        <is>
          <t xml:space="preserve">2025-03</t>
        </is>
      </c>
      <c r="O202" s="0">
        <f>INDEX(Journaux!$E$5:$E$18,MATCH("2025|"&amp;A202,Journaux!$A$5:$A$18,0))</f>
      </c>
      <c r="P202" s="0">
        <f>INDEX(Comptes!$K$5:$K$42,MATCH(E202,Comptes!$A$5:$A$42,0))</f>
      </c>
      <c r="Q202" s="0" t="inlineStr">
        <is>
          <t xml:space="preserve">5</t>
        </is>
      </c>
    </row>
    <row r="203">
      <c r="A203" s="4" t="inlineStr">
        <is>
          <t xml:space="preserve">BQ</t>
        </is>
      </c>
      <c r="B203" s="0" t="inlineStr">
        <is>
          <t xml:space="preserve">Banque Fictive</t>
        </is>
      </c>
      <c r="C203" s="0" t="inlineStr">
        <is>
          <t xml:space="preserve">BQ00132</t>
        </is>
      </c>
      <c r="D203" s="10">
        <v>45723</v>
      </c>
      <c r="E203" s="4" t="inlineStr">
        <is>
          <t xml:space="preserve">401000</t>
        </is>
      </c>
      <c r="F203" s="0" t="inlineStr">
        <is>
          <t xml:space="preserve">Fournisseurs</t>
        </is>
      </c>
      <c r="G203" s="0" t="inlineStr">
        <is>
          <t xml:space="preserve">DEC-F008-202502</t>
        </is>
      </c>
      <c r="H203" s="0" t="inlineStr">
        <is>
          <t xml:space="preserve">Reglement fournisseur Telecom Pro F008-202502</t>
        </is>
      </c>
      <c r="I203" s="8">
        <v>576</v>
      </c>
      <c r="J203" s="8">
        <v>0</v>
      </c>
      <c r="K203" s="0" t="inlineStr">
        <is>
          <t xml:space="preserve">ABU</t>
        </is>
      </c>
      <c r="L203" s="0" t="inlineStr">
        <is>
          <t xml:space="preserve">Telecom Pro</t>
        </is>
      </c>
      <c r="M203" s="8">
        <f>I203-J203</f>
      </c>
      <c r="N203" s="0" t="inlineStr">
        <is>
          <t xml:space="preserve">2025-03</t>
        </is>
      </c>
      <c r="O203" s="0">
        <f>INDEX(Journaux!$E$5:$E$18,MATCH("2025|"&amp;A203,Journaux!$A$5:$A$18,0))</f>
      </c>
      <c r="P203" s="0">
        <f>INDEX(Comptes!$K$5:$K$42,MATCH(E203,Comptes!$A$5:$A$42,0))</f>
      </c>
      <c r="Q203" s="0" t="inlineStr">
        <is>
          <t xml:space="preserve">4</t>
        </is>
      </c>
      <c r="R203" s="7" t="inlineStr">
        <is>
          <t xml:space="preserve">401000|F008</t>
        </is>
      </c>
    </row>
    <row r="204">
      <c r="A204" s="4" t="inlineStr">
        <is>
          <t xml:space="preserve">BQ</t>
        </is>
      </c>
      <c r="B204" s="0" t="inlineStr">
        <is>
          <t xml:space="preserve">Banque Fictive</t>
        </is>
      </c>
      <c r="C204" s="0" t="inlineStr">
        <is>
          <t xml:space="preserve">BQ00132</t>
        </is>
      </c>
      <c r="D204" s="10">
        <v>45723</v>
      </c>
      <c r="E204" s="4" t="inlineStr">
        <is>
          <t xml:space="preserve">512000</t>
        </is>
      </c>
      <c r="F204" s="0" t="inlineStr">
        <is>
          <t xml:space="preserve">Banque Fictive</t>
        </is>
      </c>
      <c r="G204" s="0" t="inlineStr">
        <is>
          <t xml:space="preserve">DEC-F008-202502</t>
        </is>
      </c>
      <c r="H204" s="0" t="inlineStr">
        <is>
          <t xml:space="preserve">Reglement fournisseur Telecom Pro F008-202502</t>
        </is>
      </c>
      <c r="I204" s="8">
        <v>0</v>
      </c>
      <c r="J204" s="8">
        <v>576</v>
      </c>
      <c r="K204" s="0"/>
      <c r="L204" s="0"/>
      <c r="M204" s="8">
        <f>I204-J204</f>
      </c>
      <c r="N204" s="0" t="inlineStr">
        <is>
          <t xml:space="preserve">2025-03</t>
        </is>
      </c>
      <c r="O204" s="0">
        <f>INDEX(Journaux!$E$5:$E$18,MATCH("2025|"&amp;A204,Journaux!$A$5:$A$18,0))</f>
      </c>
      <c r="P204" s="0">
        <f>INDEX(Comptes!$K$5:$K$42,MATCH(E204,Comptes!$A$5:$A$42,0))</f>
      </c>
      <c r="Q204" s="0" t="inlineStr">
        <is>
          <t xml:space="preserve">5</t>
        </is>
      </c>
    </row>
    <row r="205">
      <c r="A205" s="4" t="inlineStr">
        <is>
          <t xml:space="preserve">BQ</t>
        </is>
      </c>
      <c r="B205" s="0" t="inlineStr">
        <is>
          <t xml:space="preserve">Banque Fictive</t>
        </is>
      </c>
      <c r="C205" s="0" t="inlineStr">
        <is>
          <t xml:space="preserve">BQ00008</t>
        </is>
      </c>
      <c r="D205" s="10">
        <v>45726</v>
      </c>
      <c r="E205" s="4" t="inlineStr">
        <is>
          <t xml:space="preserve">164000</t>
        </is>
      </c>
      <c r="F205" s="0" t="inlineStr">
        <is>
          <t xml:space="preserve">Emprunts aupres des etablissements de credit</t>
        </is>
      </c>
      <c r="G205" s="0" t="inlineStr">
        <is>
          <t xml:space="preserve">ECH202503</t>
        </is>
      </c>
      <c r="H205" s="0" t="inlineStr">
        <is>
          <t xml:space="preserve">Echeance emprunt 03/2025</t>
        </is>
      </c>
      <c r="I205" s="8">
        <v>2000</v>
      </c>
      <c r="J205" s="8">
        <v>0</v>
      </c>
      <c r="K205" s="0"/>
      <c r="L205" s="0"/>
      <c r="M205" s="8">
        <f>I205-J205</f>
      </c>
      <c r="N205" s="0" t="inlineStr">
        <is>
          <t xml:space="preserve">2025-03</t>
        </is>
      </c>
      <c r="O205" s="0">
        <f>INDEX(Journaux!$E$5:$E$18,MATCH("2025|"&amp;A205,Journaux!$A$5:$A$18,0))</f>
      </c>
      <c r="P205" s="0">
        <f>INDEX(Comptes!$K$5:$K$42,MATCH(E205,Comptes!$A$5:$A$42,0))</f>
      </c>
      <c r="Q205" s="0" t="inlineStr">
        <is>
          <t xml:space="preserve">1</t>
        </is>
      </c>
    </row>
    <row r="206">
      <c r="A206" s="4" t="inlineStr">
        <is>
          <t xml:space="preserve">BQ</t>
        </is>
      </c>
      <c r="B206" s="0" t="inlineStr">
        <is>
          <t xml:space="preserve">Banque Fictive</t>
        </is>
      </c>
      <c r="C206" s="0" t="inlineStr">
        <is>
          <t xml:space="preserve">BQ00008</t>
        </is>
      </c>
      <c r="D206" s="10">
        <v>45726</v>
      </c>
      <c r="E206" s="4" t="inlineStr">
        <is>
          <t xml:space="preserve">661100</t>
        </is>
      </c>
      <c r="F206" s="0" t="inlineStr">
        <is>
          <t xml:space="preserve">Interets des emprunts</t>
        </is>
      </c>
      <c r="G206" s="0" t="inlineStr">
        <is>
          <t xml:space="preserve">ECH202503</t>
        </is>
      </c>
      <c r="H206" s="0" t="inlineStr">
        <is>
          <t xml:space="preserve">Echeance emprunt 03/2025</t>
        </is>
      </c>
      <c r="I206" s="8">
        <v>206.67</v>
      </c>
      <c r="J206" s="8">
        <v>0</v>
      </c>
      <c r="K206" s="0"/>
      <c r="L206" s="0"/>
      <c r="M206" s="8">
        <f>I206-J206</f>
      </c>
      <c r="N206" s="0" t="inlineStr">
        <is>
          <t xml:space="preserve">2025-03</t>
        </is>
      </c>
      <c r="O206" s="0">
        <f>INDEX(Journaux!$E$5:$E$18,MATCH("2025|"&amp;A206,Journaux!$A$5:$A$18,0))</f>
      </c>
      <c r="P206" s="0">
        <f>INDEX(Comptes!$K$5:$K$42,MATCH(E206,Comptes!$A$5:$A$42,0))</f>
      </c>
      <c r="Q206" s="0" t="inlineStr">
        <is>
          <t xml:space="preserve">6</t>
        </is>
      </c>
    </row>
    <row r="207">
      <c r="A207" s="4" t="inlineStr">
        <is>
          <t xml:space="preserve">BQ</t>
        </is>
      </c>
      <c r="B207" s="0" t="inlineStr">
        <is>
          <t xml:space="preserve">Banque Fictive</t>
        </is>
      </c>
      <c r="C207" s="0" t="inlineStr">
        <is>
          <t xml:space="preserve">BQ00008</t>
        </is>
      </c>
      <c r="D207" s="10">
        <v>45726</v>
      </c>
      <c r="E207" s="4" t="inlineStr">
        <is>
          <t xml:space="preserve">512000</t>
        </is>
      </c>
      <c r="F207" s="0" t="inlineStr">
        <is>
          <t xml:space="preserve">Banque Fictive</t>
        </is>
      </c>
      <c r="G207" s="0" t="inlineStr">
        <is>
          <t xml:space="preserve">ECH202503</t>
        </is>
      </c>
      <c r="H207" s="0" t="inlineStr">
        <is>
          <t xml:space="preserve">Echeance emprunt 03/2025</t>
        </is>
      </c>
      <c r="I207" s="8">
        <v>0</v>
      </c>
      <c r="J207" s="8">
        <v>2206.67</v>
      </c>
      <c r="K207" s="0"/>
      <c r="L207" s="0"/>
      <c r="M207" s="8">
        <f>I207-J207</f>
      </c>
      <c r="N207" s="0" t="inlineStr">
        <is>
          <t xml:space="preserve">2025-03</t>
        </is>
      </c>
      <c r="O207" s="0">
        <f>INDEX(Journaux!$E$5:$E$18,MATCH("2025|"&amp;A207,Journaux!$A$5:$A$18,0))</f>
      </c>
      <c r="P207" s="0">
        <f>INDEX(Comptes!$K$5:$K$42,MATCH(E207,Comptes!$A$5:$A$42,0))</f>
      </c>
      <c r="Q207" s="0" t="inlineStr">
        <is>
          <t xml:space="preserve">5</t>
        </is>
      </c>
    </row>
    <row r="208">
      <c r="A208" s="4" t="inlineStr">
        <is>
          <t xml:space="preserve">BQ</t>
        </is>
      </c>
      <c r="B208" s="0" t="inlineStr">
        <is>
          <t xml:space="preserve">Banque Fictive</t>
        </is>
      </c>
      <c r="C208" s="0" t="inlineStr">
        <is>
          <t xml:space="preserve">BQ00069</t>
        </is>
      </c>
      <c r="D208" s="10">
        <v>45726</v>
      </c>
      <c r="E208" s="4" t="inlineStr">
        <is>
          <t xml:space="preserve">512000</t>
        </is>
      </c>
      <c r="F208" s="0" t="inlineStr">
        <is>
          <t xml:space="preserve">Banque Fictive</t>
        </is>
      </c>
      <c r="G208" s="0" t="inlineStr">
        <is>
          <t xml:space="preserve">ENC-FA2025-0002</t>
        </is>
      </c>
      <c r="H208" s="0" t="inlineStr">
        <is>
          <t xml:space="preserve">Reglement client Agence Mobilis FA2025-0002</t>
        </is>
      </c>
      <c r="I208" s="8">
        <v>36305.42</v>
      </c>
      <c r="J208" s="8">
        <v>0</v>
      </c>
      <c r="K208" s="0"/>
      <c r="L208" s="0"/>
      <c r="M208" s="8">
        <f>I208-J208</f>
      </c>
      <c r="N208" s="0" t="inlineStr">
        <is>
          <t xml:space="preserve">2025-03</t>
        </is>
      </c>
      <c r="O208" s="0">
        <f>INDEX(Journaux!$E$5:$E$18,MATCH("2025|"&amp;A208,Journaux!$A$5:$A$18,0))</f>
      </c>
      <c r="P208" s="0">
        <f>INDEX(Comptes!$K$5:$K$42,MATCH(E208,Comptes!$A$5:$A$42,0))</f>
      </c>
      <c r="Q208" s="0" t="inlineStr">
        <is>
          <t xml:space="preserve">5</t>
        </is>
      </c>
    </row>
    <row r="209">
      <c r="A209" s="4" t="inlineStr">
        <is>
          <t xml:space="preserve">BQ</t>
        </is>
      </c>
      <c r="B209" s="0" t="inlineStr">
        <is>
          <t xml:space="preserve">Banque Fictive</t>
        </is>
      </c>
      <c r="C209" s="0" t="inlineStr">
        <is>
          <t xml:space="preserve">BQ00069</t>
        </is>
      </c>
      <c r="D209" s="10">
        <v>45726</v>
      </c>
      <c r="E209" s="4" t="inlineStr">
        <is>
          <t xml:space="preserve">411000</t>
        </is>
      </c>
      <c r="F209" s="0" t="inlineStr">
        <is>
          <t xml:space="preserve">Clients</t>
        </is>
      </c>
      <c r="G209" s="0" t="inlineStr">
        <is>
          <t xml:space="preserve">ENC-FA2025-0002</t>
        </is>
      </c>
      <c r="H209" s="0" t="inlineStr">
        <is>
          <t xml:space="preserve">Reglement client Agence Mobilis FA2025-0002</t>
        </is>
      </c>
      <c r="I209" s="8">
        <v>0</v>
      </c>
      <c r="J209" s="8">
        <v>36305.42</v>
      </c>
      <c r="K209" s="0" t="inlineStr">
        <is>
          <t xml:space="preserve">AAJ</t>
        </is>
      </c>
      <c r="L209" s="0" t="inlineStr">
        <is>
          <t xml:space="preserve">Agence Mobilis</t>
        </is>
      </c>
      <c r="M209" s="8">
        <f>I209-J209</f>
      </c>
      <c r="N209" s="0" t="inlineStr">
        <is>
          <t xml:space="preserve">2025-03</t>
        </is>
      </c>
      <c r="O209" s="0">
        <f>INDEX(Journaux!$E$5:$E$18,MATCH("2025|"&amp;A209,Journaux!$A$5:$A$18,0))</f>
      </c>
      <c r="P209" s="0">
        <f>INDEX(Comptes!$K$5:$K$42,MATCH(E209,Comptes!$A$5:$A$42,0))</f>
      </c>
      <c r="Q209" s="0" t="inlineStr">
        <is>
          <t xml:space="preserve">4</t>
        </is>
      </c>
      <c r="R209" s="7" t="inlineStr">
        <is>
          <t xml:space="preserve">411000|C002</t>
        </is>
      </c>
    </row>
    <row r="210">
      <c r="A210" s="4" t="inlineStr">
        <is>
          <t xml:space="preserve">AC</t>
        </is>
      </c>
      <c r="B210" s="0" t="inlineStr">
        <is>
          <t xml:space="preserve">Journal des achats</t>
        </is>
      </c>
      <c r="C210" s="0" t="inlineStr">
        <is>
          <t xml:space="preserve">AC00015</t>
        </is>
      </c>
      <c r="D210" s="10">
        <v>45730</v>
      </c>
      <c r="E210" s="4" t="inlineStr">
        <is>
          <t xml:space="preserve">601000</t>
        </is>
      </c>
      <c r="F210" s="0" t="inlineStr">
        <is>
          <t xml:space="preserve">Achats de matieres premieres</t>
        </is>
      </c>
      <c r="G210" s="0" t="inlineStr">
        <is>
          <t xml:space="preserve">F002-2025032</t>
        </is>
      </c>
      <c r="H210" s="0" t="inlineStr">
        <is>
          <t xml:space="preserve">Facture Quincaillerie Pro Est F002-2025032</t>
        </is>
      </c>
      <c r="I210" s="8">
        <v>20579.22</v>
      </c>
      <c r="J210" s="8">
        <v>0</v>
      </c>
      <c r="K210" s="0"/>
      <c r="L210" s="0"/>
      <c r="M210" s="8">
        <f>I210-J210</f>
      </c>
      <c r="N210" s="0" t="inlineStr">
        <is>
          <t xml:space="preserve">2025-03</t>
        </is>
      </c>
      <c r="O210" s="0">
        <f>INDEX(Journaux!$E$5:$E$18,MATCH("2025|"&amp;A210,Journaux!$A$5:$A$18,0))</f>
      </c>
      <c r="P210" s="0">
        <f>INDEX(Comptes!$K$5:$K$42,MATCH(E210,Comptes!$A$5:$A$42,0))</f>
      </c>
      <c r="Q210" s="0" t="inlineStr">
        <is>
          <t xml:space="preserve">6</t>
        </is>
      </c>
    </row>
    <row r="211">
      <c r="A211" s="4" t="inlineStr">
        <is>
          <t xml:space="preserve">AC</t>
        </is>
      </c>
      <c r="B211" s="0" t="inlineStr">
        <is>
          <t xml:space="preserve">Journal des achats</t>
        </is>
      </c>
      <c r="C211" s="0" t="inlineStr">
        <is>
          <t xml:space="preserve">AC00015</t>
        </is>
      </c>
      <c r="D211" s="10">
        <v>45730</v>
      </c>
      <c r="E211" s="4" t="inlineStr">
        <is>
          <t xml:space="preserve">445660</t>
        </is>
      </c>
      <c r="F211" s="0" t="inlineStr">
        <is>
          <t xml:space="preserve">TVA deductible sur ABS</t>
        </is>
      </c>
      <c r="G211" s="0" t="inlineStr">
        <is>
          <t xml:space="preserve">F002-2025032</t>
        </is>
      </c>
      <c r="H211" s="0" t="inlineStr">
        <is>
          <t xml:space="preserve">Facture Quincaillerie Pro Est F002-2025032</t>
        </is>
      </c>
      <c r="I211" s="8">
        <v>4115.84</v>
      </c>
      <c r="J211" s="8">
        <v>0</v>
      </c>
      <c r="K211" s="0"/>
      <c r="L211" s="0"/>
      <c r="M211" s="8">
        <f>I211-J211</f>
      </c>
      <c r="N211" s="0" t="inlineStr">
        <is>
          <t xml:space="preserve">2025-03</t>
        </is>
      </c>
      <c r="O211" s="0">
        <f>INDEX(Journaux!$E$5:$E$18,MATCH("2025|"&amp;A211,Journaux!$A$5:$A$18,0))</f>
      </c>
      <c r="P211" s="0">
        <f>INDEX(Comptes!$K$5:$K$42,MATCH(E211,Comptes!$A$5:$A$42,0))</f>
      </c>
      <c r="Q211" s="0" t="inlineStr">
        <is>
          <t xml:space="preserve">4</t>
        </is>
      </c>
    </row>
    <row r="212">
      <c r="A212" s="4" t="inlineStr">
        <is>
          <t xml:space="preserve">AC</t>
        </is>
      </c>
      <c r="B212" s="0" t="inlineStr">
        <is>
          <t xml:space="preserve">Journal des achats</t>
        </is>
      </c>
      <c r="C212" s="0" t="inlineStr">
        <is>
          <t xml:space="preserve">AC00015</t>
        </is>
      </c>
      <c r="D212" s="10">
        <v>45730</v>
      </c>
      <c r="E212" s="4" t="inlineStr">
        <is>
          <t xml:space="preserve">401000</t>
        </is>
      </c>
      <c r="F212" s="0" t="inlineStr">
        <is>
          <t xml:space="preserve">Fournisseurs</t>
        </is>
      </c>
      <c r="G212" s="0" t="inlineStr">
        <is>
          <t xml:space="preserve">F002-2025032</t>
        </is>
      </c>
      <c r="H212" s="0" t="inlineStr">
        <is>
          <t xml:space="preserve">Facture Quincaillerie Pro Est F002-2025032</t>
        </is>
      </c>
      <c r="I212" s="8">
        <v>0</v>
      </c>
      <c r="J212" s="8">
        <v>24695.06</v>
      </c>
      <c r="K212" s="0" t="inlineStr">
        <is>
          <t xml:space="preserve">ABW</t>
        </is>
      </c>
      <c r="L212" s="0" t="inlineStr">
        <is>
          <t xml:space="preserve">Quincaillerie Pro Est</t>
        </is>
      </c>
      <c r="M212" s="8">
        <f>I212-J212</f>
      </c>
      <c r="N212" s="0" t="inlineStr">
        <is>
          <t xml:space="preserve">2025-03</t>
        </is>
      </c>
      <c r="O212" s="0">
        <f>INDEX(Journaux!$E$5:$E$18,MATCH("2025|"&amp;A212,Journaux!$A$5:$A$18,0))</f>
      </c>
      <c r="P212" s="0">
        <f>INDEX(Comptes!$K$5:$K$42,MATCH(E212,Comptes!$A$5:$A$42,0))</f>
      </c>
      <c r="Q212" s="0" t="inlineStr">
        <is>
          <t xml:space="preserve">4</t>
        </is>
      </c>
      <c r="R212" s="7" t="inlineStr">
        <is>
          <t xml:space="preserve">401000|F002</t>
        </is>
      </c>
    </row>
    <row r="213">
      <c r="A213" s="4" t="inlineStr">
        <is>
          <t xml:space="preserve">BQ</t>
        </is>
      </c>
      <c r="B213" s="0" t="inlineStr">
        <is>
          <t xml:space="preserve">Banque Fictive</t>
        </is>
      </c>
      <c r="C213" s="0" t="inlineStr">
        <is>
          <t xml:space="preserve">BQ00042</t>
        </is>
      </c>
      <c r="D213" s="10">
        <v>45731</v>
      </c>
      <c r="E213" s="4" t="inlineStr">
        <is>
          <t xml:space="preserve">431000</t>
        </is>
      </c>
      <c r="F213" s="0" t="inlineStr">
        <is>
          <t xml:space="preserve">Securite sociale</t>
        </is>
      </c>
      <c r="G213" s="0" t="inlineStr">
        <is>
          <t xml:space="preserve">URSSAF202502</t>
        </is>
      </c>
      <c r="H213" s="0" t="inlineStr">
        <is>
          <t xml:space="preserve">Reglement URSSAF 02/2025</t>
        </is>
      </c>
      <c r="I213" s="8">
        <v>32255.66</v>
      </c>
      <c r="J213" s="8">
        <v>0</v>
      </c>
      <c r="K213" s="0"/>
      <c r="L213" s="0"/>
      <c r="M213" s="8">
        <f>I213-J213</f>
      </c>
      <c r="N213" s="0" t="inlineStr">
        <is>
          <t xml:space="preserve">2025-03</t>
        </is>
      </c>
      <c r="O213" s="0">
        <f>INDEX(Journaux!$E$5:$E$18,MATCH("2025|"&amp;A213,Journaux!$A$5:$A$18,0))</f>
      </c>
      <c r="P213" s="0">
        <f>INDEX(Comptes!$K$5:$K$42,MATCH(E213,Comptes!$A$5:$A$42,0))</f>
      </c>
      <c r="Q213" s="0" t="inlineStr">
        <is>
          <t xml:space="preserve">4</t>
        </is>
      </c>
    </row>
    <row r="214">
      <c r="A214" s="4" t="inlineStr">
        <is>
          <t xml:space="preserve">BQ</t>
        </is>
      </c>
      <c r="B214" s="0" t="inlineStr">
        <is>
          <t xml:space="preserve">Banque Fictive</t>
        </is>
      </c>
      <c r="C214" s="0" t="inlineStr">
        <is>
          <t xml:space="preserve">BQ00042</t>
        </is>
      </c>
      <c r="D214" s="10">
        <v>45731</v>
      </c>
      <c r="E214" s="4" t="inlineStr">
        <is>
          <t xml:space="preserve">512000</t>
        </is>
      </c>
      <c r="F214" s="0" t="inlineStr">
        <is>
          <t xml:space="preserve">Banque Fictive</t>
        </is>
      </c>
      <c r="G214" s="0" t="inlineStr">
        <is>
          <t xml:space="preserve">URSSAF202502</t>
        </is>
      </c>
      <c r="H214" s="0" t="inlineStr">
        <is>
          <t xml:space="preserve">Reglement URSSAF 02/2025</t>
        </is>
      </c>
      <c r="I214" s="8">
        <v>0</v>
      </c>
      <c r="J214" s="8">
        <v>32255.66</v>
      </c>
      <c r="K214" s="0"/>
      <c r="L214" s="0"/>
      <c r="M214" s="8">
        <f>I214-J214</f>
      </c>
      <c r="N214" s="0" t="inlineStr">
        <is>
          <t xml:space="preserve">2025-03</t>
        </is>
      </c>
      <c r="O214" s="0">
        <f>INDEX(Journaux!$E$5:$E$18,MATCH("2025|"&amp;A214,Journaux!$A$5:$A$18,0))</f>
      </c>
      <c r="P214" s="0">
        <f>INDEX(Comptes!$K$5:$K$42,MATCH(E214,Comptes!$A$5:$A$42,0))</f>
      </c>
      <c r="Q214" s="0" t="inlineStr">
        <is>
          <t xml:space="preserve">5</t>
        </is>
      </c>
    </row>
    <row r="215">
      <c r="A215" s="4" t="inlineStr">
        <is>
          <t xml:space="preserve">VT</t>
        </is>
      </c>
      <c r="B215" s="0" t="inlineStr">
        <is>
          <t xml:space="preserve">Journal des ventes</t>
        </is>
      </c>
      <c r="C215" s="0" t="inlineStr">
        <is>
          <t xml:space="preserve">VT00014</t>
        </is>
      </c>
      <c r="D215" s="10">
        <v>45733</v>
      </c>
      <c r="E215" s="4" t="inlineStr">
        <is>
          <t xml:space="preserve">411000</t>
        </is>
      </c>
      <c r="F215" s="0" t="inlineStr">
        <is>
          <t xml:space="preserve">Clients</t>
        </is>
      </c>
      <c r="G215" s="0" t="inlineStr">
        <is>
          <t xml:space="preserve">FA2025-0014</t>
        </is>
      </c>
      <c r="H215" s="0" t="inlineStr">
        <is>
          <t xml:space="preserve">Facture FA2025-0014 Coworking Atelier 9</t>
        </is>
      </c>
      <c r="I215" s="8">
        <v>32805.62</v>
      </c>
      <c r="J215" s="8">
        <v>0</v>
      </c>
      <c r="K215" s="0" t="inlineStr">
        <is>
          <t xml:space="preserve">AAV</t>
        </is>
      </c>
      <c r="L215" s="0" t="inlineStr">
        <is>
          <t xml:space="preserve">Coworking Atelier 9</t>
        </is>
      </c>
      <c r="M215" s="8">
        <f>I215-J215</f>
      </c>
      <c r="N215" s="0" t="inlineStr">
        <is>
          <t xml:space="preserve">2025-03</t>
        </is>
      </c>
      <c r="O215" s="0">
        <f>INDEX(Journaux!$E$5:$E$18,MATCH("2025|"&amp;A215,Journaux!$A$5:$A$18,0))</f>
      </c>
      <c r="P215" s="0">
        <f>INDEX(Comptes!$K$5:$K$42,MATCH(E215,Comptes!$A$5:$A$42,0))</f>
      </c>
      <c r="Q215" s="0" t="inlineStr">
        <is>
          <t xml:space="preserve">4</t>
        </is>
      </c>
      <c r="R215" s="7" t="inlineStr">
        <is>
          <t xml:space="preserve">411000|C008</t>
        </is>
      </c>
    </row>
    <row r="216">
      <c r="A216" s="4" t="inlineStr">
        <is>
          <t xml:space="preserve">VT</t>
        </is>
      </c>
      <c r="B216" s="0" t="inlineStr">
        <is>
          <t xml:space="preserve">Journal des ventes</t>
        </is>
      </c>
      <c r="C216" s="0" t="inlineStr">
        <is>
          <t xml:space="preserve">VT00014</t>
        </is>
      </c>
      <c r="D216" s="10">
        <v>45733</v>
      </c>
      <c r="E216" s="4" t="inlineStr">
        <is>
          <t xml:space="preserve">701000</t>
        </is>
      </c>
      <c r="F216" s="0" t="inlineStr">
        <is>
          <t xml:space="preserve">Ventes de produits finis</t>
        </is>
      </c>
      <c r="G216" s="0" t="inlineStr">
        <is>
          <t xml:space="preserve">FA2025-0014</t>
        </is>
      </c>
      <c r="H216" s="0" t="inlineStr">
        <is>
          <t xml:space="preserve">Facture FA2025-0014 Coworking Atelier 9</t>
        </is>
      </c>
      <c r="I216" s="8">
        <v>0</v>
      </c>
      <c r="J216" s="8">
        <v>27338.02</v>
      </c>
      <c r="K216" s="0"/>
      <c r="L216" s="0"/>
      <c r="M216" s="8">
        <f>I216-J216</f>
      </c>
      <c r="N216" s="0" t="inlineStr">
        <is>
          <t xml:space="preserve">2025-03</t>
        </is>
      </c>
      <c r="O216" s="0">
        <f>INDEX(Journaux!$E$5:$E$18,MATCH("2025|"&amp;A216,Journaux!$A$5:$A$18,0))</f>
      </c>
      <c r="P216" s="0">
        <f>INDEX(Comptes!$K$5:$K$42,MATCH(E216,Comptes!$A$5:$A$42,0))</f>
      </c>
      <c r="Q216" s="0" t="inlineStr">
        <is>
          <t xml:space="preserve">7</t>
        </is>
      </c>
    </row>
    <row r="217">
      <c r="A217" s="4" t="inlineStr">
        <is>
          <t xml:space="preserve">VT</t>
        </is>
      </c>
      <c r="B217" s="0" t="inlineStr">
        <is>
          <t xml:space="preserve">Journal des ventes</t>
        </is>
      </c>
      <c r="C217" s="0" t="inlineStr">
        <is>
          <t xml:space="preserve">VT00014</t>
        </is>
      </c>
      <c r="D217" s="10">
        <v>45733</v>
      </c>
      <c r="E217" s="4" t="inlineStr">
        <is>
          <t xml:space="preserve">445710</t>
        </is>
      </c>
      <c r="F217" s="0" t="inlineStr">
        <is>
          <t xml:space="preserve">TVA collectee</t>
        </is>
      </c>
      <c r="G217" s="0" t="inlineStr">
        <is>
          <t xml:space="preserve">FA2025-0014</t>
        </is>
      </c>
      <c r="H217" s="0" t="inlineStr">
        <is>
          <t xml:space="preserve">Facture FA2025-0014 Coworking Atelier 9</t>
        </is>
      </c>
      <c r="I217" s="8">
        <v>0</v>
      </c>
      <c r="J217" s="8">
        <v>5467.6</v>
      </c>
      <c r="K217" s="0"/>
      <c r="L217" s="0"/>
      <c r="M217" s="8">
        <f>I217-J217</f>
      </c>
      <c r="N217" s="0" t="inlineStr">
        <is>
          <t xml:space="preserve">2025-03</t>
        </is>
      </c>
      <c r="O217" s="0">
        <f>INDEX(Journaux!$E$5:$E$18,MATCH("2025|"&amp;A217,Journaux!$A$5:$A$18,0))</f>
      </c>
      <c r="P217" s="0">
        <f>INDEX(Comptes!$K$5:$K$42,MATCH(E217,Comptes!$A$5:$A$42,0))</f>
      </c>
      <c r="Q217" s="0" t="inlineStr">
        <is>
          <t xml:space="preserve">4</t>
        </is>
      </c>
    </row>
    <row r="218">
      <c r="A218" s="4" t="inlineStr">
        <is>
          <t xml:space="preserve">BQ</t>
        </is>
      </c>
      <c r="B218" s="0" t="inlineStr">
        <is>
          <t xml:space="preserve">Banque Fictive</t>
        </is>
      </c>
      <c r="C218" s="0" t="inlineStr">
        <is>
          <t xml:space="preserve">BQ00121</t>
        </is>
      </c>
      <c r="D218" s="10">
        <v>45735</v>
      </c>
      <c r="E218" s="4" t="inlineStr">
        <is>
          <t xml:space="preserve">401000</t>
        </is>
      </c>
      <c r="F218" s="0" t="inlineStr">
        <is>
          <t xml:space="preserve">Fournisseurs</t>
        </is>
      </c>
      <c r="G218" s="0" t="inlineStr">
        <is>
          <t xml:space="preserve">DEC-F001-2025012</t>
        </is>
      </c>
      <c r="H218" s="0" t="inlineStr">
        <is>
          <t xml:space="preserve">Reglement fournisseur Scierie du Nord F001-2025012</t>
        </is>
      </c>
      <c r="I218" s="8">
        <v>19150.03</v>
      </c>
      <c r="J218" s="8">
        <v>0</v>
      </c>
      <c r="K218" s="0" t="inlineStr">
        <is>
          <t xml:space="preserve">ABJ</t>
        </is>
      </c>
      <c r="L218" s="0" t="inlineStr">
        <is>
          <t xml:space="preserve">Scierie du Nord</t>
        </is>
      </c>
      <c r="M218" s="8">
        <f>I218-J218</f>
      </c>
      <c r="N218" s="0" t="inlineStr">
        <is>
          <t xml:space="preserve">2025-03</t>
        </is>
      </c>
      <c r="O218" s="0">
        <f>INDEX(Journaux!$E$5:$E$18,MATCH("2025|"&amp;A218,Journaux!$A$5:$A$18,0))</f>
      </c>
      <c r="P218" s="0">
        <f>INDEX(Comptes!$K$5:$K$42,MATCH(E218,Comptes!$A$5:$A$42,0))</f>
      </c>
      <c r="Q218" s="0" t="inlineStr">
        <is>
          <t xml:space="preserve">4</t>
        </is>
      </c>
      <c r="R218" s="7" t="inlineStr">
        <is>
          <t xml:space="preserve">401000|F001</t>
        </is>
      </c>
    </row>
    <row r="219">
      <c r="A219" s="4" t="inlineStr">
        <is>
          <t xml:space="preserve">BQ</t>
        </is>
      </c>
      <c r="B219" s="0" t="inlineStr">
        <is>
          <t xml:space="preserve">Banque Fictive</t>
        </is>
      </c>
      <c r="C219" s="0" t="inlineStr">
        <is>
          <t xml:space="preserve">BQ00121</t>
        </is>
      </c>
      <c r="D219" s="10">
        <v>45735</v>
      </c>
      <c r="E219" s="4" t="inlineStr">
        <is>
          <t xml:space="preserve">512000</t>
        </is>
      </c>
      <c r="F219" s="0" t="inlineStr">
        <is>
          <t xml:space="preserve">Banque Fictive</t>
        </is>
      </c>
      <c r="G219" s="0" t="inlineStr">
        <is>
          <t xml:space="preserve">DEC-F001-2025012</t>
        </is>
      </c>
      <c r="H219" s="0" t="inlineStr">
        <is>
          <t xml:space="preserve">Reglement fournisseur Scierie du Nord F001-2025012</t>
        </is>
      </c>
      <c r="I219" s="8">
        <v>0</v>
      </c>
      <c r="J219" s="8">
        <v>19150.03</v>
      </c>
      <c r="K219" s="0"/>
      <c r="L219" s="0"/>
      <c r="M219" s="8">
        <f>I219-J219</f>
      </c>
      <c r="N219" s="0" t="inlineStr">
        <is>
          <t xml:space="preserve">2025-03</t>
        </is>
      </c>
      <c r="O219" s="0">
        <f>INDEX(Journaux!$E$5:$E$18,MATCH("2025|"&amp;A219,Journaux!$A$5:$A$18,0))</f>
      </c>
      <c r="P219" s="0">
        <f>INDEX(Comptes!$K$5:$K$42,MATCH(E219,Comptes!$A$5:$A$42,0))</f>
      </c>
      <c r="Q219" s="0" t="inlineStr">
        <is>
          <t xml:space="preserve">5</t>
        </is>
      </c>
    </row>
    <row r="220">
      <c r="A220" s="4" t="inlineStr">
        <is>
          <t xml:space="preserve">BQ</t>
        </is>
      </c>
      <c r="B220" s="0" t="inlineStr">
        <is>
          <t xml:space="preserve">Banque Fictive</t>
        </is>
      </c>
      <c r="C220" s="0" t="inlineStr">
        <is>
          <t xml:space="preserve">BQ00043</t>
        </is>
      </c>
      <c r="D220" s="10">
        <v>45736</v>
      </c>
      <c r="E220" s="4" t="inlineStr">
        <is>
          <t xml:space="preserve">445510</t>
        </is>
      </c>
      <c r="F220" s="0" t="inlineStr">
        <is>
          <t xml:space="preserve">TVA a decaisser</t>
        </is>
      </c>
      <c r="G220" s="0" t="inlineStr">
        <is>
          <t xml:space="preserve">TVA202502</t>
        </is>
      </c>
      <c r="H220" s="0" t="inlineStr">
        <is>
          <t xml:space="preserve">Reglement TVA 02/2025</t>
        </is>
      </c>
      <c r="I220" s="8">
        <v>9286.39</v>
      </c>
      <c r="J220" s="8">
        <v>0</v>
      </c>
      <c r="K220" s="0"/>
      <c r="L220" s="0"/>
      <c r="M220" s="8">
        <f>I220-J220</f>
      </c>
      <c r="N220" s="0" t="inlineStr">
        <is>
          <t xml:space="preserve">2025-03</t>
        </is>
      </c>
      <c r="O220" s="0">
        <f>INDEX(Journaux!$E$5:$E$18,MATCH("2025|"&amp;A220,Journaux!$A$5:$A$18,0))</f>
      </c>
      <c r="P220" s="0">
        <f>INDEX(Comptes!$K$5:$K$42,MATCH(E220,Comptes!$A$5:$A$42,0))</f>
      </c>
      <c r="Q220" s="0" t="inlineStr">
        <is>
          <t xml:space="preserve">4</t>
        </is>
      </c>
    </row>
    <row r="221">
      <c r="A221" s="4" t="inlineStr">
        <is>
          <t xml:space="preserve">BQ</t>
        </is>
      </c>
      <c r="B221" s="0" t="inlineStr">
        <is>
          <t xml:space="preserve">Banque Fictive</t>
        </is>
      </c>
      <c r="C221" s="0" t="inlineStr">
        <is>
          <t xml:space="preserve">BQ00043</t>
        </is>
      </c>
      <c r="D221" s="10">
        <v>45736</v>
      </c>
      <c r="E221" s="4" t="inlineStr">
        <is>
          <t xml:space="preserve">512000</t>
        </is>
      </c>
      <c r="F221" s="0" t="inlineStr">
        <is>
          <t xml:space="preserve">Banque Fictive</t>
        </is>
      </c>
      <c r="G221" s="0" t="inlineStr">
        <is>
          <t xml:space="preserve">TVA202502</t>
        </is>
      </c>
      <c r="H221" s="0" t="inlineStr">
        <is>
          <t xml:space="preserve">Reglement TVA 02/2025</t>
        </is>
      </c>
      <c r="I221" s="8">
        <v>0</v>
      </c>
      <c r="J221" s="8">
        <v>9286.39</v>
      </c>
      <c r="K221" s="0"/>
      <c r="L221" s="0"/>
      <c r="M221" s="8">
        <f>I221-J221</f>
      </c>
      <c r="N221" s="0" t="inlineStr">
        <is>
          <t xml:space="preserve">2025-03</t>
        </is>
      </c>
      <c r="O221" s="0">
        <f>INDEX(Journaux!$E$5:$E$18,MATCH("2025|"&amp;A221,Journaux!$A$5:$A$18,0))</f>
      </c>
      <c r="P221" s="0">
        <f>INDEX(Comptes!$K$5:$K$42,MATCH(E221,Comptes!$A$5:$A$42,0))</f>
      </c>
      <c r="Q221" s="0" t="inlineStr">
        <is>
          <t xml:space="preserve">5</t>
        </is>
      </c>
    </row>
    <row r="222">
      <c r="A222" s="4" t="inlineStr">
        <is>
          <t xml:space="preserve">BQ</t>
        </is>
      </c>
      <c r="B222" s="0" t="inlineStr">
        <is>
          <t xml:space="preserve">Banque Fictive</t>
        </is>
      </c>
      <c r="C222" s="0" t="inlineStr">
        <is>
          <t xml:space="preserve">BQ00072</t>
        </is>
      </c>
      <c r="D222" s="10">
        <v>45736</v>
      </c>
      <c r="E222" s="4" t="inlineStr">
        <is>
          <t xml:space="preserve">512000</t>
        </is>
      </c>
      <c r="F222" s="0" t="inlineStr">
        <is>
          <t xml:space="preserve">Banque Fictive</t>
        </is>
      </c>
      <c r="G222" s="0" t="inlineStr">
        <is>
          <t xml:space="preserve">ENC-FA2025-0005</t>
        </is>
      </c>
      <c r="H222" s="0" t="inlineStr">
        <is>
          <t xml:space="preserve">Reglement client Boutique Hetre et Chene FA2025-0005</t>
        </is>
      </c>
      <c r="I222" s="8">
        <v>18286.85</v>
      </c>
      <c r="J222" s="8">
        <v>0</v>
      </c>
      <c r="K222" s="0"/>
      <c r="L222" s="0"/>
      <c r="M222" s="8">
        <f>I222-J222</f>
      </c>
      <c r="N222" s="0" t="inlineStr">
        <is>
          <t xml:space="preserve">2025-03</t>
        </is>
      </c>
      <c r="O222" s="0">
        <f>INDEX(Journaux!$E$5:$E$18,MATCH("2025|"&amp;A222,Journaux!$A$5:$A$18,0))</f>
      </c>
      <c r="P222" s="0">
        <f>INDEX(Comptes!$K$5:$K$42,MATCH(E222,Comptes!$A$5:$A$42,0))</f>
      </c>
      <c r="Q222" s="0" t="inlineStr">
        <is>
          <t xml:space="preserve">5</t>
        </is>
      </c>
    </row>
    <row r="223">
      <c r="A223" s="4" t="inlineStr">
        <is>
          <t xml:space="preserve">BQ</t>
        </is>
      </c>
      <c r="B223" s="0" t="inlineStr">
        <is>
          <t xml:space="preserve">Banque Fictive</t>
        </is>
      </c>
      <c r="C223" s="0" t="inlineStr">
        <is>
          <t xml:space="preserve">BQ00072</t>
        </is>
      </c>
      <c r="D223" s="10">
        <v>45736</v>
      </c>
      <c r="E223" s="4" t="inlineStr">
        <is>
          <t xml:space="preserve">411000</t>
        </is>
      </c>
      <c r="F223" s="0" t="inlineStr">
        <is>
          <t xml:space="preserve">Clients</t>
        </is>
      </c>
      <c r="G223" s="0" t="inlineStr">
        <is>
          <t xml:space="preserve">ENC-FA2025-0005</t>
        </is>
      </c>
      <c r="H223" s="0" t="inlineStr">
        <is>
          <t xml:space="preserve">Reglement client Boutique Hetre et Chene FA2025-0005</t>
        </is>
      </c>
      <c r="I223" s="8">
        <v>0</v>
      </c>
      <c r="J223" s="8">
        <v>18286.85</v>
      </c>
      <c r="K223" s="0" t="inlineStr">
        <is>
          <t xml:space="preserve">AAM</t>
        </is>
      </c>
      <c r="L223" s="0" t="inlineStr">
        <is>
          <t xml:space="preserve">Boutique Hetre et Chene</t>
        </is>
      </c>
      <c r="M223" s="8">
        <f>I223-J223</f>
      </c>
      <c r="N223" s="0" t="inlineStr">
        <is>
          <t xml:space="preserve">2025-03</t>
        </is>
      </c>
      <c r="O223" s="0">
        <f>INDEX(Journaux!$E$5:$E$18,MATCH("2025|"&amp;A223,Journaux!$A$5:$A$18,0))</f>
      </c>
      <c r="P223" s="0">
        <f>INDEX(Comptes!$K$5:$K$42,MATCH(E223,Comptes!$A$5:$A$42,0))</f>
      </c>
      <c r="Q223" s="0" t="inlineStr">
        <is>
          <t xml:space="preserve">4</t>
        </is>
      </c>
      <c r="R223" s="7" t="inlineStr">
        <is>
          <t xml:space="preserve">411000|C007</t>
        </is>
      </c>
    </row>
    <row r="224">
      <c r="A224" s="4" t="inlineStr">
        <is>
          <t xml:space="preserve">BQ</t>
        </is>
      </c>
      <c r="B224" s="0" t="inlineStr">
        <is>
          <t xml:space="preserve">Banque Fictive</t>
        </is>
      </c>
      <c r="C224" s="0" t="inlineStr">
        <is>
          <t xml:space="preserve">BQ00188</t>
        </is>
      </c>
      <c r="D224" s="10">
        <v>45736</v>
      </c>
      <c r="E224" s="4" t="inlineStr">
        <is>
          <t xml:space="preserve">445510</t>
        </is>
      </c>
      <c r="F224" s="0" t="inlineStr">
        <is>
          <t xml:space="preserve">TVA a decaisser</t>
        </is>
      </c>
      <c r="G224" s="0" t="inlineStr">
        <is>
          <t xml:space="preserve">TVA202502C</t>
        </is>
      </c>
      <c r="H224" s="0" t="inlineStr">
        <is>
          <t xml:space="preserve">Reglement TVA complementaire 02/2025</t>
        </is>
      </c>
      <c r="I224" s="8">
        <v>8000</v>
      </c>
      <c r="J224" s="8">
        <v>0</v>
      </c>
      <c r="K224" s="0"/>
      <c r="L224" s="0"/>
      <c r="M224" s="8">
        <f>I224-J224</f>
      </c>
      <c r="N224" s="0" t="inlineStr">
        <is>
          <t xml:space="preserve">2025-03</t>
        </is>
      </c>
      <c r="O224" s="0">
        <f>INDEX(Journaux!$E$5:$E$18,MATCH("2025|"&amp;A224,Journaux!$A$5:$A$18,0))</f>
      </c>
      <c r="P224" s="0">
        <f>INDEX(Comptes!$K$5:$K$42,MATCH(E224,Comptes!$A$5:$A$42,0))</f>
      </c>
      <c r="Q224" s="0" t="inlineStr">
        <is>
          <t xml:space="preserve">4</t>
        </is>
      </c>
    </row>
    <row r="225">
      <c r="A225" s="4" t="inlineStr">
        <is>
          <t xml:space="preserve">BQ</t>
        </is>
      </c>
      <c r="B225" s="0" t="inlineStr">
        <is>
          <t xml:space="preserve">Banque Fictive</t>
        </is>
      </c>
      <c r="C225" s="0" t="inlineStr">
        <is>
          <t xml:space="preserve">BQ00188</t>
        </is>
      </c>
      <c r="D225" s="10">
        <v>45736</v>
      </c>
      <c r="E225" s="4" t="inlineStr">
        <is>
          <t xml:space="preserve">512000</t>
        </is>
      </c>
      <c r="F225" s="0" t="inlineStr">
        <is>
          <t xml:space="preserve">Banque Fictive</t>
        </is>
      </c>
      <c r="G225" s="0" t="inlineStr">
        <is>
          <t xml:space="preserve">TVA202502C</t>
        </is>
      </c>
      <c r="H225" s="0" t="inlineStr">
        <is>
          <t xml:space="preserve">Reglement TVA complementaire 02/2025</t>
        </is>
      </c>
      <c r="I225" s="8">
        <v>0</v>
      </c>
      <c r="J225" s="8">
        <v>8000</v>
      </c>
      <c r="K225" s="0"/>
      <c r="L225" s="0"/>
      <c r="M225" s="8">
        <f>I225-J225</f>
      </c>
      <c r="N225" s="0" t="inlineStr">
        <is>
          <t xml:space="preserve">2025-03</t>
        </is>
      </c>
      <c r="O225" s="0">
        <f>INDEX(Journaux!$E$5:$E$18,MATCH("2025|"&amp;A225,Journaux!$A$5:$A$18,0))</f>
      </c>
      <c r="P225" s="0">
        <f>INDEX(Comptes!$K$5:$K$42,MATCH(E225,Comptes!$A$5:$A$42,0))</f>
      </c>
      <c r="Q225" s="0" t="inlineStr">
        <is>
          <t xml:space="preserve">5</t>
        </is>
      </c>
    </row>
    <row r="226">
      <c r="A226" s="4" t="inlineStr">
        <is>
          <t xml:space="preserve">VT</t>
        </is>
      </c>
      <c r="B226" s="0" t="inlineStr">
        <is>
          <t xml:space="preserve">Journal des ventes</t>
        </is>
      </c>
      <c r="C226" s="0" t="inlineStr">
        <is>
          <t xml:space="preserve">VT00010</t>
        </is>
      </c>
      <c r="D226" s="10">
        <v>45736</v>
      </c>
      <c r="E226" s="4" t="inlineStr">
        <is>
          <t xml:space="preserve">411000</t>
        </is>
      </c>
      <c r="F226" s="0" t="inlineStr">
        <is>
          <t xml:space="preserve">Clients</t>
        </is>
      </c>
      <c r="G226" s="0" t="inlineStr">
        <is>
          <t xml:space="preserve">FA2025-0010</t>
        </is>
      </c>
      <c r="H226" s="0" t="inlineStr">
        <is>
          <t xml:space="preserve">Facture FA2025-0010 Clinique du Parc</t>
        </is>
      </c>
      <c r="I226" s="8">
        <v>34705.18</v>
      </c>
      <c r="J226" s="8">
        <v>0</v>
      </c>
      <c r="K226" s="0" t="inlineStr">
        <is>
          <t xml:space="preserve">AAR</t>
        </is>
      </c>
      <c r="L226" s="0" t="inlineStr">
        <is>
          <t xml:space="preserve">Clinique du Parc</t>
        </is>
      </c>
      <c r="M226" s="8">
        <f>I226-J226</f>
      </c>
      <c r="N226" s="0" t="inlineStr">
        <is>
          <t xml:space="preserve">2025-03</t>
        </is>
      </c>
      <c r="O226" s="0">
        <f>INDEX(Journaux!$E$5:$E$18,MATCH("2025|"&amp;A226,Journaux!$A$5:$A$18,0))</f>
      </c>
      <c r="P226" s="0">
        <f>INDEX(Comptes!$K$5:$K$42,MATCH(E226,Comptes!$A$5:$A$42,0))</f>
      </c>
      <c r="Q226" s="0" t="inlineStr">
        <is>
          <t xml:space="preserve">4</t>
        </is>
      </c>
      <c r="R226" s="7" t="inlineStr">
        <is>
          <t xml:space="preserve">411000|C006</t>
        </is>
      </c>
    </row>
    <row r="227">
      <c r="A227" s="4" t="inlineStr">
        <is>
          <t xml:space="preserve">VT</t>
        </is>
      </c>
      <c r="B227" s="0" t="inlineStr">
        <is>
          <t xml:space="preserve">Journal des ventes</t>
        </is>
      </c>
      <c r="C227" s="0" t="inlineStr">
        <is>
          <t xml:space="preserve">VT00010</t>
        </is>
      </c>
      <c r="D227" s="10">
        <v>45736</v>
      </c>
      <c r="E227" s="4" t="inlineStr">
        <is>
          <t xml:space="preserve">701000</t>
        </is>
      </c>
      <c r="F227" s="0" t="inlineStr">
        <is>
          <t xml:space="preserve">Ventes de produits finis</t>
        </is>
      </c>
      <c r="G227" s="0" t="inlineStr">
        <is>
          <t xml:space="preserve">FA2025-0010</t>
        </is>
      </c>
      <c r="H227" s="0" t="inlineStr">
        <is>
          <t xml:space="preserve">Facture FA2025-0010 Clinique du Parc</t>
        </is>
      </c>
      <c r="I227" s="8">
        <v>0</v>
      </c>
      <c r="J227" s="8">
        <v>28920.98</v>
      </c>
      <c r="K227" s="0"/>
      <c r="L227" s="0"/>
      <c r="M227" s="8">
        <f>I227-J227</f>
      </c>
      <c r="N227" s="0" t="inlineStr">
        <is>
          <t xml:space="preserve">2025-03</t>
        </is>
      </c>
      <c r="O227" s="0">
        <f>INDEX(Journaux!$E$5:$E$18,MATCH("2025|"&amp;A227,Journaux!$A$5:$A$18,0))</f>
      </c>
      <c r="P227" s="0">
        <f>INDEX(Comptes!$K$5:$K$42,MATCH(E227,Comptes!$A$5:$A$42,0))</f>
      </c>
      <c r="Q227" s="0" t="inlineStr">
        <is>
          <t xml:space="preserve">7</t>
        </is>
      </c>
    </row>
    <row r="228">
      <c r="A228" s="4" t="inlineStr">
        <is>
          <t xml:space="preserve">VT</t>
        </is>
      </c>
      <c r="B228" s="0" t="inlineStr">
        <is>
          <t xml:space="preserve">Journal des ventes</t>
        </is>
      </c>
      <c r="C228" s="0" t="inlineStr">
        <is>
          <t xml:space="preserve">VT00010</t>
        </is>
      </c>
      <c r="D228" s="10">
        <v>45736</v>
      </c>
      <c r="E228" s="4" t="inlineStr">
        <is>
          <t xml:space="preserve">445710</t>
        </is>
      </c>
      <c r="F228" s="0" t="inlineStr">
        <is>
          <t xml:space="preserve">TVA collectee</t>
        </is>
      </c>
      <c r="G228" s="0" t="inlineStr">
        <is>
          <t xml:space="preserve">FA2025-0010</t>
        </is>
      </c>
      <c r="H228" s="0" t="inlineStr">
        <is>
          <t xml:space="preserve">Facture FA2025-0010 Clinique du Parc</t>
        </is>
      </c>
      <c r="I228" s="8">
        <v>0</v>
      </c>
      <c r="J228" s="8">
        <v>5784.2</v>
      </c>
      <c r="K228" s="0"/>
      <c r="L228" s="0"/>
      <c r="M228" s="8">
        <f>I228-J228</f>
      </c>
      <c r="N228" s="0" t="inlineStr">
        <is>
          <t xml:space="preserve">2025-03</t>
        </is>
      </c>
      <c r="O228" s="0">
        <f>INDEX(Journaux!$E$5:$E$18,MATCH("2025|"&amp;A228,Journaux!$A$5:$A$18,0))</f>
      </c>
      <c r="P228" s="0">
        <f>INDEX(Comptes!$K$5:$K$42,MATCH(E228,Comptes!$A$5:$A$42,0))</f>
      </c>
      <c r="Q228" s="0" t="inlineStr">
        <is>
          <t xml:space="preserve">4</t>
        </is>
      </c>
    </row>
    <row r="229">
      <c r="A229" s="4" t="inlineStr">
        <is>
          <t xml:space="preserve">BQ</t>
        </is>
      </c>
      <c r="B229" s="0" t="inlineStr">
        <is>
          <t xml:space="preserve">Banque Fictive</t>
        </is>
      </c>
      <c r="C229" s="0" t="inlineStr">
        <is>
          <t xml:space="preserve">BQ00120</t>
        </is>
      </c>
      <c r="D229" s="10">
        <v>45740</v>
      </c>
      <c r="E229" s="4" t="inlineStr">
        <is>
          <t xml:space="preserve">401000</t>
        </is>
      </c>
      <c r="F229" s="0" t="inlineStr">
        <is>
          <t xml:space="preserve">Fournisseurs</t>
        </is>
      </c>
      <c r="G229" s="0" t="inlineStr">
        <is>
          <t xml:space="preserve">DEC-F003-2025011</t>
        </is>
      </c>
      <c r="H229" s="0" t="inlineStr">
        <is>
          <t xml:space="preserve">Reglement fournisseur Vernis et Finitions F003-2025011</t>
        </is>
      </c>
      <c r="I229" s="8">
        <v>19242.77</v>
      </c>
      <c r="J229" s="8">
        <v>0</v>
      </c>
      <c r="K229" s="0" t="inlineStr">
        <is>
          <t xml:space="preserve">ABI</t>
        </is>
      </c>
      <c r="L229" s="0" t="inlineStr">
        <is>
          <t xml:space="preserve">Vernis et Finitions</t>
        </is>
      </c>
      <c r="M229" s="8">
        <f>I229-J229</f>
      </c>
      <c r="N229" s="0" t="inlineStr">
        <is>
          <t xml:space="preserve">2025-03</t>
        </is>
      </c>
      <c r="O229" s="0">
        <f>INDEX(Journaux!$E$5:$E$18,MATCH("2025|"&amp;A229,Journaux!$A$5:$A$18,0))</f>
      </c>
      <c r="P229" s="0">
        <f>INDEX(Comptes!$K$5:$K$42,MATCH(E229,Comptes!$A$5:$A$42,0))</f>
      </c>
      <c r="Q229" s="0" t="inlineStr">
        <is>
          <t xml:space="preserve">4</t>
        </is>
      </c>
      <c r="R229" s="7" t="inlineStr">
        <is>
          <t xml:space="preserve">401000|F003</t>
        </is>
      </c>
    </row>
    <row r="230">
      <c r="A230" s="4" t="inlineStr">
        <is>
          <t xml:space="preserve">BQ</t>
        </is>
      </c>
      <c r="B230" s="0" t="inlineStr">
        <is>
          <t xml:space="preserve">Banque Fictive</t>
        </is>
      </c>
      <c r="C230" s="0" t="inlineStr">
        <is>
          <t xml:space="preserve">BQ00120</t>
        </is>
      </c>
      <c r="D230" s="10">
        <v>45740</v>
      </c>
      <c r="E230" s="4" t="inlineStr">
        <is>
          <t xml:space="preserve">512000</t>
        </is>
      </c>
      <c r="F230" s="0" t="inlineStr">
        <is>
          <t xml:space="preserve">Banque Fictive</t>
        </is>
      </c>
      <c r="G230" s="0" t="inlineStr">
        <is>
          <t xml:space="preserve">DEC-F003-2025011</t>
        </is>
      </c>
      <c r="H230" s="0" t="inlineStr">
        <is>
          <t xml:space="preserve">Reglement fournisseur Vernis et Finitions F003-2025011</t>
        </is>
      </c>
      <c r="I230" s="8">
        <v>0</v>
      </c>
      <c r="J230" s="8">
        <v>19242.77</v>
      </c>
      <c r="K230" s="0"/>
      <c r="L230" s="0"/>
      <c r="M230" s="8">
        <f>I230-J230</f>
      </c>
      <c r="N230" s="0" t="inlineStr">
        <is>
          <t xml:space="preserve">2025-03</t>
        </is>
      </c>
      <c r="O230" s="0">
        <f>INDEX(Journaux!$E$5:$E$18,MATCH("2025|"&amp;A230,Journaux!$A$5:$A$18,0))</f>
      </c>
      <c r="P230" s="0">
        <f>INDEX(Comptes!$K$5:$K$42,MATCH(E230,Comptes!$A$5:$A$42,0))</f>
      </c>
      <c r="Q230" s="0" t="inlineStr">
        <is>
          <t xml:space="preserve">5</t>
        </is>
      </c>
    </row>
    <row r="231">
      <c r="A231" s="4" t="inlineStr">
        <is>
          <t xml:space="preserve">BQ</t>
        </is>
      </c>
      <c r="B231" s="0" t="inlineStr">
        <is>
          <t xml:space="preserve">Banque Fictive</t>
        </is>
      </c>
      <c r="C231" s="0" t="inlineStr">
        <is>
          <t xml:space="preserve">BQ00122</t>
        </is>
      </c>
      <c r="D231" s="10">
        <v>45740</v>
      </c>
      <c r="E231" s="4" t="inlineStr">
        <is>
          <t xml:space="preserve">401000</t>
        </is>
      </c>
      <c r="F231" s="0" t="inlineStr">
        <is>
          <t xml:space="preserve">Fournisseurs</t>
        </is>
      </c>
      <c r="G231" s="0" t="inlineStr">
        <is>
          <t xml:space="preserve">DEC-F001-2025013</t>
        </is>
      </c>
      <c r="H231" s="0" t="inlineStr">
        <is>
          <t xml:space="preserve">Reglement fournisseur Scierie du Nord F001-2025013</t>
        </is>
      </c>
      <c r="I231" s="8">
        <v>24117.2</v>
      </c>
      <c r="J231" s="8">
        <v>0</v>
      </c>
      <c r="K231" s="0" t="inlineStr">
        <is>
          <t xml:space="preserve">ABK</t>
        </is>
      </c>
      <c r="L231" s="0" t="inlineStr">
        <is>
          <t xml:space="preserve">Scierie du Nord</t>
        </is>
      </c>
      <c r="M231" s="8">
        <f>I231-J231</f>
      </c>
      <c r="N231" s="0" t="inlineStr">
        <is>
          <t xml:space="preserve">2025-03</t>
        </is>
      </c>
      <c r="O231" s="0">
        <f>INDEX(Journaux!$E$5:$E$18,MATCH("2025|"&amp;A231,Journaux!$A$5:$A$18,0))</f>
      </c>
      <c r="P231" s="0">
        <f>INDEX(Comptes!$K$5:$K$42,MATCH(E231,Comptes!$A$5:$A$42,0))</f>
      </c>
      <c r="Q231" s="0" t="inlineStr">
        <is>
          <t xml:space="preserve">4</t>
        </is>
      </c>
      <c r="R231" s="7" t="inlineStr">
        <is>
          <t xml:space="preserve">401000|F001</t>
        </is>
      </c>
    </row>
    <row r="232">
      <c r="A232" s="4" t="inlineStr">
        <is>
          <t xml:space="preserve">BQ</t>
        </is>
      </c>
      <c r="B232" s="0" t="inlineStr">
        <is>
          <t xml:space="preserve">Banque Fictive</t>
        </is>
      </c>
      <c r="C232" s="0" t="inlineStr">
        <is>
          <t xml:space="preserve">BQ00122</t>
        </is>
      </c>
      <c r="D232" s="10">
        <v>45740</v>
      </c>
      <c r="E232" s="4" t="inlineStr">
        <is>
          <t xml:space="preserve">512000</t>
        </is>
      </c>
      <c r="F232" s="0" t="inlineStr">
        <is>
          <t xml:space="preserve">Banque Fictive</t>
        </is>
      </c>
      <c r="G232" s="0" t="inlineStr">
        <is>
          <t xml:space="preserve">DEC-F001-2025013</t>
        </is>
      </c>
      <c r="H232" s="0" t="inlineStr">
        <is>
          <t xml:space="preserve">Reglement fournisseur Scierie du Nord F001-2025013</t>
        </is>
      </c>
      <c r="I232" s="8">
        <v>0</v>
      </c>
      <c r="J232" s="8">
        <v>24117.2</v>
      </c>
      <c r="K232" s="0"/>
      <c r="L232" s="0"/>
      <c r="M232" s="8">
        <f>I232-J232</f>
      </c>
      <c r="N232" s="0" t="inlineStr">
        <is>
          <t xml:space="preserve">2025-03</t>
        </is>
      </c>
      <c r="O232" s="0">
        <f>INDEX(Journaux!$E$5:$E$18,MATCH("2025|"&amp;A232,Journaux!$A$5:$A$18,0))</f>
      </c>
      <c r="P232" s="0">
        <f>INDEX(Comptes!$K$5:$K$42,MATCH(E232,Comptes!$A$5:$A$42,0))</f>
      </c>
      <c r="Q232" s="0" t="inlineStr">
        <is>
          <t xml:space="preserve">5</t>
        </is>
      </c>
    </row>
    <row r="233">
      <c r="A233" s="4" t="inlineStr">
        <is>
          <t xml:space="preserve">VT</t>
        </is>
      </c>
      <c r="B233" s="0" t="inlineStr">
        <is>
          <t xml:space="preserve">Journal des ventes</t>
        </is>
      </c>
      <c r="C233" s="0" t="inlineStr">
        <is>
          <t xml:space="preserve">VT00012</t>
        </is>
      </c>
      <c r="D233" s="10">
        <v>45741</v>
      </c>
      <c r="E233" s="4" t="inlineStr">
        <is>
          <t xml:space="preserve">411000</t>
        </is>
      </c>
      <c r="F233" s="0" t="inlineStr">
        <is>
          <t xml:space="preserve">Clients</t>
        </is>
      </c>
      <c r="G233" s="0" t="inlineStr">
        <is>
          <t xml:space="preserve">FA2025-0012</t>
        </is>
      </c>
      <c r="H233" s="0" t="inlineStr">
        <is>
          <t xml:space="preserve">Facture FA2025-0012 Hotel Les Tilleuls</t>
        </is>
      </c>
      <c r="I233" s="8">
        <v>23047.8</v>
      </c>
      <c r="J233" s="8">
        <v>0</v>
      </c>
      <c r="K233" s="0" t="inlineStr">
        <is>
          <t xml:space="preserve">AAT</t>
        </is>
      </c>
      <c r="L233" s="0" t="inlineStr">
        <is>
          <t xml:space="preserve">Hotel Les Tilleuls</t>
        </is>
      </c>
      <c r="M233" s="8">
        <f>I233-J233</f>
      </c>
      <c r="N233" s="0" t="inlineStr">
        <is>
          <t xml:space="preserve">2025-03</t>
        </is>
      </c>
      <c r="O233" s="0">
        <f>INDEX(Journaux!$E$5:$E$18,MATCH("2025|"&amp;A233,Journaux!$A$5:$A$18,0))</f>
      </c>
      <c r="P233" s="0">
        <f>INDEX(Comptes!$K$5:$K$42,MATCH(E233,Comptes!$A$5:$A$42,0))</f>
      </c>
      <c r="Q233" s="0" t="inlineStr">
        <is>
          <t xml:space="preserve">4</t>
        </is>
      </c>
      <c r="R233" s="7" t="inlineStr">
        <is>
          <t xml:space="preserve">411000|C001</t>
        </is>
      </c>
    </row>
    <row r="234">
      <c r="A234" s="4" t="inlineStr">
        <is>
          <t xml:space="preserve">VT</t>
        </is>
      </c>
      <c r="B234" s="0" t="inlineStr">
        <is>
          <t xml:space="preserve">Journal des ventes</t>
        </is>
      </c>
      <c r="C234" s="0" t="inlineStr">
        <is>
          <t xml:space="preserve">VT00012</t>
        </is>
      </c>
      <c r="D234" s="10">
        <v>45741</v>
      </c>
      <c r="E234" s="4" t="inlineStr">
        <is>
          <t xml:space="preserve">701000</t>
        </is>
      </c>
      <c r="F234" s="0" t="inlineStr">
        <is>
          <t xml:space="preserve">Ventes de produits finis</t>
        </is>
      </c>
      <c r="G234" s="0" t="inlineStr">
        <is>
          <t xml:space="preserve">FA2025-0012</t>
        </is>
      </c>
      <c r="H234" s="0" t="inlineStr">
        <is>
          <t xml:space="preserve">Facture FA2025-0012 Hotel Les Tilleuls</t>
        </is>
      </c>
      <c r="I234" s="8">
        <v>0</v>
      </c>
      <c r="J234" s="8">
        <v>19206.5</v>
      </c>
      <c r="K234" s="0"/>
      <c r="L234" s="0"/>
      <c r="M234" s="8">
        <f>I234-J234</f>
      </c>
      <c r="N234" s="0" t="inlineStr">
        <is>
          <t xml:space="preserve">2025-03</t>
        </is>
      </c>
      <c r="O234" s="0">
        <f>INDEX(Journaux!$E$5:$E$18,MATCH("2025|"&amp;A234,Journaux!$A$5:$A$18,0))</f>
      </c>
      <c r="P234" s="0">
        <f>INDEX(Comptes!$K$5:$K$42,MATCH(E234,Comptes!$A$5:$A$42,0))</f>
      </c>
      <c r="Q234" s="0" t="inlineStr">
        <is>
          <t xml:space="preserve">7</t>
        </is>
      </c>
    </row>
    <row r="235">
      <c r="A235" s="4" t="inlineStr">
        <is>
          <t xml:space="preserve">VT</t>
        </is>
      </c>
      <c r="B235" s="0" t="inlineStr">
        <is>
          <t xml:space="preserve">Journal des ventes</t>
        </is>
      </c>
      <c r="C235" s="0" t="inlineStr">
        <is>
          <t xml:space="preserve">VT00012</t>
        </is>
      </c>
      <c r="D235" s="10">
        <v>45741</v>
      </c>
      <c r="E235" s="4" t="inlineStr">
        <is>
          <t xml:space="preserve">445710</t>
        </is>
      </c>
      <c r="F235" s="0" t="inlineStr">
        <is>
          <t xml:space="preserve">TVA collectee</t>
        </is>
      </c>
      <c r="G235" s="0" t="inlineStr">
        <is>
          <t xml:space="preserve">FA2025-0012</t>
        </is>
      </c>
      <c r="H235" s="0" t="inlineStr">
        <is>
          <t xml:space="preserve">Facture FA2025-0012 Hotel Les Tilleuls</t>
        </is>
      </c>
      <c r="I235" s="8">
        <v>0</v>
      </c>
      <c r="J235" s="8">
        <v>3841.3</v>
      </c>
      <c r="K235" s="0"/>
      <c r="L235" s="0"/>
      <c r="M235" s="8">
        <f>I235-J235</f>
      </c>
      <c r="N235" s="0" t="inlineStr">
        <is>
          <t xml:space="preserve">2025-03</t>
        </is>
      </c>
      <c r="O235" s="0">
        <f>INDEX(Journaux!$E$5:$E$18,MATCH("2025|"&amp;A235,Journaux!$A$5:$A$18,0))</f>
      </c>
      <c r="P235" s="0">
        <f>INDEX(Comptes!$K$5:$K$42,MATCH(E235,Comptes!$A$5:$A$42,0))</f>
      </c>
      <c r="Q235" s="0" t="inlineStr">
        <is>
          <t xml:space="preserve">4</t>
        </is>
      </c>
    </row>
    <row r="236">
      <c r="A236" s="4" t="inlineStr">
        <is>
          <t xml:space="preserve">VT</t>
        </is>
      </c>
      <c r="B236" s="0" t="inlineStr">
        <is>
          <t xml:space="preserve">Journal des ventes</t>
        </is>
      </c>
      <c r="C236" s="0" t="inlineStr">
        <is>
          <t xml:space="preserve">VT00013</t>
        </is>
      </c>
      <c r="D236" s="10">
        <v>45741</v>
      </c>
      <c r="E236" s="4" t="inlineStr">
        <is>
          <t xml:space="preserve">411000</t>
        </is>
      </c>
      <c r="F236" s="0" t="inlineStr">
        <is>
          <t xml:space="preserve">Clients</t>
        </is>
      </c>
      <c r="G236" s="0" t="inlineStr">
        <is>
          <t xml:space="preserve">FA2025-0013</t>
        </is>
      </c>
      <c r="H236" s="0" t="inlineStr">
        <is>
          <t xml:space="preserve">Facture FA2025-0013 Hotel Les Tilleuls</t>
        </is>
      </c>
      <c r="I236" s="8">
        <v>21921.53</v>
      </c>
      <c r="J236" s="8">
        <v>0</v>
      </c>
      <c r="K236" s="0" t="inlineStr">
        <is>
          <t xml:space="preserve">AAU</t>
        </is>
      </c>
      <c r="L236" s="0" t="inlineStr">
        <is>
          <t xml:space="preserve">Hotel Les Tilleuls</t>
        </is>
      </c>
      <c r="M236" s="8">
        <f>I236-J236</f>
      </c>
      <c r="N236" s="0" t="inlineStr">
        <is>
          <t xml:space="preserve">2025-03</t>
        </is>
      </c>
      <c r="O236" s="0">
        <f>INDEX(Journaux!$E$5:$E$18,MATCH("2025|"&amp;A236,Journaux!$A$5:$A$18,0))</f>
      </c>
      <c r="P236" s="0">
        <f>INDEX(Comptes!$K$5:$K$42,MATCH(E236,Comptes!$A$5:$A$42,0))</f>
      </c>
      <c r="Q236" s="0" t="inlineStr">
        <is>
          <t xml:space="preserve">4</t>
        </is>
      </c>
      <c r="R236" s="7" t="inlineStr">
        <is>
          <t xml:space="preserve">411000|C001</t>
        </is>
      </c>
    </row>
    <row r="237">
      <c r="A237" s="4" t="inlineStr">
        <is>
          <t xml:space="preserve">VT</t>
        </is>
      </c>
      <c r="B237" s="0" t="inlineStr">
        <is>
          <t xml:space="preserve">Journal des ventes</t>
        </is>
      </c>
      <c r="C237" s="0" t="inlineStr">
        <is>
          <t xml:space="preserve">VT00013</t>
        </is>
      </c>
      <c r="D237" s="10">
        <v>45741</v>
      </c>
      <c r="E237" s="4" t="inlineStr">
        <is>
          <t xml:space="preserve">701000</t>
        </is>
      </c>
      <c r="F237" s="0" t="inlineStr">
        <is>
          <t xml:space="preserve">Ventes de produits finis</t>
        </is>
      </c>
      <c r="G237" s="0" t="inlineStr">
        <is>
          <t xml:space="preserve">FA2025-0013</t>
        </is>
      </c>
      <c r="H237" s="0" t="inlineStr">
        <is>
          <t xml:space="preserve">Facture FA2025-0013 Hotel Les Tilleuls</t>
        </is>
      </c>
      <c r="I237" s="8">
        <v>0</v>
      </c>
      <c r="J237" s="8">
        <v>18267.94</v>
      </c>
      <c r="K237" s="0"/>
      <c r="L237" s="0"/>
      <c r="M237" s="8">
        <f>I237-J237</f>
      </c>
      <c r="N237" s="0" t="inlineStr">
        <is>
          <t xml:space="preserve">2025-03</t>
        </is>
      </c>
      <c r="O237" s="0">
        <f>INDEX(Journaux!$E$5:$E$18,MATCH("2025|"&amp;A237,Journaux!$A$5:$A$18,0))</f>
      </c>
      <c r="P237" s="0">
        <f>INDEX(Comptes!$K$5:$K$42,MATCH(E237,Comptes!$A$5:$A$42,0))</f>
      </c>
      <c r="Q237" s="0" t="inlineStr">
        <is>
          <t xml:space="preserve">7</t>
        </is>
      </c>
    </row>
    <row r="238">
      <c r="A238" s="4" t="inlineStr">
        <is>
          <t xml:space="preserve">VT</t>
        </is>
      </c>
      <c r="B238" s="0" t="inlineStr">
        <is>
          <t xml:space="preserve">Journal des ventes</t>
        </is>
      </c>
      <c r="C238" s="0" t="inlineStr">
        <is>
          <t xml:space="preserve">VT00013</t>
        </is>
      </c>
      <c r="D238" s="10">
        <v>45741</v>
      </c>
      <c r="E238" s="4" t="inlineStr">
        <is>
          <t xml:space="preserve">445710</t>
        </is>
      </c>
      <c r="F238" s="0" t="inlineStr">
        <is>
          <t xml:space="preserve">TVA collectee</t>
        </is>
      </c>
      <c r="G238" s="0" t="inlineStr">
        <is>
          <t xml:space="preserve">FA2025-0013</t>
        </is>
      </c>
      <c r="H238" s="0" t="inlineStr">
        <is>
          <t xml:space="preserve">Facture FA2025-0013 Hotel Les Tilleuls</t>
        </is>
      </c>
      <c r="I238" s="8">
        <v>0</v>
      </c>
      <c r="J238" s="8">
        <v>3653.59</v>
      </c>
      <c r="K238" s="0"/>
      <c r="L238" s="0"/>
      <c r="M238" s="8">
        <f>I238-J238</f>
      </c>
      <c r="N238" s="0" t="inlineStr">
        <is>
          <t xml:space="preserve">2025-03</t>
        </is>
      </c>
      <c r="O238" s="0">
        <f>INDEX(Journaux!$E$5:$E$18,MATCH("2025|"&amp;A238,Journaux!$A$5:$A$18,0))</f>
      </c>
      <c r="P238" s="0">
        <f>INDEX(Comptes!$K$5:$K$42,MATCH(E238,Comptes!$A$5:$A$42,0))</f>
      </c>
      <c r="Q238" s="0" t="inlineStr">
        <is>
          <t xml:space="preserve">4</t>
        </is>
      </c>
    </row>
    <row r="239">
      <c r="A239" s="4" t="inlineStr">
        <is>
          <t xml:space="preserve">BQ</t>
        </is>
      </c>
      <c r="B239" s="0" t="inlineStr">
        <is>
          <t xml:space="preserve">Banque Fictive</t>
        </is>
      </c>
      <c r="C239" s="0" t="inlineStr">
        <is>
          <t xml:space="preserve">BQ00007</t>
        </is>
      </c>
      <c r="D239" s="10">
        <v>45747</v>
      </c>
      <c r="E239" s="4" t="inlineStr">
        <is>
          <t xml:space="preserve">421000</t>
        </is>
      </c>
      <c r="F239" s="0" t="inlineStr">
        <is>
          <t xml:space="preserve">Personnel remunerations dues</t>
        </is>
      </c>
      <c r="G239" s="0" t="inlineStr">
        <is>
          <t xml:space="preserve">VIRSAL202503</t>
        </is>
      </c>
      <c r="H239" s="0" t="inlineStr">
        <is>
          <t xml:space="preserve">Virement salaires 03/2025</t>
        </is>
      </c>
      <c r="I239" s="8">
        <v>39302.13</v>
      </c>
      <c r="J239" s="8">
        <v>0</v>
      </c>
      <c r="K239" s="0"/>
      <c r="L239" s="0"/>
      <c r="M239" s="8">
        <f>I239-J239</f>
      </c>
      <c r="N239" s="0" t="inlineStr">
        <is>
          <t xml:space="preserve">2025-03</t>
        </is>
      </c>
      <c r="O239" s="0">
        <f>INDEX(Journaux!$E$5:$E$18,MATCH("2025|"&amp;A239,Journaux!$A$5:$A$18,0))</f>
      </c>
      <c r="P239" s="0">
        <f>INDEX(Comptes!$K$5:$K$42,MATCH(E239,Comptes!$A$5:$A$42,0))</f>
      </c>
      <c r="Q239" s="0" t="inlineStr">
        <is>
          <t xml:space="preserve">4</t>
        </is>
      </c>
    </row>
    <row r="240">
      <c r="A240" s="4" t="inlineStr">
        <is>
          <t xml:space="preserve">BQ</t>
        </is>
      </c>
      <c r="B240" s="0" t="inlineStr">
        <is>
          <t xml:space="preserve">Banque Fictive</t>
        </is>
      </c>
      <c r="C240" s="0" t="inlineStr">
        <is>
          <t xml:space="preserve">BQ00007</t>
        </is>
      </c>
      <c r="D240" s="10">
        <v>45747</v>
      </c>
      <c r="E240" s="4" t="inlineStr">
        <is>
          <t xml:space="preserve">512000</t>
        </is>
      </c>
      <c r="F240" s="0" t="inlineStr">
        <is>
          <t xml:space="preserve">Banque Fictive</t>
        </is>
      </c>
      <c r="G240" s="0" t="inlineStr">
        <is>
          <t xml:space="preserve">VIRSAL202503</t>
        </is>
      </c>
      <c r="H240" s="0" t="inlineStr">
        <is>
          <t xml:space="preserve">Virement salaires 03/2025</t>
        </is>
      </c>
      <c r="I240" s="8">
        <v>0</v>
      </c>
      <c r="J240" s="8">
        <v>39302.13</v>
      </c>
      <c r="K240" s="0"/>
      <c r="L240" s="0"/>
      <c r="M240" s="8">
        <f>I240-J240</f>
      </c>
      <c r="N240" s="0" t="inlineStr">
        <is>
          <t xml:space="preserve">2025-03</t>
        </is>
      </c>
      <c r="O240" s="0">
        <f>INDEX(Journaux!$E$5:$E$18,MATCH("2025|"&amp;A240,Journaux!$A$5:$A$18,0))</f>
      </c>
      <c r="P240" s="0">
        <f>INDEX(Comptes!$K$5:$K$42,MATCH(E240,Comptes!$A$5:$A$42,0))</f>
      </c>
      <c r="Q240" s="0" t="inlineStr">
        <is>
          <t xml:space="preserve">5</t>
        </is>
      </c>
    </row>
    <row r="241">
      <c r="A241" s="4" t="inlineStr">
        <is>
          <t xml:space="preserve">BQ</t>
        </is>
      </c>
      <c r="B241" s="0" t="inlineStr">
        <is>
          <t xml:space="preserve">Banque Fictive</t>
        </is>
      </c>
      <c r="C241" s="0" t="inlineStr">
        <is>
          <t xml:space="preserve">BQ00009</t>
        </is>
      </c>
      <c r="D241" s="10">
        <v>45747</v>
      </c>
      <c r="E241" s="4" t="inlineStr">
        <is>
          <t xml:space="preserve">627000</t>
        </is>
      </c>
      <c r="F241" s="0" t="inlineStr">
        <is>
          <t xml:space="preserve">Services bancaires</t>
        </is>
      </c>
      <c r="G241" s="0" t="inlineStr">
        <is>
          <t xml:space="preserve">FRB202503</t>
        </is>
      </c>
      <c r="H241" s="0" t="inlineStr">
        <is>
          <t xml:space="preserve">Frais bancaires 03/2025</t>
        </is>
      </c>
      <c r="I241" s="8">
        <v>85</v>
      </c>
      <c r="J241" s="8">
        <v>0</v>
      </c>
      <c r="K241" s="0"/>
      <c r="L241" s="0"/>
      <c r="M241" s="8">
        <f>I241-J241</f>
      </c>
      <c r="N241" s="0" t="inlineStr">
        <is>
          <t xml:space="preserve">2025-03</t>
        </is>
      </c>
      <c r="O241" s="0">
        <f>INDEX(Journaux!$E$5:$E$18,MATCH("2025|"&amp;A241,Journaux!$A$5:$A$18,0))</f>
      </c>
      <c r="P241" s="0">
        <f>INDEX(Comptes!$K$5:$K$42,MATCH(E241,Comptes!$A$5:$A$42,0))</f>
      </c>
      <c r="Q241" s="0" t="inlineStr">
        <is>
          <t xml:space="preserve">6</t>
        </is>
      </c>
    </row>
    <row r="242">
      <c r="A242" s="4" t="inlineStr">
        <is>
          <t xml:space="preserve">BQ</t>
        </is>
      </c>
      <c r="B242" s="0" t="inlineStr">
        <is>
          <t xml:space="preserve">Banque Fictive</t>
        </is>
      </c>
      <c r="C242" s="0" t="inlineStr">
        <is>
          <t xml:space="preserve">BQ00009</t>
        </is>
      </c>
      <c r="D242" s="10">
        <v>45747</v>
      </c>
      <c r="E242" s="4" t="inlineStr">
        <is>
          <t xml:space="preserve">512000</t>
        </is>
      </c>
      <c r="F242" s="0" t="inlineStr">
        <is>
          <t xml:space="preserve">Banque Fictive</t>
        </is>
      </c>
      <c r="G242" s="0" t="inlineStr">
        <is>
          <t xml:space="preserve">FRB202503</t>
        </is>
      </c>
      <c r="H242" s="0" t="inlineStr">
        <is>
          <t xml:space="preserve">Frais bancaires 03/2025</t>
        </is>
      </c>
      <c r="I242" s="8">
        <v>0</v>
      </c>
      <c r="J242" s="8">
        <v>85</v>
      </c>
      <c r="K242" s="0"/>
      <c r="L242" s="0"/>
      <c r="M242" s="8">
        <f>I242-J242</f>
      </c>
      <c r="N242" s="0" t="inlineStr">
        <is>
          <t xml:space="preserve">2025-03</t>
        </is>
      </c>
      <c r="O242" s="0">
        <f>INDEX(Journaux!$E$5:$E$18,MATCH("2025|"&amp;A242,Journaux!$A$5:$A$18,0))</f>
      </c>
      <c r="P242" s="0">
        <f>INDEX(Comptes!$K$5:$K$42,MATCH(E242,Comptes!$A$5:$A$42,0))</f>
      </c>
      <c r="Q242" s="0" t="inlineStr">
        <is>
          <t xml:space="preserve">5</t>
        </is>
      </c>
    </row>
    <row r="243">
      <c r="A243" s="4" t="inlineStr">
        <is>
          <t xml:space="preserve">BQ</t>
        </is>
      </c>
      <c r="B243" s="0" t="inlineStr">
        <is>
          <t xml:space="preserve">Banque Fictive</t>
        </is>
      </c>
      <c r="C243" s="0" t="inlineStr">
        <is>
          <t xml:space="preserve">BQ00068</t>
        </is>
      </c>
      <c r="D243" s="10">
        <v>45747</v>
      </c>
      <c r="E243" s="4" t="inlineStr">
        <is>
          <t xml:space="preserve">512000</t>
        </is>
      </c>
      <c r="F243" s="0" t="inlineStr">
        <is>
          <t xml:space="preserve">Banque Fictive</t>
        </is>
      </c>
      <c r="G243" s="0" t="inlineStr">
        <is>
          <t xml:space="preserve">ENC-FA2025-0001</t>
        </is>
      </c>
      <c r="H243" s="0" t="inlineStr">
        <is>
          <t xml:space="preserve">Reglement client Agence Mobilis FA2025-0001</t>
        </is>
      </c>
      <c r="I243" s="8">
        <v>23082.83</v>
      </c>
      <c r="J243" s="8">
        <v>0</v>
      </c>
      <c r="K243" s="0"/>
      <c r="L243" s="0"/>
      <c r="M243" s="8">
        <f>I243-J243</f>
      </c>
      <c r="N243" s="0" t="inlineStr">
        <is>
          <t xml:space="preserve">2025-03</t>
        </is>
      </c>
      <c r="O243" s="0">
        <f>INDEX(Journaux!$E$5:$E$18,MATCH("2025|"&amp;A243,Journaux!$A$5:$A$18,0))</f>
      </c>
      <c r="P243" s="0">
        <f>INDEX(Comptes!$K$5:$K$42,MATCH(E243,Comptes!$A$5:$A$42,0))</f>
      </c>
      <c r="Q243" s="0" t="inlineStr">
        <is>
          <t xml:space="preserve">5</t>
        </is>
      </c>
    </row>
    <row r="244">
      <c r="A244" s="4" t="inlineStr">
        <is>
          <t xml:space="preserve">BQ</t>
        </is>
      </c>
      <c r="B244" s="0" t="inlineStr">
        <is>
          <t xml:space="preserve">Banque Fictive</t>
        </is>
      </c>
      <c r="C244" s="0" t="inlineStr">
        <is>
          <t xml:space="preserve">BQ00068</t>
        </is>
      </c>
      <c r="D244" s="10">
        <v>45747</v>
      </c>
      <c r="E244" s="4" t="inlineStr">
        <is>
          <t xml:space="preserve">411000</t>
        </is>
      </c>
      <c r="F244" s="0" t="inlineStr">
        <is>
          <t xml:space="preserve">Clients</t>
        </is>
      </c>
      <c r="G244" s="0" t="inlineStr">
        <is>
          <t xml:space="preserve">ENC-FA2025-0001</t>
        </is>
      </c>
      <c r="H244" s="0" t="inlineStr">
        <is>
          <t xml:space="preserve">Reglement client Agence Mobilis FA2025-0001</t>
        </is>
      </c>
      <c r="I244" s="8">
        <v>0</v>
      </c>
      <c r="J244" s="8">
        <v>23082.83</v>
      </c>
      <c r="K244" s="0" t="inlineStr">
        <is>
          <t xml:space="preserve">AAI</t>
        </is>
      </c>
      <c r="L244" s="0" t="inlineStr">
        <is>
          <t xml:space="preserve">Agence Mobilis</t>
        </is>
      </c>
      <c r="M244" s="8">
        <f>I244-J244</f>
      </c>
      <c r="N244" s="0" t="inlineStr">
        <is>
          <t xml:space="preserve">2025-03</t>
        </is>
      </c>
      <c r="O244" s="0">
        <f>INDEX(Journaux!$E$5:$E$18,MATCH("2025|"&amp;A244,Journaux!$A$5:$A$18,0))</f>
      </c>
      <c r="P244" s="0">
        <f>INDEX(Comptes!$K$5:$K$42,MATCH(E244,Comptes!$A$5:$A$42,0))</f>
      </c>
      <c r="Q244" s="0" t="inlineStr">
        <is>
          <t xml:space="preserve">4</t>
        </is>
      </c>
      <c r="R244" s="7" t="inlineStr">
        <is>
          <t xml:space="preserve">411000|C002</t>
        </is>
      </c>
    </row>
    <row r="245">
      <c r="A245" s="4" t="inlineStr">
        <is>
          <t xml:space="preserve">BQ</t>
        </is>
      </c>
      <c r="B245" s="0" t="inlineStr">
        <is>
          <t xml:space="preserve">Banque Fictive</t>
        </is>
      </c>
      <c r="C245" s="0" t="inlineStr">
        <is>
          <t xml:space="preserve">BQ00073</t>
        </is>
      </c>
      <c r="D245" s="10">
        <v>45747</v>
      </c>
      <c r="E245" s="4" t="inlineStr">
        <is>
          <t xml:space="preserve">512000</t>
        </is>
      </c>
      <c r="F245" s="0" t="inlineStr">
        <is>
          <t xml:space="preserve">Banque Fictive</t>
        </is>
      </c>
      <c r="G245" s="0" t="inlineStr">
        <is>
          <t xml:space="preserve">ENC-FA2025-0006</t>
        </is>
      </c>
      <c r="H245" s="0" t="inlineStr">
        <is>
          <t xml:space="preserve">Reglement client Coworking Atelier 9 FA2025-0006</t>
        </is>
      </c>
      <c r="I245" s="8">
        <v>33188.89</v>
      </c>
      <c r="J245" s="8">
        <v>0</v>
      </c>
      <c r="K245" s="0"/>
      <c r="L245" s="0"/>
      <c r="M245" s="8">
        <f>I245-J245</f>
      </c>
      <c r="N245" s="0" t="inlineStr">
        <is>
          <t xml:space="preserve">2025-03</t>
        </is>
      </c>
      <c r="O245" s="0">
        <f>INDEX(Journaux!$E$5:$E$18,MATCH("2025|"&amp;A245,Journaux!$A$5:$A$18,0))</f>
      </c>
      <c r="P245" s="0">
        <f>INDEX(Comptes!$K$5:$K$42,MATCH(E245,Comptes!$A$5:$A$42,0))</f>
      </c>
      <c r="Q245" s="0" t="inlineStr">
        <is>
          <t xml:space="preserve">5</t>
        </is>
      </c>
    </row>
    <row r="246">
      <c r="A246" s="4" t="inlineStr">
        <is>
          <t xml:space="preserve">BQ</t>
        </is>
      </c>
      <c r="B246" s="0" t="inlineStr">
        <is>
          <t xml:space="preserve">Banque Fictive</t>
        </is>
      </c>
      <c r="C246" s="0" t="inlineStr">
        <is>
          <t xml:space="preserve">BQ00073</t>
        </is>
      </c>
      <c r="D246" s="10">
        <v>45747</v>
      </c>
      <c r="E246" s="4" t="inlineStr">
        <is>
          <t xml:space="preserve">411000</t>
        </is>
      </c>
      <c r="F246" s="0" t="inlineStr">
        <is>
          <t xml:space="preserve">Clients</t>
        </is>
      </c>
      <c r="G246" s="0" t="inlineStr">
        <is>
          <t xml:space="preserve">ENC-FA2025-0006</t>
        </is>
      </c>
      <c r="H246" s="0" t="inlineStr">
        <is>
          <t xml:space="preserve">Reglement client Coworking Atelier 9 FA2025-0006</t>
        </is>
      </c>
      <c r="I246" s="8">
        <v>0</v>
      </c>
      <c r="J246" s="8">
        <v>33188.89</v>
      </c>
      <c r="K246" s="0" t="inlineStr">
        <is>
          <t xml:space="preserve">AAN</t>
        </is>
      </c>
      <c r="L246" s="0" t="inlineStr">
        <is>
          <t xml:space="preserve">Coworking Atelier 9</t>
        </is>
      </c>
      <c r="M246" s="8">
        <f>I246-J246</f>
      </c>
      <c r="N246" s="0" t="inlineStr">
        <is>
          <t xml:space="preserve">2025-03</t>
        </is>
      </c>
      <c r="O246" s="0">
        <f>INDEX(Journaux!$E$5:$E$18,MATCH("2025|"&amp;A246,Journaux!$A$5:$A$18,0))</f>
      </c>
      <c r="P246" s="0">
        <f>INDEX(Comptes!$K$5:$K$42,MATCH(E246,Comptes!$A$5:$A$42,0))</f>
      </c>
      <c r="Q246" s="0" t="inlineStr">
        <is>
          <t xml:space="preserve">4</t>
        </is>
      </c>
      <c r="R246" s="7" t="inlineStr">
        <is>
          <t xml:space="preserve">411000|C008</t>
        </is>
      </c>
    </row>
    <row r="247">
      <c r="A247" s="4" t="inlineStr">
        <is>
          <t xml:space="preserve">OD</t>
        </is>
      </c>
      <c r="B247" s="0" t="inlineStr">
        <is>
          <t xml:space="preserve">Operations diverses</t>
        </is>
      </c>
      <c r="C247" s="0" t="inlineStr">
        <is>
          <t xml:space="preserve">OD00003</t>
        </is>
      </c>
      <c r="D247" s="10">
        <v>45747</v>
      </c>
      <c r="E247" s="4" t="inlineStr">
        <is>
          <t xml:space="preserve">445710</t>
        </is>
      </c>
      <c r="F247" s="0" t="inlineStr">
        <is>
          <t xml:space="preserve">TVA collectee</t>
        </is>
      </c>
      <c r="G247" s="0" t="inlineStr">
        <is>
          <t xml:space="preserve">CA3-202503</t>
        </is>
      </c>
      <c r="H247" s="0" t="inlineStr">
        <is>
          <t xml:space="preserve">Declaration TVA 03/2025</t>
        </is>
      </c>
      <c r="I247" s="8">
        <v>24500</v>
      </c>
      <c r="J247" s="8">
        <v>0</v>
      </c>
      <c r="K247" s="0"/>
      <c r="L247" s="0"/>
      <c r="M247" s="8">
        <f>I247-J247</f>
      </c>
      <c r="N247" s="0" t="inlineStr">
        <is>
          <t xml:space="preserve">2025-03</t>
        </is>
      </c>
      <c r="O247" s="0">
        <f>INDEX(Journaux!$E$5:$E$18,MATCH("2025|"&amp;A247,Journaux!$A$5:$A$18,0))</f>
      </c>
      <c r="P247" s="0">
        <f>INDEX(Comptes!$K$5:$K$42,MATCH(E247,Comptes!$A$5:$A$42,0))</f>
      </c>
      <c r="Q247" s="0" t="inlineStr">
        <is>
          <t xml:space="preserve">4</t>
        </is>
      </c>
    </row>
    <row r="248">
      <c r="A248" s="4" t="inlineStr">
        <is>
          <t xml:space="preserve">OD</t>
        </is>
      </c>
      <c r="B248" s="0" t="inlineStr">
        <is>
          <t xml:space="preserve">Operations diverses</t>
        </is>
      </c>
      <c r="C248" s="0" t="inlineStr">
        <is>
          <t xml:space="preserve">OD00003</t>
        </is>
      </c>
      <c r="D248" s="10">
        <v>45747</v>
      </c>
      <c r="E248" s="4" t="inlineStr">
        <is>
          <t xml:space="preserve">445660</t>
        </is>
      </c>
      <c r="F248" s="0" t="inlineStr">
        <is>
          <t xml:space="preserve">TVA deductible sur ABS</t>
        </is>
      </c>
      <c r="G248" s="0" t="inlineStr">
        <is>
          <t xml:space="preserve">CA3-202503</t>
        </is>
      </c>
      <c r="H248" s="0" t="inlineStr">
        <is>
          <t xml:space="preserve">Declaration TVA 03/2025</t>
        </is>
      </c>
      <c r="I248" s="8">
        <v>0</v>
      </c>
      <c r="J248" s="8">
        <v>15080.05</v>
      </c>
      <c r="K248" s="0"/>
      <c r="L248" s="0"/>
      <c r="M248" s="8">
        <f>I248-J248</f>
      </c>
      <c r="N248" s="0" t="inlineStr">
        <is>
          <t xml:space="preserve">2025-03</t>
        </is>
      </c>
      <c r="O248" s="0">
        <f>INDEX(Journaux!$E$5:$E$18,MATCH("2025|"&amp;A248,Journaux!$A$5:$A$18,0))</f>
      </c>
      <c r="P248" s="0">
        <f>INDEX(Comptes!$K$5:$K$42,MATCH(E248,Comptes!$A$5:$A$42,0))</f>
      </c>
      <c r="Q248" s="0" t="inlineStr">
        <is>
          <t xml:space="preserve">4</t>
        </is>
      </c>
    </row>
    <row r="249">
      <c r="A249" s="4" t="inlineStr">
        <is>
          <t xml:space="preserve">OD</t>
        </is>
      </c>
      <c r="B249" s="0" t="inlineStr">
        <is>
          <t xml:space="preserve">Operations diverses</t>
        </is>
      </c>
      <c r="C249" s="0" t="inlineStr">
        <is>
          <t xml:space="preserve">OD00003</t>
        </is>
      </c>
      <c r="D249" s="10">
        <v>45747</v>
      </c>
      <c r="E249" s="4" t="inlineStr">
        <is>
          <t xml:space="preserve">445510</t>
        </is>
      </c>
      <c r="F249" s="0" t="inlineStr">
        <is>
          <t xml:space="preserve">TVA a decaisser</t>
        </is>
      </c>
      <c r="G249" s="0" t="inlineStr">
        <is>
          <t xml:space="preserve">CA3-202503</t>
        </is>
      </c>
      <c r="H249" s="0" t="inlineStr">
        <is>
          <t xml:space="preserve">Declaration TVA 03/2025</t>
        </is>
      </c>
      <c r="I249" s="8">
        <v>0</v>
      </c>
      <c r="J249" s="8">
        <v>9419.95</v>
      </c>
      <c r="K249" s="0"/>
      <c r="L249" s="0"/>
      <c r="M249" s="8">
        <f>I249-J249</f>
      </c>
      <c r="N249" s="0" t="inlineStr">
        <is>
          <t xml:space="preserve">2025-03</t>
        </is>
      </c>
      <c r="O249" s="0">
        <f>INDEX(Journaux!$E$5:$E$18,MATCH("2025|"&amp;A249,Journaux!$A$5:$A$18,0))</f>
      </c>
      <c r="P249" s="0">
        <f>INDEX(Comptes!$K$5:$K$42,MATCH(E249,Comptes!$A$5:$A$42,0))</f>
      </c>
      <c r="Q249" s="0" t="inlineStr">
        <is>
          <t xml:space="preserve">4</t>
        </is>
      </c>
    </row>
    <row r="250">
      <c r="A250" s="4" t="inlineStr">
        <is>
          <t xml:space="preserve">SA</t>
        </is>
      </c>
      <c r="B250" s="0" t="inlineStr">
        <is>
          <t xml:space="preserve">Salaires</t>
        </is>
      </c>
      <c r="C250" s="0" t="inlineStr">
        <is>
          <t xml:space="preserve">SA00003</t>
        </is>
      </c>
      <c r="D250" s="10">
        <v>45747</v>
      </c>
      <c r="E250" s="4" t="inlineStr">
        <is>
          <t xml:space="preserve">641000</t>
        </is>
      </c>
      <c r="F250" s="0" t="inlineStr">
        <is>
          <t xml:space="preserve">Remunerations du personnel</t>
        </is>
      </c>
      <c r="G250" s="0" t="inlineStr">
        <is>
          <t xml:space="preserve">PAIE202503</t>
        </is>
      </c>
      <c r="H250" s="0" t="inlineStr">
        <is>
          <t xml:space="preserve">Paie 03/2025</t>
        </is>
      </c>
      <c r="I250" s="8">
        <v>50387.35</v>
      </c>
      <c r="J250" s="8">
        <v>0</v>
      </c>
      <c r="K250" s="0"/>
      <c r="L250" s="0"/>
      <c r="M250" s="8">
        <f>I250-J250</f>
      </c>
      <c r="N250" s="0" t="inlineStr">
        <is>
          <t xml:space="preserve">2025-03</t>
        </is>
      </c>
      <c r="O250" s="0">
        <f>INDEX(Journaux!$E$5:$E$18,MATCH("2025|"&amp;A250,Journaux!$A$5:$A$18,0))</f>
      </c>
      <c r="P250" s="0">
        <f>INDEX(Comptes!$K$5:$K$42,MATCH(E250,Comptes!$A$5:$A$42,0))</f>
      </c>
      <c r="Q250" s="0" t="inlineStr">
        <is>
          <t xml:space="preserve">6</t>
        </is>
      </c>
    </row>
    <row r="251">
      <c r="A251" s="4" t="inlineStr">
        <is>
          <t xml:space="preserve">SA</t>
        </is>
      </c>
      <c r="B251" s="0" t="inlineStr">
        <is>
          <t xml:space="preserve">Salaires</t>
        </is>
      </c>
      <c r="C251" s="0" t="inlineStr">
        <is>
          <t xml:space="preserve">SA00003</t>
        </is>
      </c>
      <c r="D251" s="10">
        <v>45747</v>
      </c>
      <c r="E251" s="4" t="inlineStr">
        <is>
          <t xml:space="preserve">645100</t>
        </is>
      </c>
      <c r="F251" s="0" t="inlineStr">
        <is>
          <t xml:space="preserve">Cotisations URSSAF</t>
        </is>
      </c>
      <c r="G251" s="0" t="inlineStr">
        <is>
          <t xml:space="preserve">PAIE202503</t>
        </is>
      </c>
      <c r="H251" s="0" t="inlineStr">
        <is>
          <t xml:space="preserve">Paie 03/2025</t>
        </is>
      </c>
      <c r="I251" s="8">
        <v>21162.69</v>
      </c>
      <c r="J251" s="8">
        <v>0</v>
      </c>
      <c r="K251" s="0"/>
      <c r="L251" s="0"/>
      <c r="M251" s="8">
        <f>I251-J251</f>
      </c>
      <c r="N251" s="0" t="inlineStr">
        <is>
          <t xml:space="preserve">2025-03</t>
        </is>
      </c>
      <c r="O251" s="0">
        <f>INDEX(Journaux!$E$5:$E$18,MATCH("2025|"&amp;A251,Journaux!$A$5:$A$18,0))</f>
      </c>
      <c r="P251" s="0">
        <f>INDEX(Comptes!$K$5:$K$42,MATCH(E251,Comptes!$A$5:$A$42,0))</f>
      </c>
      <c r="Q251" s="0" t="inlineStr">
        <is>
          <t xml:space="preserve">6</t>
        </is>
      </c>
    </row>
    <row r="252">
      <c r="A252" s="4" t="inlineStr">
        <is>
          <t xml:space="preserve">SA</t>
        </is>
      </c>
      <c r="B252" s="0" t="inlineStr">
        <is>
          <t xml:space="preserve">Salaires</t>
        </is>
      </c>
      <c r="C252" s="0" t="inlineStr">
        <is>
          <t xml:space="preserve">SA00003</t>
        </is>
      </c>
      <c r="D252" s="10">
        <v>45747</v>
      </c>
      <c r="E252" s="4" t="inlineStr">
        <is>
          <t xml:space="preserve">421000</t>
        </is>
      </c>
      <c r="F252" s="0" t="inlineStr">
        <is>
          <t xml:space="preserve">Personnel remunerations dues</t>
        </is>
      </c>
      <c r="G252" s="0" t="inlineStr">
        <is>
          <t xml:space="preserve">PAIE202503</t>
        </is>
      </c>
      <c r="H252" s="0" t="inlineStr">
        <is>
          <t xml:space="preserve">Paie 03/2025</t>
        </is>
      </c>
      <c r="I252" s="8">
        <v>0</v>
      </c>
      <c r="J252" s="8">
        <v>39302.13</v>
      </c>
      <c r="K252" s="0"/>
      <c r="L252" s="0"/>
      <c r="M252" s="8">
        <f>I252-J252</f>
      </c>
      <c r="N252" s="0" t="inlineStr">
        <is>
          <t xml:space="preserve">2025-03</t>
        </is>
      </c>
      <c r="O252" s="0">
        <f>INDEX(Journaux!$E$5:$E$18,MATCH("2025|"&amp;A252,Journaux!$A$5:$A$18,0))</f>
      </c>
      <c r="P252" s="0">
        <f>INDEX(Comptes!$K$5:$K$42,MATCH(E252,Comptes!$A$5:$A$42,0))</f>
      </c>
      <c r="Q252" s="0" t="inlineStr">
        <is>
          <t xml:space="preserve">4</t>
        </is>
      </c>
    </row>
    <row r="253">
      <c r="A253" s="4" t="inlineStr">
        <is>
          <t xml:space="preserve">SA</t>
        </is>
      </c>
      <c r="B253" s="0" t="inlineStr">
        <is>
          <t xml:space="preserve">Salaires</t>
        </is>
      </c>
      <c r="C253" s="0" t="inlineStr">
        <is>
          <t xml:space="preserve">SA00003</t>
        </is>
      </c>
      <c r="D253" s="10">
        <v>45747</v>
      </c>
      <c r="E253" s="4" t="inlineStr">
        <is>
          <t xml:space="preserve">431000</t>
        </is>
      </c>
      <c r="F253" s="0" t="inlineStr">
        <is>
          <t xml:space="preserve">Securite sociale</t>
        </is>
      </c>
      <c r="G253" s="0" t="inlineStr">
        <is>
          <t xml:space="preserve">PAIE202503</t>
        </is>
      </c>
      <c r="H253" s="0" t="inlineStr">
        <is>
          <t xml:space="preserve">Paie 03/2025</t>
        </is>
      </c>
      <c r="I253" s="8">
        <v>0</v>
      </c>
      <c r="J253" s="8">
        <v>32247.91</v>
      </c>
      <c r="K253" s="0"/>
      <c r="L253" s="0"/>
      <c r="M253" s="8">
        <f>I253-J253</f>
      </c>
      <c r="N253" s="0" t="inlineStr">
        <is>
          <t xml:space="preserve">2025-03</t>
        </is>
      </c>
      <c r="O253" s="0">
        <f>INDEX(Journaux!$E$5:$E$18,MATCH("2025|"&amp;A253,Journaux!$A$5:$A$18,0))</f>
      </c>
      <c r="P253" s="0">
        <f>INDEX(Comptes!$K$5:$K$42,MATCH(E253,Comptes!$A$5:$A$42,0))</f>
      </c>
      <c r="Q253" s="0" t="inlineStr">
        <is>
          <t xml:space="preserve">4</t>
        </is>
      </c>
    </row>
    <row r="254">
      <c r="A254" s="4" t="inlineStr">
        <is>
          <t xml:space="preserve">AC</t>
        </is>
      </c>
      <c r="B254" s="0" t="inlineStr">
        <is>
          <t xml:space="preserve">Journal des achats</t>
        </is>
      </c>
      <c r="C254" s="0" t="inlineStr">
        <is>
          <t xml:space="preserve">AC00023</t>
        </is>
      </c>
      <c r="D254" s="10">
        <v>45748</v>
      </c>
      <c r="E254" s="4" t="inlineStr">
        <is>
          <t xml:space="preserve">601000</t>
        </is>
      </c>
      <c r="F254" s="0" t="inlineStr">
        <is>
          <t xml:space="preserve">Achats de matieres premieres</t>
        </is>
      </c>
      <c r="G254" s="0" t="inlineStr">
        <is>
          <t xml:space="preserve">F001-2025043</t>
        </is>
      </c>
      <c r="H254" s="0" t="inlineStr">
        <is>
          <t xml:space="preserve">Facture Scierie du Nord F001-2025043</t>
        </is>
      </c>
      <c r="I254" s="8">
        <v>14764.12</v>
      </c>
      <c r="J254" s="8">
        <v>0</v>
      </c>
      <c r="K254" s="0"/>
      <c r="L254" s="0"/>
      <c r="M254" s="8">
        <f>I254-J254</f>
      </c>
      <c r="N254" s="0" t="inlineStr">
        <is>
          <t xml:space="preserve">2025-04</t>
        </is>
      </c>
      <c r="O254" s="0">
        <f>INDEX(Journaux!$E$5:$E$18,MATCH("2025|"&amp;A254,Journaux!$A$5:$A$18,0))</f>
      </c>
      <c r="P254" s="0">
        <f>INDEX(Comptes!$K$5:$K$42,MATCH(E254,Comptes!$A$5:$A$42,0))</f>
      </c>
      <c r="Q254" s="0" t="inlineStr">
        <is>
          <t xml:space="preserve">6</t>
        </is>
      </c>
    </row>
    <row r="255">
      <c r="A255" s="4" t="inlineStr">
        <is>
          <t xml:space="preserve">AC</t>
        </is>
      </c>
      <c r="B255" s="0" t="inlineStr">
        <is>
          <t xml:space="preserve">Journal des achats</t>
        </is>
      </c>
      <c r="C255" s="0" t="inlineStr">
        <is>
          <t xml:space="preserve">AC00023</t>
        </is>
      </c>
      <c r="D255" s="10">
        <v>45748</v>
      </c>
      <c r="E255" s="4" t="inlineStr">
        <is>
          <t xml:space="preserve">445660</t>
        </is>
      </c>
      <c r="F255" s="0" t="inlineStr">
        <is>
          <t xml:space="preserve">TVA deductible sur ABS</t>
        </is>
      </c>
      <c r="G255" s="0" t="inlineStr">
        <is>
          <t xml:space="preserve">F001-2025043</t>
        </is>
      </c>
      <c r="H255" s="0" t="inlineStr">
        <is>
          <t xml:space="preserve">Facture Scierie du Nord F001-2025043</t>
        </is>
      </c>
      <c r="I255" s="8">
        <v>2952.82</v>
      </c>
      <c r="J255" s="8">
        <v>0</v>
      </c>
      <c r="K255" s="0"/>
      <c r="L255" s="0"/>
      <c r="M255" s="8">
        <f>I255-J255</f>
      </c>
      <c r="N255" s="0" t="inlineStr">
        <is>
          <t xml:space="preserve">2025-04</t>
        </is>
      </c>
      <c r="O255" s="0">
        <f>INDEX(Journaux!$E$5:$E$18,MATCH("2025|"&amp;A255,Journaux!$A$5:$A$18,0))</f>
      </c>
      <c r="P255" s="0">
        <f>INDEX(Comptes!$K$5:$K$42,MATCH(E255,Comptes!$A$5:$A$42,0))</f>
      </c>
      <c r="Q255" s="0" t="inlineStr">
        <is>
          <t xml:space="preserve">4</t>
        </is>
      </c>
    </row>
    <row r="256">
      <c r="A256" s="4" t="inlineStr">
        <is>
          <t xml:space="preserve">AC</t>
        </is>
      </c>
      <c r="B256" s="0" t="inlineStr">
        <is>
          <t xml:space="preserve">Journal des achats</t>
        </is>
      </c>
      <c r="C256" s="0" t="inlineStr">
        <is>
          <t xml:space="preserve">AC00023</t>
        </is>
      </c>
      <c r="D256" s="10">
        <v>45748</v>
      </c>
      <c r="E256" s="4" t="inlineStr">
        <is>
          <t xml:space="preserve">401000</t>
        </is>
      </c>
      <c r="F256" s="0" t="inlineStr">
        <is>
          <t xml:space="preserve">Fournisseurs</t>
        </is>
      </c>
      <c r="G256" s="0" t="inlineStr">
        <is>
          <t xml:space="preserve">F001-2025043</t>
        </is>
      </c>
      <c r="H256" s="0" t="inlineStr">
        <is>
          <t xml:space="preserve">Facture Scierie du Nord F001-2025043</t>
        </is>
      </c>
      <c r="I256" s="8">
        <v>0</v>
      </c>
      <c r="J256" s="8">
        <v>17716.94</v>
      </c>
      <c r="K256" s="0" t="inlineStr">
        <is>
          <t xml:space="preserve">ACE</t>
        </is>
      </c>
      <c r="L256" s="0" t="inlineStr">
        <is>
          <t xml:space="preserve">Scierie du Nord</t>
        </is>
      </c>
      <c r="M256" s="8">
        <f>I256-J256</f>
      </c>
      <c r="N256" s="0" t="inlineStr">
        <is>
          <t xml:space="preserve">2025-04</t>
        </is>
      </c>
      <c r="O256" s="0">
        <f>INDEX(Journaux!$E$5:$E$18,MATCH("2025|"&amp;A256,Journaux!$A$5:$A$18,0))</f>
      </c>
      <c r="P256" s="0">
        <f>INDEX(Comptes!$K$5:$K$42,MATCH(E256,Comptes!$A$5:$A$42,0))</f>
      </c>
      <c r="Q256" s="0" t="inlineStr">
        <is>
          <t xml:space="preserve">4</t>
        </is>
      </c>
      <c r="R256" s="7" t="inlineStr">
        <is>
          <t xml:space="preserve">401000|F001</t>
        </is>
      </c>
    </row>
    <row r="257">
      <c r="A257" s="4" t="inlineStr">
        <is>
          <t xml:space="preserve">BQ</t>
        </is>
      </c>
      <c r="B257" s="0" t="inlineStr">
        <is>
          <t xml:space="preserve">Banque Fictive</t>
        </is>
      </c>
      <c r="C257" s="0" t="inlineStr">
        <is>
          <t xml:space="preserve">BQ00075</t>
        </is>
      </c>
      <c r="D257" s="10">
        <v>45750</v>
      </c>
      <c r="E257" s="4" t="inlineStr">
        <is>
          <t xml:space="preserve">512000</t>
        </is>
      </c>
      <c r="F257" s="0" t="inlineStr">
        <is>
          <t xml:space="preserve">Banque Fictive</t>
        </is>
      </c>
      <c r="G257" s="0" t="inlineStr">
        <is>
          <t xml:space="preserve">ENC-FA2025-0008</t>
        </is>
      </c>
      <c r="H257" s="0" t="inlineStr">
        <is>
          <t xml:space="preserve">Reglement client Coworking Atelier 9 FA2025-0008</t>
        </is>
      </c>
      <c r="I257" s="8">
        <v>27040.6</v>
      </c>
      <c r="J257" s="8">
        <v>0</v>
      </c>
      <c r="K257" s="0"/>
      <c r="L257" s="0"/>
      <c r="M257" s="8">
        <f>I257-J257</f>
      </c>
      <c r="N257" s="0" t="inlineStr">
        <is>
          <t xml:space="preserve">2025-04</t>
        </is>
      </c>
      <c r="O257" s="0">
        <f>INDEX(Journaux!$E$5:$E$18,MATCH("2025|"&amp;A257,Journaux!$A$5:$A$18,0))</f>
      </c>
      <c r="P257" s="0">
        <f>INDEX(Comptes!$K$5:$K$42,MATCH(E257,Comptes!$A$5:$A$42,0))</f>
      </c>
      <c r="Q257" s="0" t="inlineStr">
        <is>
          <t xml:space="preserve">5</t>
        </is>
      </c>
    </row>
    <row r="258">
      <c r="A258" s="4" t="inlineStr">
        <is>
          <t xml:space="preserve">BQ</t>
        </is>
      </c>
      <c r="B258" s="0" t="inlineStr">
        <is>
          <t xml:space="preserve">Banque Fictive</t>
        </is>
      </c>
      <c r="C258" s="0" t="inlineStr">
        <is>
          <t xml:space="preserve">BQ00075</t>
        </is>
      </c>
      <c r="D258" s="10">
        <v>45750</v>
      </c>
      <c r="E258" s="4" t="inlineStr">
        <is>
          <t xml:space="preserve">411000</t>
        </is>
      </c>
      <c r="F258" s="0" t="inlineStr">
        <is>
          <t xml:space="preserve">Clients</t>
        </is>
      </c>
      <c r="G258" s="0" t="inlineStr">
        <is>
          <t xml:space="preserve">ENC-FA2025-0008</t>
        </is>
      </c>
      <c r="H258" s="0" t="inlineStr">
        <is>
          <t xml:space="preserve">Reglement client Coworking Atelier 9 FA2025-0008</t>
        </is>
      </c>
      <c r="I258" s="8">
        <v>0</v>
      </c>
      <c r="J258" s="8">
        <v>27040.6</v>
      </c>
      <c r="K258" s="0" t="inlineStr">
        <is>
          <t xml:space="preserve">AAP</t>
        </is>
      </c>
      <c r="L258" s="0" t="inlineStr">
        <is>
          <t xml:space="preserve">Coworking Atelier 9</t>
        </is>
      </c>
      <c r="M258" s="8">
        <f>I258-J258</f>
      </c>
      <c r="N258" s="0" t="inlineStr">
        <is>
          <t xml:space="preserve">2025-04</t>
        </is>
      </c>
      <c r="O258" s="0">
        <f>INDEX(Journaux!$E$5:$E$18,MATCH("2025|"&amp;A258,Journaux!$A$5:$A$18,0))</f>
      </c>
      <c r="P258" s="0">
        <f>INDEX(Comptes!$K$5:$K$42,MATCH(E258,Comptes!$A$5:$A$42,0))</f>
      </c>
      <c r="Q258" s="0" t="inlineStr">
        <is>
          <t xml:space="preserve">4</t>
        </is>
      </c>
      <c r="R258" s="7" t="inlineStr">
        <is>
          <t xml:space="preserve">411000|C008</t>
        </is>
      </c>
    </row>
    <row r="259">
      <c r="A259" s="4" t="inlineStr">
        <is>
          <t xml:space="preserve">BQ</t>
        </is>
      </c>
      <c r="B259" s="0" t="inlineStr">
        <is>
          <t xml:space="preserve">Banque Fictive</t>
        </is>
      </c>
      <c r="C259" s="0" t="inlineStr">
        <is>
          <t xml:space="preserve">BQ00136</t>
        </is>
      </c>
      <c r="D259" s="10">
        <v>45751</v>
      </c>
      <c r="E259" s="4" t="inlineStr">
        <is>
          <t xml:space="preserve">401000</t>
        </is>
      </c>
      <c r="F259" s="0" t="inlineStr">
        <is>
          <t xml:space="preserve">Fournisseurs</t>
        </is>
      </c>
      <c r="G259" s="0" t="inlineStr">
        <is>
          <t xml:space="preserve">DEC-F004-202503</t>
        </is>
      </c>
      <c r="H259" s="0" t="inlineStr">
        <is>
          <t xml:space="preserve">Reglement fournisseur SCI Les Halles F004-202503</t>
        </is>
      </c>
      <c r="I259" s="8">
        <v>10200</v>
      </c>
      <c r="J259" s="8">
        <v>0</v>
      </c>
      <c r="K259" s="0" t="inlineStr">
        <is>
          <t xml:space="preserve">ABY</t>
        </is>
      </c>
      <c r="L259" s="0" t="inlineStr">
        <is>
          <t xml:space="preserve">SCI Les Halles</t>
        </is>
      </c>
      <c r="M259" s="8">
        <f>I259-J259</f>
      </c>
      <c r="N259" s="0" t="inlineStr">
        <is>
          <t xml:space="preserve">2025-04</t>
        </is>
      </c>
      <c r="O259" s="0">
        <f>INDEX(Journaux!$E$5:$E$18,MATCH("2025|"&amp;A259,Journaux!$A$5:$A$18,0))</f>
      </c>
      <c r="P259" s="0">
        <f>INDEX(Comptes!$K$5:$K$42,MATCH(E259,Comptes!$A$5:$A$42,0))</f>
      </c>
      <c r="Q259" s="0" t="inlineStr">
        <is>
          <t xml:space="preserve">4</t>
        </is>
      </c>
      <c r="R259" s="7" t="inlineStr">
        <is>
          <t xml:space="preserve">401000|F004</t>
        </is>
      </c>
    </row>
    <row r="260">
      <c r="A260" s="4" t="inlineStr">
        <is>
          <t xml:space="preserve">BQ</t>
        </is>
      </c>
      <c r="B260" s="0" t="inlineStr">
        <is>
          <t xml:space="preserve">Banque Fictive</t>
        </is>
      </c>
      <c r="C260" s="0" t="inlineStr">
        <is>
          <t xml:space="preserve">BQ00136</t>
        </is>
      </c>
      <c r="D260" s="10">
        <v>45751</v>
      </c>
      <c r="E260" s="4" t="inlineStr">
        <is>
          <t xml:space="preserve">512000</t>
        </is>
      </c>
      <c r="F260" s="0" t="inlineStr">
        <is>
          <t xml:space="preserve">Banque Fictive</t>
        </is>
      </c>
      <c r="G260" s="0" t="inlineStr">
        <is>
          <t xml:space="preserve">DEC-F004-202503</t>
        </is>
      </c>
      <c r="H260" s="0" t="inlineStr">
        <is>
          <t xml:space="preserve">Reglement fournisseur SCI Les Halles F004-202503</t>
        </is>
      </c>
      <c r="I260" s="8">
        <v>0</v>
      </c>
      <c r="J260" s="8">
        <v>10200</v>
      </c>
      <c r="K260" s="0"/>
      <c r="L260" s="0"/>
      <c r="M260" s="8">
        <f>I260-J260</f>
      </c>
      <c r="N260" s="0" t="inlineStr">
        <is>
          <t xml:space="preserve">2025-04</t>
        </is>
      </c>
      <c r="O260" s="0">
        <f>INDEX(Journaux!$E$5:$E$18,MATCH("2025|"&amp;A260,Journaux!$A$5:$A$18,0))</f>
      </c>
      <c r="P260" s="0">
        <f>INDEX(Comptes!$K$5:$K$42,MATCH(E260,Comptes!$A$5:$A$42,0))</f>
      </c>
      <c r="Q260" s="0" t="inlineStr">
        <is>
          <t xml:space="preserve">5</t>
        </is>
      </c>
    </row>
    <row r="261">
      <c r="A261" s="4" t="inlineStr">
        <is>
          <t xml:space="preserve">BQ</t>
        </is>
      </c>
      <c r="B261" s="0" t="inlineStr">
        <is>
          <t xml:space="preserve">Banque Fictive</t>
        </is>
      </c>
      <c r="C261" s="0" t="inlineStr">
        <is>
          <t xml:space="preserve">BQ00137</t>
        </is>
      </c>
      <c r="D261" s="10">
        <v>45751</v>
      </c>
      <c r="E261" s="4" t="inlineStr">
        <is>
          <t xml:space="preserve">401000</t>
        </is>
      </c>
      <c r="F261" s="0" t="inlineStr">
        <is>
          <t xml:space="preserve">Fournisseurs</t>
        </is>
      </c>
      <c r="G261" s="0" t="inlineStr">
        <is>
          <t xml:space="preserve">DEC-F005-202503</t>
        </is>
      </c>
      <c r="H261" s="0" t="inlineStr">
        <is>
          <t xml:space="preserve">Reglement fournisseur Energie Plus F005-202503</t>
        </is>
      </c>
      <c r="I261" s="8">
        <v>3414.28</v>
      </c>
      <c r="J261" s="8">
        <v>0</v>
      </c>
      <c r="K261" s="0" t="inlineStr">
        <is>
          <t xml:space="preserve">ABZ</t>
        </is>
      </c>
      <c r="L261" s="0" t="inlineStr">
        <is>
          <t xml:space="preserve">Energie Plus</t>
        </is>
      </c>
      <c r="M261" s="8">
        <f>I261-J261</f>
      </c>
      <c r="N261" s="0" t="inlineStr">
        <is>
          <t xml:space="preserve">2025-04</t>
        </is>
      </c>
      <c r="O261" s="0">
        <f>INDEX(Journaux!$E$5:$E$18,MATCH("2025|"&amp;A261,Journaux!$A$5:$A$18,0))</f>
      </c>
      <c r="P261" s="0">
        <f>INDEX(Comptes!$K$5:$K$42,MATCH(E261,Comptes!$A$5:$A$42,0))</f>
      </c>
      <c r="Q261" s="0" t="inlineStr">
        <is>
          <t xml:space="preserve">4</t>
        </is>
      </c>
      <c r="R261" s="7" t="inlineStr">
        <is>
          <t xml:space="preserve">401000|F005</t>
        </is>
      </c>
    </row>
    <row r="262">
      <c r="A262" s="4" t="inlineStr">
        <is>
          <t xml:space="preserve">BQ</t>
        </is>
      </c>
      <c r="B262" s="0" t="inlineStr">
        <is>
          <t xml:space="preserve">Banque Fictive</t>
        </is>
      </c>
      <c r="C262" s="0" t="inlineStr">
        <is>
          <t xml:space="preserve">BQ00137</t>
        </is>
      </c>
      <c r="D262" s="10">
        <v>45751</v>
      </c>
      <c r="E262" s="4" t="inlineStr">
        <is>
          <t xml:space="preserve">512000</t>
        </is>
      </c>
      <c r="F262" s="0" t="inlineStr">
        <is>
          <t xml:space="preserve">Banque Fictive</t>
        </is>
      </c>
      <c r="G262" s="0" t="inlineStr">
        <is>
          <t xml:space="preserve">DEC-F005-202503</t>
        </is>
      </c>
      <c r="H262" s="0" t="inlineStr">
        <is>
          <t xml:space="preserve">Reglement fournisseur Energie Plus F005-202503</t>
        </is>
      </c>
      <c r="I262" s="8">
        <v>0</v>
      </c>
      <c r="J262" s="8">
        <v>3414.28</v>
      </c>
      <c r="K262" s="0"/>
      <c r="L262" s="0"/>
      <c r="M262" s="8">
        <f>I262-J262</f>
      </c>
      <c r="N262" s="0" t="inlineStr">
        <is>
          <t xml:space="preserve">2025-04</t>
        </is>
      </c>
      <c r="O262" s="0">
        <f>INDEX(Journaux!$E$5:$E$18,MATCH("2025|"&amp;A262,Journaux!$A$5:$A$18,0))</f>
      </c>
      <c r="P262" s="0">
        <f>INDEX(Comptes!$K$5:$K$42,MATCH(E262,Comptes!$A$5:$A$42,0))</f>
      </c>
      <c r="Q262" s="0" t="inlineStr">
        <is>
          <t xml:space="preserve">5</t>
        </is>
      </c>
    </row>
    <row r="263">
      <c r="A263" s="4" t="inlineStr">
        <is>
          <t xml:space="preserve">BQ</t>
        </is>
      </c>
      <c r="B263" s="0" t="inlineStr">
        <is>
          <t xml:space="preserve">Banque Fictive</t>
        </is>
      </c>
      <c r="C263" s="0" t="inlineStr">
        <is>
          <t xml:space="preserve">BQ00138</t>
        </is>
      </c>
      <c r="D263" s="10">
        <v>45751</v>
      </c>
      <c r="E263" s="4" t="inlineStr">
        <is>
          <t xml:space="preserve">401000</t>
        </is>
      </c>
      <c r="F263" s="0" t="inlineStr">
        <is>
          <t xml:space="preserve">Fournisseurs</t>
        </is>
      </c>
      <c r="G263" s="0" t="inlineStr">
        <is>
          <t xml:space="preserve">DEC-F008-202503</t>
        </is>
      </c>
      <c r="H263" s="0" t="inlineStr">
        <is>
          <t xml:space="preserve">Reglement fournisseur Telecom Pro F008-202503</t>
        </is>
      </c>
      <c r="I263" s="8">
        <v>576</v>
      </c>
      <c r="J263" s="8">
        <v>0</v>
      </c>
      <c r="K263" s="0" t="inlineStr">
        <is>
          <t xml:space="preserve">ACA</t>
        </is>
      </c>
      <c r="L263" s="0" t="inlineStr">
        <is>
          <t xml:space="preserve">Telecom Pro</t>
        </is>
      </c>
      <c r="M263" s="8">
        <f>I263-J263</f>
      </c>
      <c r="N263" s="0" t="inlineStr">
        <is>
          <t xml:space="preserve">2025-04</t>
        </is>
      </c>
      <c r="O263" s="0">
        <f>INDEX(Journaux!$E$5:$E$18,MATCH("2025|"&amp;A263,Journaux!$A$5:$A$18,0))</f>
      </c>
      <c r="P263" s="0">
        <f>INDEX(Comptes!$K$5:$K$42,MATCH(E263,Comptes!$A$5:$A$42,0))</f>
      </c>
      <c r="Q263" s="0" t="inlineStr">
        <is>
          <t xml:space="preserve">4</t>
        </is>
      </c>
      <c r="R263" s="7" t="inlineStr">
        <is>
          <t xml:space="preserve">401000|F008</t>
        </is>
      </c>
    </row>
    <row r="264">
      <c r="A264" s="4" t="inlineStr">
        <is>
          <t xml:space="preserve">BQ</t>
        </is>
      </c>
      <c r="B264" s="0" t="inlineStr">
        <is>
          <t xml:space="preserve">Banque Fictive</t>
        </is>
      </c>
      <c r="C264" s="0" t="inlineStr">
        <is>
          <t xml:space="preserve">BQ00138</t>
        </is>
      </c>
      <c r="D264" s="10">
        <v>45751</v>
      </c>
      <c r="E264" s="4" t="inlineStr">
        <is>
          <t xml:space="preserve">512000</t>
        </is>
      </c>
      <c r="F264" s="0" t="inlineStr">
        <is>
          <t xml:space="preserve">Banque Fictive</t>
        </is>
      </c>
      <c r="G264" s="0" t="inlineStr">
        <is>
          <t xml:space="preserve">DEC-F008-202503</t>
        </is>
      </c>
      <c r="H264" s="0" t="inlineStr">
        <is>
          <t xml:space="preserve">Reglement fournisseur Telecom Pro F008-202503</t>
        </is>
      </c>
      <c r="I264" s="8">
        <v>0</v>
      </c>
      <c r="J264" s="8">
        <v>576</v>
      </c>
      <c r="K264" s="0"/>
      <c r="L264" s="0"/>
      <c r="M264" s="8">
        <f>I264-J264</f>
      </c>
      <c r="N264" s="0" t="inlineStr">
        <is>
          <t xml:space="preserve">2025-04</t>
        </is>
      </c>
      <c r="O264" s="0">
        <f>INDEX(Journaux!$E$5:$E$18,MATCH("2025|"&amp;A264,Journaux!$A$5:$A$18,0))</f>
      </c>
      <c r="P264" s="0">
        <f>INDEX(Comptes!$K$5:$K$42,MATCH(E264,Comptes!$A$5:$A$42,0))</f>
      </c>
      <c r="Q264" s="0" t="inlineStr">
        <is>
          <t xml:space="preserve">5</t>
        </is>
      </c>
    </row>
    <row r="265">
      <c r="A265" s="4" t="inlineStr">
        <is>
          <t xml:space="preserve">BQ</t>
        </is>
      </c>
      <c r="B265" s="0" t="inlineStr">
        <is>
          <t xml:space="preserve">Banque Fictive</t>
        </is>
      </c>
      <c r="C265" s="0" t="inlineStr">
        <is>
          <t xml:space="preserve">BQ00139</t>
        </is>
      </c>
      <c r="D265" s="10">
        <v>45751</v>
      </c>
      <c r="E265" s="4" t="inlineStr">
        <is>
          <t xml:space="preserve">401000</t>
        </is>
      </c>
      <c r="F265" s="0" t="inlineStr">
        <is>
          <t xml:space="preserve">Fournisseurs</t>
        </is>
      </c>
      <c r="G265" s="0" t="inlineStr">
        <is>
          <t xml:space="preserve">DEC-F007-202503</t>
        </is>
      </c>
      <c r="H265" s="0" t="inlineStr">
        <is>
          <t xml:space="preserve">Reglement fournisseur Cabinet Comptable Exemple F007-202503</t>
        </is>
      </c>
      <c r="I265" s="8">
        <v>7200</v>
      </c>
      <c r="J265" s="8">
        <v>0</v>
      </c>
      <c r="K265" s="0" t="inlineStr">
        <is>
          <t xml:space="preserve">ACB</t>
        </is>
      </c>
      <c r="L265" s="0" t="inlineStr">
        <is>
          <t xml:space="preserve">Cabinet Comptable Exemple</t>
        </is>
      </c>
      <c r="M265" s="8">
        <f>I265-J265</f>
      </c>
      <c r="N265" s="0" t="inlineStr">
        <is>
          <t xml:space="preserve">2025-04</t>
        </is>
      </c>
      <c r="O265" s="0">
        <f>INDEX(Journaux!$E$5:$E$18,MATCH("2025|"&amp;A265,Journaux!$A$5:$A$18,0))</f>
      </c>
      <c r="P265" s="0">
        <f>INDEX(Comptes!$K$5:$K$42,MATCH(E265,Comptes!$A$5:$A$42,0))</f>
      </c>
      <c r="Q265" s="0" t="inlineStr">
        <is>
          <t xml:space="preserve">4</t>
        </is>
      </c>
      <c r="R265" s="7" t="inlineStr">
        <is>
          <t xml:space="preserve">401000|F007</t>
        </is>
      </c>
    </row>
    <row r="266">
      <c r="A266" s="4" t="inlineStr">
        <is>
          <t xml:space="preserve">BQ</t>
        </is>
      </c>
      <c r="B266" s="0" t="inlineStr">
        <is>
          <t xml:space="preserve">Banque Fictive</t>
        </is>
      </c>
      <c r="C266" s="0" t="inlineStr">
        <is>
          <t xml:space="preserve">BQ00139</t>
        </is>
      </c>
      <c r="D266" s="10">
        <v>45751</v>
      </c>
      <c r="E266" s="4" t="inlineStr">
        <is>
          <t xml:space="preserve">512000</t>
        </is>
      </c>
      <c r="F266" s="0" t="inlineStr">
        <is>
          <t xml:space="preserve">Banque Fictive</t>
        </is>
      </c>
      <c r="G266" s="0" t="inlineStr">
        <is>
          <t xml:space="preserve">DEC-F007-202503</t>
        </is>
      </c>
      <c r="H266" s="0" t="inlineStr">
        <is>
          <t xml:space="preserve">Reglement fournisseur Cabinet Comptable Exemple F007-202503</t>
        </is>
      </c>
      <c r="I266" s="8">
        <v>0</v>
      </c>
      <c r="J266" s="8">
        <v>7200</v>
      </c>
      <c r="K266" s="0"/>
      <c r="L266" s="0"/>
      <c r="M266" s="8">
        <f>I266-J266</f>
      </c>
      <c r="N266" s="0" t="inlineStr">
        <is>
          <t xml:space="preserve">2025-04</t>
        </is>
      </c>
      <c r="O266" s="0">
        <f>INDEX(Journaux!$E$5:$E$18,MATCH("2025|"&amp;A266,Journaux!$A$5:$A$18,0))</f>
      </c>
      <c r="P266" s="0">
        <f>INDEX(Comptes!$K$5:$K$42,MATCH(E266,Comptes!$A$5:$A$42,0))</f>
      </c>
      <c r="Q266" s="0" t="inlineStr">
        <is>
          <t xml:space="preserve">5</t>
        </is>
      </c>
    </row>
    <row r="267">
      <c r="A267" s="4" t="inlineStr">
        <is>
          <t xml:space="preserve">AC</t>
        </is>
      </c>
      <c r="B267" s="0" t="inlineStr">
        <is>
          <t xml:space="preserve">Journal des achats</t>
        </is>
      </c>
      <c r="C267" s="0" t="inlineStr">
        <is>
          <t xml:space="preserve">AC00024</t>
        </is>
      </c>
      <c r="D267" s="10">
        <v>45752</v>
      </c>
      <c r="E267" s="4" t="inlineStr">
        <is>
          <t xml:space="preserve">613200</t>
        </is>
      </c>
      <c r="F267" s="0" t="inlineStr">
        <is>
          <t xml:space="preserve">Locations immobilieres</t>
        </is>
      </c>
      <c r="G267" s="0" t="inlineStr">
        <is>
          <t xml:space="preserve">F004-202504</t>
        </is>
      </c>
      <c r="H267" s="0" t="inlineStr">
        <is>
          <t xml:space="preserve">Facture SCI Les Halles 2025-04</t>
        </is>
      </c>
      <c r="I267" s="8">
        <v>8500</v>
      </c>
      <c r="J267" s="8">
        <v>0</v>
      </c>
      <c r="K267" s="0"/>
      <c r="L267" s="0"/>
      <c r="M267" s="8">
        <f>I267-J267</f>
      </c>
      <c r="N267" s="0" t="inlineStr">
        <is>
          <t xml:space="preserve">2025-04</t>
        </is>
      </c>
      <c r="O267" s="0">
        <f>INDEX(Journaux!$E$5:$E$18,MATCH("2025|"&amp;A267,Journaux!$A$5:$A$18,0))</f>
      </c>
      <c r="P267" s="0">
        <f>INDEX(Comptes!$K$5:$K$42,MATCH(E267,Comptes!$A$5:$A$42,0))</f>
      </c>
      <c r="Q267" s="0" t="inlineStr">
        <is>
          <t xml:space="preserve">6</t>
        </is>
      </c>
    </row>
    <row r="268">
      <c r="A268" s="4" t="inlineStr">
        <is>
          <t xml:space="preserve">AC</t>
        </is>
      </c>
      <c r="B268" s="0" t="inlineStr">
        <is>
          <t xml:space="preserve">Journal des achats</t>
        </is>
      </c>
      <c r="C268" s="0" t="inlineStr">
        <is>
          <t xml:space="preserve">AC00024</t>
        </is>
      </c>
      <c r="D268" s="10">
        <v>45752</v>
      </c>
      <c r="E268" s="4" t="inlineStr">
        <is>
          <t xml:space="preserve">445660</t>
        </is>
      </c>
      <c r="F268" s="0" t="inlineStr">
        <is>
          <t xml:space="preserve">TVA deductible sur ABS</t>
        </is>
      </c>
      <c r="G268" s="0" t="inlineStr">
        <is>
          <t xml:space="preserve">F004-202504</t>
        </is>
      </c>
      <c r="H268" s="0" t="inlineStr">
        <is>
          <t xml:space="preserve">Facture SCI Les Halles 2025-04</t>
        </is>
      </c>
      <c r="I268" s="8">
        <v>1700</v>
      </c>
      <c r="J268" s="8">
        <v>0</v>
      </c>
      <c r="K268" s="0"/>
      <c r="L268" s="0"/>
      <c r="M268" s="8">
        <f>I268-J268</f>
      </c>
      <c r="N268" s="0" t="inlineStr">
        <is>
          <t xml:space="preserve">2025-04</t>
        </is>
      </c>
      <c r="O268" s="0">
        <f>INDEX(Journaux!$E$5:$E$18,MATCH("2025|"&amp;A268,Journaux!$A$5:$A$18,0))</f>
      </c>
      <c r="P268" s="0">
        <f>INDEX(Comptes!$K$5:$K$42,MATCH(E268,Comptes!$A$5:$A$42,0))</f>
      </c>
      <c r="Q268" s="0" t="inlineStr">
        <is>
          <t xml:space="preserve">4</t>
        </is>
      </c>
    </row>
    <row r="269">
      <c r="A269" s="4" t="inlineStr">
        <is>
          <t xml:space="preserve">AC</t>
        </is>
      </c>
      <c r="B269" s="0" t="inlineStr">
        <is>
          <t xml:space="preserve">Journal des achats</t>
        </is>
      </c>
      <c r="C269" s="0" t="inlineStr">
        <is>
          <t xml:space="preserve">AC00024</t>
        </is>
      </c>
      <c r="D269" s="10">
        <v>45752</v>
      </c>
      <c r="E269" s="4" t="inlineStr">
        <is>
          <t xml:space="preserve">401000</t>
        </is>
      </c>
      <c r="F269" s="0" t="inlineStr">
        <is>
          <t xml:space="preserve">Fournisseurs</t>
        </is>
      </c>
      <c r="G269" s="0" t="inlineStr">
        <is>
          <t xml:space="preserve">F004-202504</t>
        </is>
      </c>
      <c r="H269" s="0" t="inlineStr">
        <is>
          <t xml:space="preserve">Facture SCI Les Halles 2025-04</t>
        </is>
      </c>
      <c r="I269" s="8">
        <v>0</v>
      </c>
      <c r="J269" s="8">
        <v>10200</v>
      </c>
      <c r="K269" s="0" t="inlineStr">
        <is>
          <t xml:space="preserve">ACF</t>
        </is>
      </c>
      <c r="L269" s="0" t="inlineStr">
        <is>
          <t xml:space="preserve">SCI Les Halles</t>
        </is>
      </c>
      <c r="M269" s="8">
        <f>I269-J269</f>
      </c>
      <c r="N269" s="0" t="inlineStr">
        <is>
          <t xml:space="preserve">2025-04</t>
        </is>
      </c>
      <c r="O269" s="0">
        <f>INDEX(Journaux!$E$5:$E$18,MATCH("2025|"&amp;A269,Journaux!$A$5:$A$18,0))</f>
      </c>
      <c r="P269" s="0">
        <f>INDEX(Comptes!$K$5:$K$42,MATCH(E269,Comptes!$A$5:$A$42,0))</f>
      </c>
      <c r="Q269" s="0" t="inlineStr">
        <is>
          <t xml:space="preserve">4</t>
        </is>
      </c>
      <c r="R269" s="7" t="inlineStr">
        <is>
          <t xml:space="preserve">401000|F004</t>
        </is>
      </c>
    </row>
    <row r="270">
      <c r="A270" s="4" t="inlineStr">
        <is>
          <t xml:space="preserve">AC</t>
        </is>
      </c>
      <c r="B270" s="0" t="inlineStr">
        <is>
          <t xml:space="preserve">Journal des achats</t>
        </is>
      </c>
      <c r="C270" s="0" t="inlineStr">
        <is>
          <t xml:space="preserve">AC00025</t>
        </is>
      </c>
      <c r="D270" s="10">
        <v>45752</v>
      </c>
      <c r="E270" s="4" t="inlineStr">
        <is>
          <t xml:space="preserve">606100</t>
        </is>
      </c>
      <c r="F270" s="0" t="inlineStr">
        <is>
          <t xml:space="preserve">Fournitures non stockables energie</t>
        </is>
      </c>
      <c r="G270" s="0" t="inlineStr">
        <is>
          <t xml:space="preserve">F005-202504</t>
        </is>
      </c>
      <c r="H270" s="0" t="inlineStr">
        <is>
          <t xml:space="preserve">Facture Energie Plus 2025-04</t>
        </is>
      </c>
      <c r="I270" s="8">
        <v>3221.98</v>
      </c>
      <c r="J270" s="8">
        <v>0</v>
      </c>
      <c r="K270" s="0"/>
      <c r="L270" s="0"/>
      <c r="M270" s="8">
        <f>I270-J270</f>
      </c>
      <c r="N270" s="0" t="inlineStr">
        <is>
          <t xml:space="preserve">2025-04</t>
        </is>
      </c>
      <c r="O270" s="0">
        <f>INDEX(Journaux!$E$5:$E$18,MATCH("2025|"&amp;A270,Journaux!$A$5:$A$18,0))</f>
      </c>
      <c r="P270" s="0">
        <f>INDEX(Comptes!$K$5:$K$42,MATCH(E270,Comptes!$A$5:$A$42,0))</f>
      </c>
      <c r="Q270" s="0" t="inlineStr">
        <is>
          <t xml:space="preserve">6</t>
        </is>
      </c>
    </row>
    <row r="271">
      <c r="A271" s="4" t="inlineStr">
        <is>
          <t xml:space="preserve">AC</t>
        </is>
      </c>
      <c r="B271" s="0" t="inlineStr">
        <is>
          <t xml:space="preserve">Journal des achats</t>
        </is>
      </c>
      <c r="C271" s="0" t="inlineStr">
        <is>
          <t xml:space="preserve">AC00025</t>
        </is>
      </c>
      <c r="D271" s="10">
        <v>45752</v>
      </c>
      <c r="E271" s="4" t="inlineStr">
        <is>
          <t xml:space="preserve">445660</t>
        </is>
      </c>
      <c r="F271" s="0" t="inlineStr">
        <is>
          <t xml:space="preserve">TVA deductible sur ABS</t>
        </is>
      </c>
      <c r="G271" s="0" t="inlineStr">
        <is>
          <t xml:space="preserve">F005-202504</t>
        </is>
      </c>
      <c r="H271" s="0" t="inlineStr">
        <is>
          <t xml:space="preserve">Facture Energie Plus 2025-04</t>
        </is>
      </c>
      <c r="I271" s="8">
        <v>644.4</v>
      </c>
      <c r="J271" s="8">
        <v>0</v>
      </c>
      <c r="K271" s="0"/>
      <c r="L271" s="0"/>
      <c r="M271" s="8">
        <f>I271-J271</f>
      </c>
      <c r="N271" s="0" t="inlineStr">
        <is>
          <t xml:space="preserve">2025-04</t>
        </is>
      </c>
      <c r="O271" s="0">
        <f>INDEX(Journaux!$E$5:$E$18,MATCH("2025|"&amp;A271,Journaux!$A$5:$A$18,0))</f>
      </c>
      <c r="P271" s="0">
        <f>INDEX(Comptes!$K$5:$K$42,MATCH(E271,Comptes!$A$5:$A$42,0))</f>
      </c>
      <c r="Q271" s="0" t="inlineStr">
        <is>
          <t xml:space="preserve">4</t>
        </is>
      </c>
    </row>
    <row r="272">
      <c r="A272" s="4" t="inlineStr">
        <is>
          <t xml:space="preserve">AC</t>
        </is>
      </c>
      <c r="B272" s="0" t="inlineStr">
        <is>
          <t xml:space="preserve">Journal des achats</t>
        </is>
      </c>
      <c r="C272" s="0" t="inlineStr">
        <is>
          <t xml:space="preserve">AC00025</t>
        </is>
      </c>
      <c r="D272" s="10">
        <v>45752</v>
      </c>
      <c r="E272" s="4" t="inlineStr">
        <is>
          <t xml:space="preserve">401000</t>
        </is>
      </c>
      <c r="F272" s="0" t="inlineStr">
        <is>
          <t xml:space="preserve">Fournisseurs</t>
        </is>
      </c>
      <c r="G272" s="0" t="inlineStr">
        <is>
          <t xml:space="preserve">F005-202504</t>
        </is>
      </c>
      <c r="H272" s="0" t="inlineStr">
        <is>
          <t xml:space="preserve">Facture Energie Plus 2025-04</t>
        </is>
      </c>
      <c r="I272" s="8">
        <v>0</v>
      </c>
      <c r="J272" s="8">
        <v>3866.38</v>
      </c>
      <c r="K272" s="0" t="inlineStr">
        <is>
          <t xml:space="preserve">ACG</t>
        </is>
      </c>
      <c r="L272" s="0" t="inlineStr">
        <is>
          <t xml:space="preserve">Energie Plus</t>
        </is>
      </c>
      <c r="M272" s="8">
        <f>I272-J272</f>
      </c>
      <c r="N272" s="0" t="inlineStr">
        <is>
          <t xml:space="preserve">2025-04</t>
        </is>
      </c>
      <c r="O272" s="0">
        <f>INDEX(Journaux!$E$5:$E$18,MATCH("2025|"&amp;A272,Journaux!$A$5:$A$18,0))</f>
      </c>
      <c r="P272" s="0">
        <f>INDEX(Comptes!$K$5:$K$42,MATCH(E272,Comptes!$A$5:$A$42,0))</f>
      </c>
      <c r="Q272" s="0" t="inlineStr">
        <is>
          <t xml:space="preserve">4</t>
        </is>
      </c>
      <c r="R272" s="7" t="inlineStr">
        <is>
          <t xml:space="preserve">401000|F005</t>
        </is>
      </c>
    </row>
    <row r="273">
      <c r="A273" s="4" t="inlineStr">
        <is>
          <t xml:space="preserve">AC</t>
        </is>
      </c>
      <c r="B273" s="0" t="inlineStr">
        <is>
          <t xml:space="preserve">Journal des achats</t>
        </is>
      </c>
      <c r="C273" s="0" t="inlineStr">
        <is>
          <t xml:space="preserve">AC00026</t>
        </is>
      </c>
      <c r="D273" s="10">
        <v>45752</v>
      </c>
      <c r="E273" s="4" t="inlineStr">
        <is>
          <t xml:space="preserve">626000</t>
        </is>
      </c>
      <c r="F273" s="0" t="inlineStr">
        <is>
          <t xml:space="preserve">Frais postaux et telecommunications</t>
        </is>
      </c>
      <c r="G273" s="0" t="inlineStr">
        <is>
          <t xml:space="preserve">F008-202504</t>
        </is>
      </c>
      <c r="H273" s="0" t="inlineStr">
        <is>
          <t xml:space="preserve">Facture Telecom Pro 2025-04</t>
        </is>
      </c>
      <c r="I273" s="8">
        <v>480</v>
      </c>
      <c r="J273" s="8">
        <v>0</v>
      </c>
      <c r="K273" s="0"/>
      <c r="L273" s="0"/>
      <c r="M273" s="8">
        <f>I273-J273</f>
      </c>
      <c r="N273" s="0" t="inlineStr">
        <is>
          <t xml:space="preserve">2025-04</t>
        </is>
      </c>
      <c r="O273" s="0">
        <f>INDEX(Journaux!$E$5:$E$18,MATCH("2025|"&amp;A273,Journaux!$A$5:$A$18,0))</f>
      </c>
      <c r="P273" s="0">
        <f>INDEX(Comptes!$K$5:$K$42,MATCH(E273,Comptes!$A$5:$A$42,0))</f>
      </c>
      <c r="Q273" s="0" t="inlineStr">
        <is>
          <t xml:space="preserve">6</t>
        </is>
      </c>
    </row>
    <row r="274">
      <c r="A274" s="4" t="inlineStr">
        <is>
          <t xml:space="preserve">AC</t>
        </is>
      </c>
      <c r="B274" s="0" t="inlineStr">
        <is>
          <t xml:space="preserve">Journal des achats</t>
        </is>
      </c>
      <c r="C274" s="0" t="inlineStr">
        <is>
          <t xml:space="preserve">AC00026</t>
        </is>
      </c>
      <c r="D274" s="10">
        <v>45752</v>
      </c>
      <c r="E274" s="4" t="inlineStr">
        <is>
          <t xml:space="preserve">445660</t>
        </is>
      </c>
      <c r="F274" s="0" t="inlineStr">
        <is>
          <t xml:space="preserve">TVA deductible sur ABS</t>
        </is>
      </c>
      <c r="G274" s="0" t="inlineStr">
        <is>
          <t xml:space="preserve">F008-202504</t>
        </is>
      </c>
      <c r="H274" s="0" t="inlineStr">
        <is>
          <t xml:space="preserve">Facture Telecom Pro 2025-04</t>
        </is>
      </c>
      <c r="I274" s="8">
        <v>96</v>
      </c>
      <c r="J274" s="8">
        <v>0</v>
      </c>
      <c r="K274" s="0"/>
      <c r="L274" s="0"/>
      <c r="M274" s="8">
        <f>I274-J274</f>
      </c>
      <c r="N274" s="0" t="inlineStr">
        <is>
          <t xml:space="preserve">2025-04</t>
        </is>
      </c>
      <c r="O274" s="0">
        <f>INDEX(Journaux!$E$5:$E$18,MATCH("2025|"&amp;A274,Journaux!$A$5:$A$18,0))</f>
      </c>
      <c r="P274" s="0">
        <f>INDEX(Comptes!$K$5:$K$42,MATCH(E274,Comptes!$A$5:$A$42,0))</f>
      </c>
      <c r="Q274" s="0" t="inlineStr">
        <is>
          <t xml:space="preserve">4</t>
        </is>
      </c>
    </row>
    <row r="275">
      <c r="A275" s="4" t="inlineStr">
        <is>
          <t xml:space="preserve">AC</t>
        </is>
      </c>
      <c r="B275" s="0" t="inlineStr">
        <is>
          <t xml:space="preserve">Journal des achats</t>
        </is>
      </c>
      <c r="C275" s="0" t="inlineStr">
        <is>
          <t xml:space="preserve">AC00026</t>
        </is>
      </c>
      <c r="D275" s="10">
        <v>45752</v>
      </c>
      <c r="E275" s="4" t="inlineStr">
        <is>
          <t xml:space="preserve">401000</t>
        </is>
      </c>
      <c r="F275" s="0" t="inlineStr">
        <is>
          <t xml:space="preserve">Fournisseurs</t>
        </is>
      </c>
      <c r="G275" s="0" t="inlineStr">
        <is>
          <t xml:space="preserve">F008-202504</t>
        </is>
      </c>
      <c r="H275" s="0" t="inlineStr">
        <is>
          <t xml:space="preserve">Facture Telecom Pro 2025-04</t>
        </is>
      </c>
      <c r="I275" s="8">
        <v>0</v>
      </c>
      <c r="J275" s="8">
        <v>576</v>
      </c>
      <c r="K275" s="0" t="inlineStr">
        <is>
          <t xml:space="preserve">ACH</t>
        </is>
      </c>
      <c r="L275" s="0" t="inlineStr">
        <is>
          <t xml:space="preserve">Telecom Pro</t>
        </is>
      </c>
      <c r="M275" s="8">
        <f>I275-J275</f>
      </c>
      <c r="N275" s="0" t="inlineStr">
        <is>
          <t xml:space="preserve">2025-04</t>
        </is>
      </c>
      <c r="O275" s="0">
        <f>INDEX(Journaux!$E$5:$E$18,MATCH("2025|"&amp;A275,Journaux!$A$5:$A$18,0))</f>
      </c>
      <c r="P275" s="0">
        <f>INDEX(Comptes!$K$5:$K$42,MATCH(E275,Comptes!$A$5:$A$42,0))</f>
      </c>
      <c r="Q275" s="0" t="inlineStr">
        <is>
          <t xml:space="preserve">4</t>
        </is>
      </c>
      <c r="R275" s="7" t="inlineStr">
        <is>
          <t xml:space="preserve">401000|F008</t>
        </is>
      </c>
    </row>
    <row r="276">
      <c r="A276" s="4" t="inlineStr">
        <is>
          <t xml:space="preserve">AC</t>
        </is>
      </c>
      <c r="B276" s="0" t="inlineStr">
        <is>
          <t xml:space="preserve">Journal des achats</t>
        </is>
      </c>
      <c r="C276" s="0" t="inlineStr">
        <is>
          <t xml:space="preserve">AC00027</t>
        </is>
      </c>
      <c r="D276" s="10">
        <v>45752</v>
      </c>
      <c r="E276" s="4" t="inlineStr">
        <is>
          <t xml:space="preserve">616000</t>
        </is>
      </c>
      <c r="F276" s="0" t="inlineStr">
        <is>
          <t xml:space="preserve">Primes d'assurance</t>
        </is>
      </c>
      <c r="G276" s="0" t="inlineStr">
        <is>
          <t xml:space="preserve">F006-202504</t>
        </is>
      </c>
      <c r="H276" s="0" t="inlineStr">
        <is>
          <t xml:space="preserve">Facture Assurances Mutuelles Exemple 2025-04</t>
        </is>
      </c>
      <c r="I276" s="8">
        <v>3000</v>
      </c>
      <c r="J276" s="8">
        <v>0</v>
      </c>
      <c r="K276" s="0"/>
      <c r="L276" s="0"/>
      <c r="M276" s="8">
        <f>I276-J276</f>
      </c>
      <c r="N276" s="0" t="inlineStr">
        <is>
          <t xml:space="preserve">2025-04</t>
        </is>
      </c>
      <c r="O276" s="0">
        <f>INDEX(Journaux!$E$5:$E$18,MATCH("2025|"&amp;A276,Journaux!$A$5:$A$18,0))</f>
      </c>
      <c r="P276" s="0">
        <f>INDEX(Comptes!$K$5:$K$42,MATCH(E276,Comptes!$A$5:$A$42,0))</f>
      </c>
      <c r="Q276" s="0" t="inlineStr">
        <is>
          <t xml:space="preserve">6</t>
        </is>
      </c>
    </row>
    <row r="277">
      <c r="A277" s="4" t="inlineStr">
        <is>
          <t xml:space="preserve">AC</t>
        </is>
      </c>
      <c r="B277" s="0" t="inlineStr">
        <is>
          <t xml:space="preserve">Journal des achats</t>
        </is>
      </c>
      <c r="C277" s="0" t="inlineStr">
        <is>
          <t xml:space="preserve">AC00027</t>
        </is>
      </c>
      <c r="D277" s="10">
        <v>45752</v>
      </c>
      <c r="E277" s="4" t="inlineStr">
        <is>
          <t xml:space="preserve">401000</t>
        </is>
      </c>
      <c r="F277" s="0" t="inlineStr">
        <is>
          <t xml:space="preserve">Fournisseurs</t>
        </is>
      </c>
      <c r="G277" s="0" t="inlineStr">
        <is>
          <t xml:space="preserve">F006-202504</t>
        </is>
      </c>
      <c r="H277" s="0" t="inlineStr">
        <is>
          <t xml:space="preserve">Facture Assurances Mutuelles Exemple 2025-04</t>
        </is>
      </c>
      <c r="I277" s="8">
        <v>0</v>
      </c>
      <c r="J277" s="8">
        <v>3000</v>
      </c>
      <c r="K277" s="0" t="inlineStr">
        <is>
          <t xml:space="preserve">ACI</t>
        </is>
      </c>
      <c r="L277" s="0" t="inlineStr">
        <is>
          <t xml:space="preserve">Assurances Mutuelles Exemple</t>
        </is>
      </c>
      <c r="M277" s="8">
        <f>I277-J277</f>
      </c>
      <c r="N277" s="0" t="inlineStr">
        <is>
          <t xml:space="preserve">2025-04</t>
        </is>
      </c>
      <c r="O277" s="0">
        <f>INDEX(Journaux!$E$5:$E$18,MATCH("2025|"&amp;A277,Journaux!$A$5:$A$18,0))</f>
      </c>
      <c r="P277" s="0">
        <f>INDEX(Comptes!$K$5:$K$42,MATCH(E277,Comptes!$A$5:$A$42,0))</f>
      </c>
      <c r="Q277" s="0" t="inlineStr">
        <is>
          <t xml:space="preserve">4</t>
        </is>
      </c>
      <c r="R277" s="7" t="inlineStr">
        <is>
          <t xml:space="preserve">401000|F006</t>
        </is>
      </c>
    </row>
    <row r="278">
      <c r="A278" s="4" t="inlineStr">
        <is>
          <t xml:space="preserve">BQ</t>
        </is>
      </c>
      <c r="B278" s="0" t="inlineStr">
        <is>
          <t xml:space="preserve">Banque Fictive</t>
        </is>
      </c>
      <c r="C278" s="0" t="inlineStr">
        <is>
          <t xml:space="preserve">BQ00070</t>
        </is>
      </c>
      <c r="D278" s="10">
        <v>45754</v>
      </c>
      <c r="E278" s="4" t="inlineStr">
        <is>
          <t xml:space="preserve">512000</t>
        </is>
      </c>
      <c r="F278" s="0" t="inlineStr">
        <is>
          <t xml:space="preserve">Banque Fictive</t>
        </is>
      </c>
      <c r="G278" s="0" t="inlineStr">
        <is>
          <t xml:space="preserve">ENC-FA2025-0003</t>
        </is>
      </c>
      <c r="H278" s="0" t="inlineStr">
        <is>
          <t xml:space="preserve">Reglement client Residence Bel Air FA2025-0003</t>
        </is>
      </c>
      <c r="I278" s="8">
        <v>21215.65</v>
      </c>
      <c r="J278" s="8">
        <v>0</v>
      </c>
      <c r="K278" s="0"/>
      <c r="L278" s="0"/>
      <c r="M278" s="8">
        <f>I278-J278</f>
      </c>
      <c r="N278" s="0" t="inlineStr">
        <is>
          <t xml:space="preserve">2025-04</t>
        </is>
      </c>
      <c r="O278" s="0">
        <f>INDEX(Journaux!$E$5:$E$18,MATCH("2025|"&amp;A278,Journaux!$A$5:$A$18,0))</f>
      </c>
      <c r="P278" s="0">
        <f>INDEX(Comptes!$K$5:$K$42,MATCH(E278,Comptes!$A$5:$A$42,0))</f>
      </c>
      <c r="Q278" s="0" t="inlineStr">
        <is>
          <t xml:space="preserve">5</t>
        </is>
      </c>
    </row>
    <row r="279">
      <c r="A279" s="4" t="inlineStr">
        <is>
          <t xml:space="preserve">BQ</t>
        </is>
      </c>
      <c r="B279" s="0" t="inlineStr">
        <is>
          <t xml:space="preserve">Banque Fictive</t>
        </is>
      </c>
      <c r="C279" s="0" t="inlineStr">
        <is>
          <t xml:space="preserve">BQ00070</t>
        </is>
      </c>
      <c r="D279" s="10">
        <v>45754</v>
      </c>
      <c r="E279" s="4" t="inlineStr">
        <is>
          <t xml:space="preserve">411000</t>
        </is>
      </c>
      <c r="F279" s="0" t="inlineStr">
        <is>
          <t xml:space="preserve">Clients</t>
        </is>
      </c>
      <c r="G279" s="0" t="inlineStr">
        <is>
          <t xml:space="preserve">ENC-FA2025-0003</t>
        </is>
      </c>
      <c r="H279" s="0" t="inlineStr">
        <is>
          <t xml:space="preserve">Reglement client Residence Bel Air FA2025-0003</t>
        </is>
      </c>
      <c r="I279" s="8">
        <v>0</v>
      </c>
      <c r="J279" s="8">
        <v>21215.65</v>
      </c>
      <c r="K279" s="0" t="inlineStr">
        <is>
          <t xml:space="preserve">AAK</t>
        </is>
      </c>
      <c r="L279" s="0" t="inlineStr">
        <is>
          <t xml:space="preserve">Residence Bel Air</t>
        </is>
      </c>
      <c r="M279" s="8">
        <f>I279-J279</f>
      </c>
      <c r="N279" s="0" t="inlineStr">
        <is>
          <t xml:space="preserve">2025-04</t>
        </is>
      </c>
      <c r="O279" s="0">
        <f>INDEX(Journaux!$E$5:$E$18,MATCH("2025|"&amp;A279,Journaux!$A$5:$A$18,0))</f>
      </c>
      <c r="P279" s="0">
        <f>INDEX(Comptes!$K$5:$K$42,MATCH(E279,Comptes!$A$5:$A$42,0))</f>
      </c>
      <c r="Q279" s="0" t="inlineStr">
        <is>
          <t xml:space="preserve">4</t>
        </is>
      </c>
      <c r="R279" s="7" t="inlineStr">
        <is>
          <t xml:space="preserve">411000|C003</t>
        </is>
      </c>
    </row>
    <row r="280">
      <c r="A280" s="4" t="inlineStr">
        <is>
          <t xml:space="preserve">BQ</t>
        </is>
      </c>
      <c r="B280" s="0" t="inlineStr">
        <is>
          <t xml:space="preserve">Banque Fictive</t>
        </is>
      </c>
      <c r="C280" s="0" t="inlineStr">
        <is>
          <t xml:space="preserve">BQ00011</t>
        </is>
      </c>
      <c r="D280" s="10">
        <v>45757</v>
      </c>
      <c r="E280" s="4" t="inlineStr">
        <is>
          <t xml:space="preserve">164000</t>
        </is>
      </c>
      <c r="F280" s="0" t="inlineStr">
        <is>
          <t xml:space="preserve">Emprunts aupres des etablissements de credit</t>
        </is>
      </c>
      <c r="G280" s="0" t="inlineStr">
        <is>
          <t xml:space="preserve">ECH202504</t>
        </is>
      </c>
      <c r="H280" s="0" t="inlineStr">
        <is>
          <t xml:space="preserve">Echeance emprunt 04/2025</t>
        </is>
      </c>
      <c r="I280" s="8">
        <v>2000</v>
      </c>
      <c r="J280" s="8">
        <v>0</v>
      </c>
      <c r="K280" s="0"/>
      <c r="L280" s="0"/>
      <c r="M280" s="8">
        <f>I280-J280</f>
      </c>
      <c r="N280" s="0" t="inlineStr">
        <is>
          <t xml:space="preserve">2025-04</t>
        </is>
      </c>
      <c r="O280" s="0">
        <f>INDEX(Journaux!$E$5:$E$18,MATCH("2025|"&amp;A280,Journaux!$A$5:$A$18,0))</f>
      </c>
      <c r="P280" s="0">
        <f>INDEX(Comptes!$K$5:$K$42,MATCH(E280,Comptes!$A$5:$A$42,0))</f>
      </c>
      <c r="Q280" s="0" t="inlineStr">
        <is>
          <t xml:space="preserve">1</t>
        </is>
      </c>
    </row>
    <row r="281">
      <c r="A281" s="4" t="inlineStr">
        <is>
          <t xml:space="preserve">BQ</t>
        </is>
      </c>
      <c r="B281" s="0" t="inlineStr">
        <is>
          <t xml:space="preserve">Banque Fictive</t>
        </is>
      </c>
      <c r="C281" s="0" t="inlineStr">
        <is>
          <t xml:space="preserve">BQ00011</t>
        </is>
      </c>
      <c r="D281" s="10">
        <v>45757</v>
      </c>
      <c r="E281" s="4" t="inlineStr">
        <is>
          <t xml:space="preserve">661100</t>
        </is>
      </c>
      <c r="F281" s="0" t="inlineStr">
        <is>
          <t xml:space="preserve">Interets des emprunts</t>
        </is>
      </c>
      <c r="G281" s="0" t="inlineStr">
        <is>
          <t xml:space="preserve">ECH202504</t>
        </is>
      </c>
      <c r="H281" s="0" t="inlineStr">
        <is>
          <t xml:space="preserve">Echeance emprunt 04/2025</t>
        </is>
      </c>
      <c r="I281" s="8">
        <v>200</v>
      </c>
      <c r="J281" s="8">
        <v>0</v>
      </c>
      <c r="K281" s="0"/>
      <c r="L281" s="0"/>
      <c r="M281" s="8">
        <f>I281-J281</f>
      </c>
      <c r="N281" s="0" t="inlineStr">
        <is>
          <t xml:space="preserve">2025-04</t>
        </is>
      </c>
      <c r="O281" s="0">
        <f>INDEX(Journaux!$E$5:$E$18,MATCH("2025|"&amp;A281,Journaux!$A$5:$A$18,0))</f>
      </c>
      <c r="P281" s="0">
        <f>INDEX(Comptes!$K$5:$K$42,MATCH(E281,Comptes!$A$5:$A$42,0))</f>
      </c>
      <c r="Q281" s="0" t="inlineStr">
        <is>
          <t xml:space="preserve">6</t>
        </is>
      </c>
    </row>
    <row r="282">
      <c r="A282" s="4" t="inlineStr">
        <is>
          <t xml:space="preserve">BQ</t>
        </is>
      </c>
      <c r="B282" s="0" t="inlineStr">
        <is>
          <t xml:space="preserve">Banque Fictive</t>
        </is>
      </c>
      <c r="C282" s="0" t="inlineStr">
        <is>
          <t xml:space="preserve">BQ00011</t>
        </is>
      </c>
      <c r="D282" s="10">
        <v>45757</v>
      </c>
      <c r="E282" s="4" t="inlineStr">
        <is>
          <t xml:space="preserve">512000</t>
        </is>
      </c>
      <c r="F282" s="0" t="inlineStr">
        <is>
          <t xml:space="preserve">Banque Fictive</t>
        </is>
      </c>
      <c r="G282" s="0" t="inlineStr">
        <is>
          <t xml:space="preserve">ECH202504</t>
        </is>
      </c>
      <c r="H282" s="0" t="inlineStr">
        <is>
          <t xml:space="preserve">Echeance emprunt 04/2025</t>
        </is>
      </c>
      <c r="I282" s="8">
        <v>0</v>
      </c>
      <c r="J282" s="8">
        <v>2200</v>
      </c>
      <c r="K282" s="0"/>
      <c r="L282" s="0"/>
      <c r="M282" s="8">
        <f>I282-J282</f>
      </c>
      <c r="N282" s="0" t="inlineStr">
        <is>
          <t xml:space="preserve">2025-04</t>
        </is>
      </c>
      <c r="O282" s="0">
        <f>INDEX(Journaux!$E$5:$E$18,MATCH("2025|"&amp;A282,Journaux!$A$5:$A$18,0))</f>
      </c>
      <c r="P282" s="0">
        <f>INDEX(Comptes!$K$5:$K$42,MATCH(E282,Comptes!$A$5:$A$42,0))</f>
      </c>
      <c r="Q282" s="0" t="inlineStr">
        <is>
          <t xml:space="preserve">5</t>
        </is>
      </c>
    </row>
    <row r="283">
      <c r="A283" s="4" t="inlineStr">
        <is>
          <t xml:space="preserve">BQ</t>
        </is>
      </c>
      <c r="B283" s="0" t="inlineStr">
        <is>
          <t xml:space="preserve">Banque Fictive</t>
        </is>
      </c>
      <c r="C283" s="0" t="inlineStr">
        <is>
          <t xml:space="preserve">BQ00128</t>
        </is>
      </c>
      <c r="D283" s="10">
        <v>45758</v>
      </c>
      <c r="E283" s="4" t="inlineStr">
        <is>
          <t xml:space="preserve">401000</t>
        </is>
      </c>
      <c r="F283" s="0" t="inlineStr">
        <is>
          <t xml:space="preserve">Fournisseurs</t>
        </is>
      </c>
      <c r="G283" s="0" t="inlineStr">
        <is>
          <t xml:space="preserve">DEC-F001-2025022</t>
        </is>
      </c>
      <c r="H283" s="0" t="inlineStr">
        <is>
          <t xml:space="preserve">Reglement fournisseur Scierie du Nord F001-2025022</t>
        </is>
      </c>
      <c r="I283" s="8">
        <v>21807.58</v>
      </c>
      <c r="J283" s="8">
        <v>0</v>
      </c>
      <c r="K283" s="0" t="inlineStr">
        <is>
          <t xml:space="preserve">ABQ</t>
        </is>
      </c>
      <c r="L283" s="0" t="inlineStr">
        <is>
          <t xml:space="preserve">Scierie du Nord</t>
        </is>
      </c>
      <c r="M283" s="8">
        <f>I283-J283</f>
      </c>
      <c r="N283" s="0" t="inlineStr">
        <is>
          <t xml:space="preserve">2025-04</t>
        </is>
      </c>
      <c r="O283" s="0">
        <f>INDEX(Journaux!$E$5:$E$18,MATCH("2025|"&amp;A283,Journaux!$A$5:$A$18,0))</f>
      </c>
      <c r="P283" s="0">
        <f>INDEX(Comptes!$K$5:$K$42,MATCH(E283,Comptes!$A$5:$A$42,0))</f>
      </c>
      <c r="Q283" s="0" t="inlineStr">
        <is>
          <t xml:space="preserve">4</t>
        </is>
      </c>
      <c r="R283" s="7" t="inlineStr">
        <is>
          <t xml:space="preserve">401000|F001</t>
        </is>
      </c>
    </row>
    <row r="284">
      <c r="A284" s="4" t="inlineStr">
        <is>
          <t xml:space="preserve">BQ</t>
        </is>
      </c>
      <c r="B284" s="0" t="inlineStr">
        <is>
          <t xml:space="preserve">Banque Fictive</t>
        </is>
      </c>
      <c r="C284" s="0" t="inlineStr">
        <is>
          <t xml:space="preserve">BQ00128</t>
        </is>
      </c>
      <c r="D284" s="10">
        <v>45758</v>
      </c>
      <c r="E284" s="4" t="inlineStr">
        <is>
          <t xml:space="preserve">512000</t>
        </is>
      </c>
      <c r="F284" s="0" t="inlineStr">
        <is>
          <t xml:space="preserve">Banque Fictive</t>
        </is>
      </c>
      <c r="G284" s="0" t="inlineStr">
        <is>
          <t xml:space="preserve">DEC-F001-2025022</t>
        </is>
      </c>
      <c r="H284" s="0" t="inlineStr">
        <is>
          <t xml:space="preserve">Reglement fournisseur Scierie du Nord F001-2025022</t>
        </is>
      </c>
      <c r="I284" s="8">
        <v>0</v>
      </c>
      <c r="J284" s="8">
        <v>21807.58</v>
      </c>
      <c r="K284" s="0"/>
      <c r="L284" s="0"/>
      <c r="M284" s="8">
        <f>I284-J284</f>
      </c>
      <c r="N284" s="0" t="inlineStr">
        <is>
          <t xml:space="preserve">2025-04</t>
        </is>
      </c>
      <c r="O284" s="0">
        <f>INDEX(Journaux!$E$5:$E$18,MATCH("2025|"&amp;A284,Journaux!$A$5:$A$18,0))</f>
      </c>
      <c r="P284" s="0">
        <f>INDEX(Comptes!$K$5:$K$42,MATCH(E284,Comptes!$A$5:$A$42,0))</f>
      </c>
      <c r="Q284" s="0" t="inlineStr">
        <is>
          <t xml:space="preserve">5</t>
        </is>
      </c>
    </row>
    <row r="285">
      <c r="A285" s="4" t="inlineStr">
        <is>
          <t xml:space="preserve">VT</t>
        </is>
      </c>
      <c r="B285" s="0" t="inlineStr">
        <is>
          <t xml:space="preserve">Journal des ventes</t>
        </is>
      </c>
      <c r="C285" s="0" t="inlineStr">
        <is>
          <t xml:space="preserve">VT00015</t>
        </is>
      </c>
      <c r="D285" s="10">
        <v>45758</v>
      </c>
      <c r="E285" s="4" t="inlineStr">
        <is>
          <t xml:space="preserve">411000</t>
        </is>
      </c>
      <c r="F285" s="0" t="inlineStr">
        <is>
          <t xml:space="preserve">Clients</t>
        </is>
      </c>
      <c r="G285" s="0" t="inlineStr">
        <is>
          <t xml:space="preserve">FA2025-0015</t>
        </is>
      </c>
      <c r="H285" s="0" t="inlineStr">
        <is>
          <t xml:space="preserve">Facture FA2025-0015 Restaurant Le Comptoir</t>
        </is>
      </c>
      <c r="I285" s="8">
        <v>34705.43</v>
      </c>
      <c r="J285" s="8">
        <v>0</v>
      </c>
      <c r="K285" s="0" t="inlineStr">
        <is>
          <t xml:space="preserve">AAW</t>
        </is>
      </c>
      <c r="L285" s="0" t="inlineStr">
        <is>
          <t xml:space="preserve">Restaurant Le Comptoir</t>
        </is>
      </c>
      <c r="M285" s="8">
        <f>I285-J285</f>
      </c>
      <c r="N285" s="0" t="inlineStr">
        <is>
          <t xml:space="preserve">2025-04</t>
        </is>
      </c>
      <c r="O285" s="0">
        <f>INDEX(Journaux!$E$5:$E$18,MATCH("2025|"&amp;A285,Journaux!$A$5:$A$18,0))</f>
      </c>
      <c r="P285" s="0">
        <f>INDEX(Comptes!$K$5:$K$42,MATCH(E285,Comptes!$A$5:$A$42,0))</f>
      </c>
      <c r="Q285" s="0" t="inlineStr">
        <is>
          <t xml:space="preserve">4</t>
        </is>
      </c>
      <c r="R285" s="7" t="inlineStr">
        <is>
          <t xml:space="preserve">411000|C005</t>
        </is>
      </c>
    </row>
    <row r="286">
      <c r="A286" s="4" t="inlineStr">
        <is>
          <t xml:space="preserve">VT</t>
        </is>
      </c>
      <c r="B286" s="0" t="inlineStr">
        <is>
          <t xml:space="preserve">Journal des ventes</t>
        </is>
      </c>
      <c r="C286" s="0" t="inlineStr">
        <is>
          <t xml:space="preserve">VT00015</t>
        </is>
      </c>
      <c r="D286" s="10">
        <v>45758</v>
      </c>
      <c r="E286" s="4" t="inlineStr">
        <is>
          <t xml:space="preserve">701000</t>
        </is>
      </c>
      <c r="F286" s="0" t="inlineStr">
        <is>
          <t xml:space="preserve">Ventes de produits finis</t>
        </is>
      </c>
      <c r="G286" s="0" t="inlineStr">
        <is>
          <t xml:space="preserve">FA2025-0015</t>
        </is>
      </c>
      <c r="H286" s="0" t="inlineStr">
        <is>
          <t xml:space="preserve">Facture FA2025-0015 Restaurant Le Comptoir</t>
        </is>
      </c>
      <c r="I286" s="8">
        <v>0</v>
      </c>
      <c r="J286" s="8">
        <v>28921.19</v>
      </c>
      <c r="K286" s="0"/>
      <c r="L286" s="0"/>
      <c r="M286" s="8">
        <f>I286-J286</f>
      </c>
      <c r="N286" s="0" t="inlineStr">
        <is>
          <t xml:space="preserve">2025-04</t>
        </is>
      </c>
      <c r="O286" s="0">
        <f>INDEX(Journaux!$E$5:$E$18,MATCH("2025|"&amp;A286,Journaux!$A$5:$A$18,0))</f>
      </c>
      <c r="P286" s="0">
        <f>INDEX(Comptes!$K$5:$K$42,MATCH(E286,Comptes!$A$5:$A$42,0))</f>
      </c>
      <c r="Q286" s="0" t="inlineStr">
        <is>
          <t xml:space="preserve">7</t>
        </is>
      </c>
    </row>
    <row r="287">
      <c r="A287" s="4" t="inlineStr">
        <is>
          <t xml:space="preserve">VT</t>
        </is>
      </c>
      <c r="B287" s="0" t="inlineStr">
        <is>
          <t xml:space="preserve">Journal des ventes</t>
        </is>
      </c>
      <c r="C287" s="0" t="inlineStr">
        <is>
          <t xml:space="preserve">VT00015</t>
        </is>
      </c>
      <c r="D287" s="10">
        <v>45758</v>
      </c>
      <c r="E287" s="4" t="inlineStr">
        <is>
          <t xml:space="preserve">445710</t>
        </is>
      </c>
      <c r="F287" s="0" t="inlineStr">
        <is>
          <t xml:space="preserve">TVA collectee</t>
        </is>
      </c>
      <c r="G287" s="0" t="inlineStr">
        <is>
          <t xml:space="preserve">FA2025-0015</t>
        </is>
      </c>
      <c r="H287" s="0" t="inlineStr">
        <is>
          <t xml:space="preserve">Facture FA2025-0015 Restaurant Le Comptoir</t>
        </is>
      </c>
      <c r="I287" s="8">
        <v>0</v>
      </c>
      <c r="J287" s="8">
        <v>5784.24</v>
      </c>
      <c r="K287" s="0"/>
      <c r="L287" s="0"/>
      <c r="M287" s="8">
        <f>I287-J287</f>
      </c>
      <c r="N287" s="0" t="inlineStr">
        <is>
          <t xml:space="preserve">2025-04</t>
        </is>
      </c>
      <c r="O287" s="0">
        <f>INDEX(Journaux!$E$5:$E$18,MATCH("2025|"&amp;A287,Journaux!$A$5:$A$18,0))</f>
      </c>
      <c r="P287" s="0">
        <f>INDEX(Comptes!$K$5:$K$42,MATCH(E287,Comptes!$A$5:$A$42,0))</f>
      </c>
      <c r="Q287" s="0" t="inlineStr">
        <is>
          <t xml:space="preserve">4</t>
        </is>
      </c>
    </row>
    <row r="288">
      <c r="A288" s="4" t="inlineStr">
        <is>
          <t xml:space="preserve">BQ</t>
        </is>
      </c>
      <c r="B288" s="0" t="inlineStr">
        <is>
          <t xml:space="preserve">Banque Fictive</t>
        </is>
      </c>
      <c r="C288" s="0" t="inlineStr">
        <is>
          <t xml:space="preserve">BQ00074</t>
        </is>
      </c>
      <c r="D288" s="10">
        <v>45761</v>
      </c>
      <c r="E288" s="4" t="inlineStr">
        <is>
          <t xml:space="preserve">512000</t>
        </is>
      </c>
      <c r="F288" s="0" t="inlineStr">
        <is>
          <t xml:space="preserve">Banque Fictive</t>
        </is>
      </c>
      <c r="G288" s="0" t="inlineStr">
        <is>
          <t xml:space="preserve">ENC-FA2025-0007</t>
        </is>
      </c>
      <c r="H288" s="0" t="inlineStr">
        <is>
          <t xml:space="preserve">Reglement client Cabinet Varenne Associes FA2025-0007</t>
        </is>
      </c>
      <c r="I288" s="8">
        <v>29641.25</v>
      </c>
      <c r="J288" s="8">
        <v>0</v>
      </c>
      <c r="K288" s="0"/>
      <c r="L288" s="0"/>
      <c r="M288" s="8">
        <f>I288-J288</f>
      </c>
      <c r="N288" s="0" t="inlineStr">
        <is>
          <t xml:space="preserve">2025-04</t>
        </is>
      </c>
      <c r="O288" s="0">
        <f>INDEX(Journaux!$E$5:$E$18,MATCH("2025|"&amp;A288,Journaux!$A$5:$A$18,0))</f>
      </c>
      <c r="P288" s="0">
        <f>INDEX(Comptes!$K$5:$K$42,MATCH(E288,Comptes!$A$5:$A$42,0))</f>
      </c>
      <c r="Q288" s="0" t="inlineStr">
        <is>
          <t xml:space="preserve">5</t>
        </is>
      </c>
    </row>
    <row r="289">
      <c r="A289" s="4" t="inlineStr">
        <is>
          <t xml:space="preserve">BQ</t>
        </is>
      </c>
      <c r="B289" s="0" t="inlineStr">
        <is>
          <t xml:space="preserve">Banque Fictive</t>
        </is>
      </c>
      <c r="C289" s="0" t="inlineStr">
        <is>
          <t xml:space="preserve">BQ00074</t>
        </is>
      </c>
      <c r="D289" s="10">
        <v>45761</v>
      </c>
      <c r="E289" s="4" t="inlineStr">
        <is>
          <t xml:space="preserve">411000</t>
        </is>
      </c>
      <c r="F289" s="0" t="inlineStr">
        <is>
          <t xml:space="preserve">Clients</t>
        </is>
      </c>
      <c r="G289" s="0" t="inlineStr">
        <is>
          <t xml:space="preserve">ENC-FA2025-0007</t>
        </is>
      </c>
      <c r="H289" s="0" t="inlineStr">
        <is>
          <t xml:space="preserve">Reglement client Cabinet Varenne Associes FA2025-0007</t>
        </is>
      </c>
      <c r="I289" s="8">
        <v>0</v>
      </c>
      <c r="J289" s="8">
        <v>29641.25</v>
      </c>
      <c r="K289" s="0" t="inlineStr">
        <is>
          <t xml:space="preserve">AAO</t>
        </is>
      </c>
      <c r="L289" s="0" t="inlineStr">
        <is>
          <t xml:space="preserve">Cabinet Varenne Associes</t>
        </is>
      </c>
      <c r="M289" s="8">
        <f>I289-J289</f>
      </c>
      <c r="N289" s="0" t="inlineStr">
        <is>
          <t xml:space="preserve">2025-04</t>
        </is>
      </c>
      <c r="O289" s="0">
        <f>INDEX(Journaux!$E$5:$E$18,MATCH("2025|"&amp;A289,Journaux!$A$5:$A$18,0))</f>
      </c>
      <c r="P289" s="0">
        <f>INDEX(Comptes!$K$5:$K$42,MATCH(E289,Comptes!$A$5:$A$42,0))</f>
      </c>
      <c r="Q289" s="0" t="inlineStr">
        <is>
          <t xml:space="preserve">4</t>
        </is>
      </c>
      <c r="R289" s="7" t="inlineStr">
        <is>
          <t xml:space="preserve">411000|C004</t>
        </is>
      </c>
    </row>
    <row r="290">
      <c r="A290" s="4" t="inlineStr">
        <is>
          <t xml:space="preserve">BQ</t>
        </is>
      </c>
      <c r="B290" s="0" t="inlineStr">
        <is>
          <t xml:space="preserve">Banque Fictive</t>
        </is>
      </c>
      <c r="C290" s="0" t="inlineStr">
        <is>
          <t xml:space="preserve">BQ00129</t>
        </is>
      </c>
      <c r="D290" s="10">
        <v>45761</v>
      </c>
      <c r="E290" s="4" t="inlineStr">
        <is>
          <t xml:space="preserve">401000</t>
        </is>
      </c>
      <c r="F290" s="0" t="inlineStr">
        <is>
          <t xml:space="preserve">Fournisseurs</t>
        </is>
      </c>
      <c r="G290" s="0" t="inlineStr">
        <is>
          <t xml:space="preserve">DEC-F002-2025023</t>
        </is>
      </c>
      <c r="H290" s="0" t="inlineStr">
        <is>
          <t xml:space="preserve">Reglement fournisseur Quincaillerie Pro Est F002-2025023</t>
        </is>
      </c>
      <c r="I290" s="8">
        <v>20619.31</v>
      </c>
      <c r="J290" s="8">
        <v>0</v>
      </c>
      <c r="K290" s="0" t="inlineStr">
        <is>
          <t xml:space="preserve">ABR</t>
        </is>
      </c>
      <c r="L290" s="0" t="inlineStr">
        <is>
          <t xml:space="preserve">Quincaillerie Pro Est</t>
        </is>
      </c>
      <c r="M290" s="8">
        <f>I290-J290</f>
      </c>
      <c r="N290" s="0" t="inlineStr">
        <is>
          <t xml:space="preserve">2025-04</t>
        </is>
      </c>
      <c r="O290" s="0">
        <f>INDEX(Journaux!$E$5:$E$18,MATCH("2025|"&amp;A290,Journaux!$A$5:$A$18,0))</f>
      </c>
      <c r="P290" s="0">
        <f>INDEX(Comptes!$K$5:$K$42,MATCH(E290,Comptes!$A$5:$A$42,0))</f>
      </c>
      <c r="Q290" s="0" t="inlineStr">
        <is>
          <t xml:space="preserve">4</t>
        </is>
      </c>
      <c r="R290" s="7" t="inlineStr">
        <is>
          <t xml:space="preserve">401000|F002</t>
        </is>
      </c>
    </row>
    <row r="291">
      <c r="A291" s="4" t="inlineStr">
        <is>
          <t xml:space="preserve">BQ</t>
        </is>
      </c>
      <c r="B291" s="0" t="inlineStr">
        <is>
          <t xml:space="preserve">Banque Fictive</t>
        </is>
      </c>
      <c r="C291" s="0" t="inlineStr">
        <is>
          <t xml:space="preserve">BQ00129</t>
        </is>
      </c>
      <c r="D291" s="10">
        <v>45761</v>
      </c>
      <c r="E291" s="4" t="inlineStr">
        <is>
          <t xml:space="preserve">512000</t>
        </is>
      </c>
      <c r="F291" s="0" t="inlineStr">
        <is>
          <t xml:space="preserve">Banque Fictive</t>
        </is>
      </c>
      <c r="G291" s="0" t="inlineStr">
        <is>
          <t xml:space="preserve">DEC-F002-2025023</t>
        </is>
      </c>
      <c r="H291" s="0" t="inlineStr">
        <is>
          <t xml:space="preserve">Reglement fournisseur Quincaillerie Pro Est F002-2025023</t>
        </is>
      </c>
      <c r="I291" s="8">
        <v>0</v>
      </c>
      <c r="J291" s="8">
        <v>20619.31</v>
      </c>
      <c r="K291" s="0"/>
      <c r="L291" s="0"/>
      <c r="M291" s="8">
        <f>I291-J291</f>
      </c>
      <c r="N291" s="0" t="inlineStr">
        <is>
          <t xml:space="preserve">2025-04</t>
        </is>
      </c>
      <c r="O291" s="0">
        <f>INDEX(Journaux!$E$5:$E$18,MATCH("2025|"&amp;A291,Journaux!$A$5:$A$18,0))</f>
      </c>
      <c r="P291" s="0">
        <f>INDEX(Comptes!$K$5:$K$42,MATCH(E291,Comptes!$A$5:$A$42,0))</f>
      </c>
      <c r="Q291" s="0" t="inlineStr">
        <is>
          <t xml:space="preserve">5</t>
        </is>
      </c>
    </row>
    <row r="292">
      <c r="A292" s="4" t="inlineStr">
        <is>
          <t xml:space="preserve">VT</t>
        </is>
      </c>
      <c r="B292" s="0" t="inlineStr">
        <is>
          <t xml:space="preserve">Journal des ventes</t>
        </is>
      </c>
      <c r="C292" s="0" t="inlineStr">
        <is>
          <t xml:space="preserve">VT00018</t>
        </is>
      </c>
      <c r="D292" s="10">
        <v>45761</v>
      </c>
      <c r="E292" s="4" t="inlineStr">
        <is>
          <t xml:space="preserve">411000</t>
        </is>
      </c>
      <c r="F292" s="0" t="inlineStr">
        <is>
          <t xml:space="preserve">Clients</t>
        </is>
      </c>
      <c r="G292" s="0" t="inlineStr">
        <is>
          <t xml:space="preserve">FA2025-0018</t>
        </is>
      </c>
      <c r="H292" s="0" t="inlineStr">
        <is>
          <t xml:space="preserve">Facture FA2025-0018 Coworking Atelier 9</t>
        </is>
      </c>
      <c r="I292" s="8">
        <v>19328.17</v>
      </c>
      <c r="J292" s="8">
        <v>0</v>
      </c>
      <c r="K292" s="0" t="inlineStr">
        <is>
          <t xml:space="preserve">AAZ</t>
        </is>
      </c>
      <c r="L292" s="0" t="inlineStr">
        <is>
          <t xml:space="preserve">Coworking Atelier 9</t>
        </is>
      </c>
      <c r="M292" s="8">
        <f>I292-J292</f>
      </c>
      <c r="N292" s="0" t="inlineStr">
        <is>
          <t xml:space="preserve">2025-04</t>
        </is>
      </c>
      <c r="O292" s="0">
        <f>INDEX(Journaux!$E$5:$E$18,MATCH("2025|"&amp;A292,Journaux!$A$5:$A$18,0))</f>
      </c>
      <c r="P292" s="0">
        <f>INDEX(Comptes!$K$5:$K$42,MATCH(E292,Comptes!$A$5:$A$42,0))</f>
      </c>
      <c r="Q292" s="0" t="inlineStr">
        <is>
          <t xml:space="preserve">4</t>
        </is>
      </c>
      <c r="R292" s="7" t="inlineStr">
        <is>
          <t xml:space="preserve">411000|C008</t>
        </is>
      </c>
    </row>
    <row r="293">
      <c r="A293" s="4" t="inlineStr">
        <is>
          <t xml:space="preserve">VT</t>
        </is>
      </c>
      <c r="B293" s="0" t="inlineStr">
        <is>
          <t xml:space="preserve">Journal des ventes</t>
        </is>
      </c>
      <c r="C293" s="0" t="inlineStr">
        <is>
          <t xml:space="preserve">VT00018</t>
        </is>
      </c>
      <c r="D293" s="10">
        <v>45761</v>
      </c>
      <c r="E293" s="4" t="inlineStr">
        <is>
          <t xml:space="preserve">701000</t>
        </is>
      </c>
      <c r="F293" s="0" t="inlineStr">
        <is>
          <t xml:space="preserve">Ventes de produits finis</t>
        </is>
      </c>
      <c r="G293" s="0" t="inlineStr">
        <is>
          <t xml:space="preserve">FA2025-0018</t>
        </is>
      </c>
      <c r="H293" s="0" t="inlineStr">
        <is>
          <t xml:space="preserve">Facture FA2025-0018 Coworking Atelier 9</t>
        </is>
      </c>
      <c r="I293" s="8">
        <v>0</v>
      </c>
      <c r="J293" s="8">
        <v>16106.81</v>
      </c>
      <c r="K293" s="0"/>
      <c r="L293" s="0"/>
      <c r="M293" s="8">
        <f>I293-J293</f>
      </c>
      <c r="N293" s="0" t="inlineStr">
        <is>
          <t xml:space="preserve">2025-04</t>
        </is>
      </c>
      <c r="O293" s="0">
        <f>INDEX(Journaux!$E$5:$E$18,MATCH("2025|"&amp;A293,Journaux!$A$5:$A$18,0))</f>
      </c>
      <c r="P293" s="0">
        <f>INDEX(Comptes!$K$5:$K$42,MATCH(E293,Comptes!$A$5:$A$42,0))</f>
      </c>
      <c r="Q293" s="0" t="inlineStr">
        <is>
          <t xml:space="preserve">7</t>
        </is>
      </c>
    </row>
    <row r="294">
      <c r="A294" s="4" t="inlineStr">
        <is>
          <t xml:space="preserve">VT</t>
        </is>
      </c>
      <c r="B294" s="0" t="inlineStr">
        <is>
          <t xml:space="preserve">Journal des ventes</t>
        </is>
      </c>
      <c r="C294" s="0" t="inlineStr">
        <is>
          <t xml:space="preserve">VT00018</t>
        </is>
      </c>
      <c r="D294" s="10">
        <v>45761</v>
      </c>
      <c r="E294" s="4" t="inlineStr">
        <is>
          <t xml:space="preserve">445710</t>
        </is>
      </c>
      <c r="F294" s="0" t="inlineStr">
        <is>
          <t xml:space="preserve">TVA collectee</t>
        </is>
      </c>
      <c r="G294" s="0" t="inlineStr">
        <is>
          <t xml:space="preserve">FA2025-0018</t>
        </is>
      </c>
      <c r="H294" s="0" t="inlineStr">
        <is>
          <t xml:space="preserve">Facture FA2025-0018 Coworking Atelier 9</t>
        </is>
      </c>
      <c r="I294" s="8">
        <v>0</v>
      </c>
      <c r="J294" s="8">
        <v>3221.36</v>
      </c>
      <c r="K294" s="0"/>
      <c r="L294" s="0"/>
      <c r="M294" s="8">
        <f>I294-J294</f>
      </c>
      <c r="N294" s="0" t="inlineStr">
        <is>
          <t xml:space="preserve">2025-04</t>
        </is>
      </c>
      <c r="O294" s="0">
        <f>INDEX(Journaux!$E$5:$E$18,MATCH("2025|"&amp;A294,Journaux!$A$5:$A$18,0))</f>
      </c>
      <c r="P294" s="0">
        <f>INDEX(Comptes!$K$5:$K$42,MATCH(E294,Comptes!$A$5:$A$42,0))</f>
      </c>
      <c r="Q294" s="0" t="inlineStr">
        <is>
          <t xml:space="preserve">4</t>
        </is>
      </c>
    </row>
    <row r="295">
      <c r="A295" s="4" t="inlineStr">
        <is>
          <t xml:space="preserve">BQ</t>
        </is>
      </c>
      <c r="B295" s="0" t="inlineStr">
        <is>
          <t xml:space="preserve">Banque Fictive</t>
        </is>
      </c>
      <c r="C295" s="0" t="inlineStr">
        <is>
          <t xml:space="preserve">BQ00039</t>
        </is>
      </c>
      <c r="D295" s="10">
        <v>45762</v>
      </c>
      <c r="E295" s="4" t="inlineStr">
        <is>
          <t xml:space="preserve">444000</t>
        </is>
      </c>
      <c r="F295" s="0" t="inlineStr">
        <is>
          <t xml:space="preserve">Etat impot sur les benefices</t>
        </is>
      </c>
      <c r="G295" s="0" t="inlineStr">
        <is>
          <t xml:space="preserve">IS2024</t>
        </is>
      </c>
      <c r="H295" s="0" t="inlineStr">
        <is>
          <t xml:space="preserve">Solde IS 2024</t>
        </is>
      </c>
      <c r="I295" s="8">
        <v>9067.03</v>
      </c>
      <c r="J295" s="8">
        <v>0</v>
      </c>
      <c r="K295" s="0"/>
      <c r="L295" s="0"/>
      <c r="M295" s="8">
        <f>I295-J295</f>
      </c>
      <c r="N295" s="0" t="inlineStr">
        <is>
          <t xml:space="preserve">2025-04</t>
        </is>
      </c>
      <c r="O295" s="0">
        <f>INDEX(Journaux!$E$5:$E$18,MATCH("2025|"&amp;A295,Journaux!$A$5:$A$18,0))</f>
      </c>
      <c r="P295" s="0">
        <f>INDEX(Comptes!$K$5:$K$42,MATCH(E295,Comptes!$A$5:$A$42,0))</f>
      </c>
      <c r="Q295" s="0" t="inlineStr">
        <is>
          <t xml:space="preserve">4</t>
        </is>
      </c>
    </row>
    <row r="296">
      <c r="A296" s="4" t="inlineStr">
        <is>
          <t xml:space="preserve">BQ</t>
        </is>
      </c>
      <c r="B296" s="0" t="inlineStr">
        <is>
          <t xml:space="preserve">Banque Fictive</t>
        </is>
      </c>
      <c r="C296" s="0" t="inlineStr">
        <is>
          <t xml:space="preserve">BQ00039</t>
        </is>
      </c>
      <c r="D296" s="10">
        <v>45762</v>
      </c>
      <c r="E296" s="4" t="inlineStr">
        <is>
          <t xml:space="preserve">512000</t>
        </is>
      </c>
      <c r="F296" s="0" t="inlineStr">
        <is>
          <t xml:space="preserve">Banque Fictive</t>
        </is>
      </c>
      <c r="G296" s="0" t="inlineStr">
        <is>
          <t xml:space="preserve">IS2024</t>
        </is>
      </c>
      <c r="H296" s="0" t="inlineStr">
        <is>
          <t xml:space="preserve">Solde IS 2024</t>
        </is>
      </c>
      <c r="I296" s="8">
        <v>0</v>
      </c>
      <c r="J296" s="8">
        <v>9067.03</v>
      </c>
      <c r="K296" s="0"/>
      <c r="L296" s="0"/>
      <c r="M296" s="8">
        <f>I296-J296</f>
      </c>
      <c r="N296" s="0" t="inlineStr">
        <is>
          <t xml:space="preserve">2025-04</t>
        </is>
      </c>
      <c r="O296" s="0">
        <f>INDEX(Journaux!$E$5:$E$18,MATCH("2025|"&amp;A296,Journaux!$A$5:$A$18,0))</f>
      </c>
      <c r="P296" s="0">
        <f>INDEX(Comptes!$K$5:$K$42,MATCH(E296,Comptes!$A$5:$A$42,0))</f>
      </c>
      <c r="Q296" s="0" t="inlineStr">
        <is>
          <t xml:space="preserve">5</t>
        </is>
      </c>
    </row>
    <row r="297">
      <c r="A297" s="4" t="inlineStr">
        <is>
          <t xml:space="preserve">BQ</t>
        </is>
      </c>
      <c r="B297" s="0" t="inlineStr">
        <is>
          <t xml:space="preserve">Banque Fictive</t>
        </is>
      </c>
      <c r="C297" s="0" t="inlineStr">
        <is>
          <t xml:space="preserve">BQ00044</t>
        </is>
      </c>
      <c r="D297" s="10">
        <v>45762</v>
      </c>
      <c r="E297" s="4" t="inlineStr">
        <is>
          <t xml:space="preserve">431000</t>
        </is>
      </c>
      <c r="F297" s="0" t="inlineStr">
        <is>
          <t xml:space="preserve">Securite sociale</t>
        </is>
      </c>
      <c r="G297" s="0" t="inlineStr">
        <is>
          <t xml:space="preserve">URSSAF202503</t>
        </is>
      </c>
      <c r="H297" s="0" t="inlineStr">
        <is>
          <t xml:space="preserve">Reglement URSSAF 03/2025</t>
        </is>
      </c>
      <c r="I297" s="8">
        <v>32247.91</v>
      </c>
      <c r="J297" s="8">
        <v>0</v>
      </c>
      <c r="K297" s="0"/>
      <c r="L297" s="0"/>
      <c r="M297" s="8">
        <f>I297-J297</f>
      </c>
      <c r="N297" s="0" t="inlineStr">
        <is>
          <t xml:space="preserve">2025-04</t>
        </is>
      </c>
      <c r="O297" s="0">
        <f>INDEX(Journaux!$E$5:$E$18,MATCH("2025|"&amp;A297,Journaux!$A$5:$A$18,0))</f>
      </c>
      <c r="P297" s="0">
        <f>INDEX(Comptes!$K$5:$K$42,MATCH(E297,Comptes!$A$5:$A$42,0))</f>
      </c>
      <c r="Q297" s="0" t="inlineStr">
        <is>
          <t xml:space="preserve">4</t>
        </is>
      </c>
    </row>
    <row r="298">
      <c r="A298" s="4" t="inlineStr">
        <is>
          <t xml:space="preserve">BQ</t>
        </is>
      </c>
      <c r="B298" s="0" t="inlineStr">
        <is>
          <t xml:space="preserve">Banque Fictive</t>
        </is>
      </c>
      <c r="C298" s="0" t="inlineStr">
        <is>
          <t xml:space="preserve">BQ00044</t>
        </is>
      </c>
      <c r="D298" s="10">
        <v>45762</v>
      </c>
      <c r="E298" s="4" t="inlineStr">
        <is>
          <t xml:space="preserve">512000</t>
        </is>
      </c>
      <c r="F298" s="0" t="inlineStr">
        <is>
          <t xml:space="preserve">Banque Fictive</t>
        </is>
      </c>
      <c r="G298" s="0" t="inlineStr">
        <is>
          <t xml:space="preserve">URSSAF202503</t>
        </is>
      </c>
      <c r="H298" s="0" t="inlineStr">
        <is>
          <t xml:space="preserve">Reglement URSSAF 03/2025</t>
        </is>
      </c>
      <c r="I298" s="8">
        <v>0</v>
      </c>
      <c r="J298" s="8">
        <v>32247.91</v>
      </c>
      <c r="K298" s="0"/>
      <c r="L298" s="0"/>
      <c r="M298" s="8">
        <f>I298-J298</f>
      </c>
      <c r="N298" s="0" t="inlineStr">
        <is>
          <t xml:space="preserve">2025-04</t>
        </is>
      </c>
      <c r="O298" s="0">
        <f>INDEX(Journaux!$E$5:$E$18,MATCH("2025|"&amp;A298,Journaux!$A$5:$A$18,0))</f>
      </c>
      <c r="P298" s="0">
        <f>INDEX(Comptes!$K$5:$K$42,MATCH(E298,Comptes!$A$5:$A$42,0))</f>
      </c>
      <c r="Q298" s="0" t="inlineStr">
        <is>
          <t xml:space="preserve">5</t>
        </is>
      </c>
    </row>
    <row r="299">
      <c r="A299" s="4" t="inlineStr">
        <is>
          <t xml:space="preserve">VT</t>
        </is>
      </c>
      <c r="B299" s="0" t="inlineStr">
        <is>
          <t xml:space="preserve">Journal des ventes</t>
        </is>
      </c>
      <c r="C299" s="0" t="inlineStr">
        <is>
          <t xml:space="preserve">VT00019</t>
        </is>
      </c>
      <c r="D299" s="10">
        <v>45764</v>
      </c>
      <c r="E299" s="4" t="inlineStr">
        <is>
          <t xml:space="preserve">411000</t>
        </is>
      </c>
      <c r="F299" s="0" t="inlineStr">
        <is>
          <t xml:space="preserve">Clients</t>
        </is>
      </c>
      <c r="G299" s="0" t="inlineStr">
        <is>
          <t xml:space="preserve">FA2025-0019</t>
        </is>
      </c>
      <c r="H299" s="0" t="inlineStr">
        <is>
          <t xml:space="preserve">Facture FA2025-0019 Cabinet Varenne Associes</t>
        </is>
      </c>
      <c r="I299" s="8">
        <v>20590.09</v>
      </c>
      <c r="J299" s="8">
        <v>0</v>
      </c>
      <c r="K299" s="0" t="inlineStr">
        <is>
          <t xml:space="preserve">AAA</t>
        </is>
      </c>
      <c r="L299" s="0" t="inlineStr">
        <is>
          <t xml:space="preserve">Cabinet Varenne Associes</t>
        </is>
      </c>
      <c r="M299" s="8">
        <f>I299-J299</f>
      </c>
      <c r="N299" s="0" t="inlineStr">
        <is>
          <t xml:space="preserve">2025-04</t>
        </is>
      </c>
      <c r="O299" s="0">
        <f>INDEX(Journaux!$E$5:$E$18,MATCH("2025|"&amp;A299,Journaux!$A$5:$A$18,0))</f>
      </c>
      <c r="P299" s="0">
        <f>INDEX(Comptes!$K$5:$K$42,MATCH(E299,Comptes!$A$5:$A$42,0))</f>
      </c>
      <c r="Q299" s="0" t="inlineStr">
        <is>
          <t xml:space="preserve">4</t>
        </is>
      </c>
      <c r="R299" s="7" t="inlineStr">
        <is>
          <t xml:space="preserve">411000|C004</t>
        </is>
      </c>
    </row>
    <row r="300">
      <c r="A300" s="4" t="inlineStr">
        <is>
          <t xml:space="preserve">VT</t>
        </is>
      </c>
      <c r="B300" s="0" t="inlineStr">
        <is>
          <t xml:space="preserve">Journal des ventes</t>
        </is>
      </c>
      <c r="C300" s="0" t="inlineStr">
        <is>
          <t xml:space="preserve">VT00019</t>
        </is>
      </c>
      <c r="D300" s="10">
        <v>45764</v>
      </c>
      <c r="E300" s="4" t="inlineStr">
        <is>
          <t xml:space="preserve">701000</t>
        </is>
      </c>
      <c r="F300" s="0" t="inlineStr">
        <is>
          <t xml:space="preserve">Ventes de produits finis</t>
        </is>
      </c>
      <c r="G300" s="0" t="inlineStr">
        <is>
          <t xml:space="preserve">FA2025-0019</t>
        </is>
      </c>
      <c r="H300" s="0" t="inlineStr">
        <is>
          <t xml:space="preserve">Facture FA2025-0019 Cabinet Varenne Associes</t>
        </is>
      </c>
      <c r="I300" s="8">
        <v>0</v>
      </c>
      <c r="J300" s="8">
        <v>17158.41</v>
      </c>
      <c r="K300" s="0"/>
      <c r="L300" s="0"/>
      <c r="M300" s="8">
        <f>I300-J300</f>
      </c>
      <c r="N300" s="0" t="inlineStr">
        <is>
          <t xml:space="preserve">2025-04</t>
        </is>
      </c>
      <c r="O300" s="0">
        <f>INDEX(Journaux!$E$5:$E$18,MATCH("2025|"&amp;A300,Journaux!$A$5:$A$18,0))</f>
      </c>
      <c r="P300" s="0">
        <f>INDEX(Comptes!$K$5:$K$42,MATCH(E300,Comptes!$A$5:$A$42,0))</f>
      </c>
      <c r="Q300" s="0" t="inlineStr">
        <is>
          <t xml:space="preserve">7</t>
        </is>
      </c>
    </row>
    <row r="301">
      <c r="A301" s="4" t="inlineStr">
        <is>
          <t xml:space="preserve">VT</t>
        </is>
      </c>
      <c r="B301" s="0" t="inlineStr">
        <is>
          <t xml:space="preserve">Journal des ventes</t>
        </is>
      </c>
      <c r="C301" s="0" t="inlineStr">
        <is>
          <t xml:space="preserve">VT00019</t>
        </is>
      </c>
      <c r="D301" s="10">
        <v>45764</v>
      </c>
      <c r="E301" s="4" t="inlineStr">
        <is>
          <t xml:space="preserve">445710</t>
        </is>
      </c>
      <c r="F301" s="0" t="inlineStr">
        <is>
          <t xml:space="preserve">TVA collectee</t>
        </is>
      </c>
      <c r="G301" s="0" t="inlineStr">
        <is>
          <t xml:space="preserve">FA2025-0019</t>
        </is>
      </c>
      <c r="H301" s="0" t="inlineStr">
        <is>
          <t xml:space="preserve">Facture FA2025-0019 Cabinet Varenne Associes</t>
        </is>
      </c>
      <c r="I301" s="8">
        <v>0</v>
      </c>
      <c r="J301" s="8">
        <v>3431.68</v>
      </c>
      <c r="K301" s="0"/>
      <c r="L301" s="0"/>
      <c r="M301" s="8">
        <f>I301-J301</f>
      </c>
      <c r="N301" s="0" t="inlineStr">
        <is>
          <t xml:space="preserve">2025-04</t>
        </is>
      </c>
      <c r="O301" s="0">
        <f>INDEX(Journaux!$E$5:$E$18,MATCH("2025|"&amp;A301,Journaux!$A$5:$A$18,0))</f>
      </c>
      <c r="P301" s="0">
        <f>INDEX(Comptes!$K$5:$K$42,MATCH(E301,Comptes!$A$5:$A$42,0))</f>
      </c>
      <c r="Q301" s="0" t="inlineStr">
        <is>
          <t xml:space="preserve">4</t>
        </is>
      </c>
    </row>
    <row r="302">
      <c r="A302" s="4" t="inlineStr">
        <is>
          <t xml:space="preserve">BQ</t>
        </is>
      </c>
      <c r="B302" s="0" t="inlineStr">
        <is>
          <t xml:space="preserve">Banque Fictive</t>
        </is>
      </c>
      <c r="C302" s="0" t="inlineStr">
        <is>
          <t xml:space="preserve">BQ00045</t>
        </is>
      </c>
      <c r="D302" s="10">
        <v>45767</v>
      </c>
      <c r="E302" s="4" t="inlineStr">
        <is>
          <t xml:space="preserve">445510</t>
        </is>
      </c>
      <c r="F302" s="0" t="inlineStr">
        <is>
          <t xml:space="preserve">TVA a decaisser</t>
        </is>
      </c>
      <c r="G302" s="0" t="inlineStr">
        <is>
          <t xml:space="preserve">TVA202503</t>
        </is>
      </c>
      <c r="H302" s="0" t="inlineStr">
        <is>
          <t xml:space="preserve">Reglement TVA 03/2025</t>
        </is>
      </c>
      <c r="I302" s="8">
        <v>9419.95</v>
      </c>
      <c r="J302" s="8">
        <v>0</v>
      </c>
      <c r="K302" s="0"/>
      <c r="L302" s="0"/>
      <c r="M302" s="8">
        <f>I302-J302</f>
      </c>
      <c r="N302" s="0" t="inlineStr">
        <is>
          <t xml:space="preserve">2025-04</t>
        </is>
      </c>
      <c r="O302" s="0">
        <f>INDEX(Journaux!$E$5:$E$18,MATCH("2025|"&amp;A302,Journaux!$A$5:$A$18,0))</f>
      </c>
      <c r="P302" s="0">
        <f>INDEX(Comptes!$K$5:$K$42,MATCH(E302,Comptes!$A$5:$A$42,0))</f>
      </c>
      <c r="Q302" s="0" t="inlineStr">
        <is>
          <t xml:space="preserve">4</t>
        </is>
      </c>
    </row>
    <row r="303">
      <c r="A303" s="4" t="inlineStr">
        <is>
          <t xml:space="preserve">BQ</t>
        </is>
      </c>
      <c r="B303" s="0" t="inlineStr">
        <is>
          <t xml:space="preserve">Banque Fictive</t>
        </is>
      </c>
      <c r="C303" s="0" t="inlineStr">
        <is>
          <t xml:space="preserve">BQ00045</t>
        </is>
      </c>
      <c r="D303" s="10">
        <v>45767</v>
      </c>
      <c r="E303" s="4" t="inlineStr">
        <is>
          <t xml:space="preserve">512000</t>
        </is>
      </c>
      <c r="F303" s="0" t="inlineStr">
        <is>
          <t xml:space="preserve">Banque Fictive</t>
        </is>
      </c>
      <c r="G303" s="0" t="inlineStr">
        <is>
          <t xml:space="preserve">TVA202503</t>
        </is>
      </c>
      <c r="H303" s="0" t="inlineStr">
        <is>
          <t xml:space="preserve">Reglement TVA 03/2025</t>
        </is>
      </c>
      <c r="I303" s="8">
        <v>0</v>
      </c>
      <c r="J303" s="8">
        <v>9419.95</v>
      </c>
      <c r="K303" s="0"/>
      <c r="L303" s="0"/>
      <c r="M303" s="8">
        <f>I303-J303</f>
      </c>
      <c r="N303" s="0" t="inlineStr">
        <is>
          <t xml:space="preserve">2025-04</t>
        </is>
      </c>
      <c r="O303" s="0">
        <f>INDEX(Journaux!$E$5:$E$18,MATCH("2025|"&amp;A303,Journaux!$A$5:$A$18,0))</f>
      </c>
      <c r="P303" s="0">
        <f>INDEX(Comptes!$K$5:$K$42,MATCH(E303,Comptes!$A$5:$A$42,0))</f>
      </c>
      <c r="Q303" s="0" t="inlineStr">
        <is>
          <t xml:space="preserve">5</t>
        </is>
      </c>
    </row>
    <row r="304">
      <c r="A304" s="4" t="inlineStr">
        <is>
          <t xml:space="preserve">VT</t>
        </is>
      </c>
      <c r="B304" s="0" t="inlineStr">
        <is>
          <t xml:space="preserve">Journal des ventes</t>
        </is>
      </c>
      <c r="C304" s="0" t="inlineStr">
        <is>
          <t xml:space="preserve">VT00017</t>
        </is>
      </c>
      <c r="D304" s="10">
        <v>45769</v>
      </c>
      <c r="E304" s="4" t="inlineStr">
        <is>
          <t xml:space="preserve">411000</t>
        </is>
      </c>
      <c r="F304" s="0" t="inlineStr">
        <is>
          <t xml:space="preserve">Clients</t>
        </is>
      </c>
      <c r="G304" s="0" t="inlineStr">
        <is>
          <t xml:space="preserve">FA2025-0017</t>
        </is>
      </c>
      <c r="H304" s="0" t="inlineStr">
        <is>
          <t xml:space="preserve">Facture FA2025-0017 Hotel Les Tilleuls</t>
        </is>
      </c>
      <c r="I304" s="8">
        <v>37111.12</v>
      </c>
      <c r="J304" s="8">
        <v>0</v>
      </c>
      <c r="K304" s="0" t="inlineStr">
        <is>
          <t xml:space="preserve">AAY</t>
        </is>
      </c>
      <c r="L304" s="0" t="inlineStr">
        <is>
          <t xml:space="preserve">Hotel Les Tilleuls</t>
        </is>
      </c>
      <c r="M304" s="8">
        <f>I304-J304</f>
      </c>
      <c r="N304" s="0" t="inlineStr">
        <is>
          <t xml:space="preserve">2025-04</t>
        </is>
      </c>
      <c r="O304" s="0">
        <f>INDEX(Journaux!$E$5:$E$18,MATCH("2025|"&amp;A304,Journaux!$A$5:$A$18,0))</f>
      </c>
      <c r="P304" s="0">
        <f>INDEX(Comptes!$K$5:$K$42,MATCH(E304,Comptes!$A$5:$A$42,0))</f>
      </c>
      <c r="Q304" s="0" t="inlineStr">
        <is>
          <t xml:space="preserve">4</t>
        </is>
      </c>
      <c r="R304" s="7" t="inlineStr">
        <is>
          <t xml:space="preserve">411000|C001</t>
        </is>
      </c>
    </row>
    <row r="305">
      <c r="A305" s="4" t="inlineStr">
        <is>
          <t xml:space="preserve">VT</t>
        </is>
      </c>
      <c r="B305" s="0" t="inlineStr">
        <is>
          <t xml:space="preserve">Journal des ventes</t>
        </is>
      </c>
      <c r="C305" s="0" t="inlineStr">
        <is>
          <t xml:space="preserve">VT00017</t>
        </is>
      </c>
      <c r="D305" s="10">
        <v>45769</v>
      </c>
      <c r="E305" s="4" t="inlineStr">
        <is>
          <t xml:space="preserve">701000</t>
        </is>
      </c>
      <c r="F305" s="0" t="inlineStr">
        <is>
          <t xml:space="preserve">Ventes de produits finis</t>
        </is>
      </c>
      <c r="G305" s="0" t="inlineStr">
        <is>
          <t xml:space="preserve">FA2025-0017</t>
        </is>
      </c>
      <c r="H305" s="0" t="inlineStr">
        <is>
          <t xml:space="preserve">Facture FA2025-0017 Hotel Les Tilleuls</t>
        </is>
      </c>
      <c r="I305" s="8">
        <v>0</v>
      </c>
      <c r="J305" s="8">
        <v>30925.93</v>
      </c>
      <c r="K305" s="0"/>
      <c r="L305" s="0"/>
      <c r="M305" s="8">
        <f>I305-J305</f>
      </c>
      <c r="N305" s="0" t="inlineStr">
        <is>
          <t xml:space="preserve">2025-04</t>
        </is>
      </c>
      <c r="O305" s="0">
        <f>INDEX(Journaux!$E$5:$E$18,MATCH("2025|"&amp;A305,Journaux!$A$5:$A$18,0))</f>
      </c>
      <c r="P305" s="0">
        <f>INDEX(Comptes!$K$5:$K$42,MATCH(E305,Comptes!$A$5:$A$42,0))</f>
      </c>
      <c r="Q305" s="0" t="inlineStr">
        <is>
          <t xml:space="preserve">7</t>
        </is>
      </c>
    </row>
    <row r="306">
      <c r="A306" s="4" t="inlineStr">
        <is>
          <t xml:space="preserve">VT</t>
        </is>
      </c>
      <c r="B306" s="0" t="inlineStr">
        <is>
          <t xml:space="preserve">Journal des ventes</t>
        </is>
      </c>
      <c r="C306" s="0" t="inlineStr">
        <is>
          <t xml:space="preserve">VT00017</t>
        </is>
      </c>
      <c r="D306" s="10">
        <v>45769</v>
      </c>
      <c r="E306" s="4" t="inlineStr">
        <is>
          <t xml:space="preserve">445710</t>
        </is>
      </c>
      <c r="F306" s="0" t="inlineStr">
        <is>
          <t xml:space="preserve">TVA collectee</t>
        </is>
      </c>
      <c r="G306" s="0" t="inlineStr">
        <is>
          <t xml:space="preserve">FA2025-0017</t>
        </is>
      </c>
      <c r="H306" s="0" t="inlineStr">
        <is>
          <t xml:space="preserve">Facture FA2025-0017 Hotel Les Tilleuls</t>
        </is>
      </c>
      <c r="I306" s="8">
        <v>0</v>
      </c>
      <c r="J306" s="8">
        <v>6185.19</v>
      </c>
      <c r="K306" s="0"/>
      <c r="L306" s="0"/>
      <c r="M306" s="8">
        <f>I306-J306</f>
      </c>
      <c r="N306" s="0" t="inlineStr">
        <is>
          <t xml:space="preserve">2025-04</t>
        </is>
      </c>
      <c r="O306" s="0">
        <f>INDEX(Journaux!$E$5:$E$18,MATCH("2025|"&amp;A306,Journaux!$A$5:$A$18,0))</f>
      </c>
      <c r="P306" s="0">
        <f>INDEX(Comptes!$K$5:$K$42,MATCH(E306,Comptes!$A$5:$A$42,0))</f>
      </c>
      <c r="Q306" s="0" t="inlineStr">
        <is>
          <t xml:space="preserve">4</t>
        </is>
      </c>
    </row>
    <row r="307">
      <c r="A307" s="4" t="inlineStr">
        <is>
          <t xml:space="preserve">BQ</t>
        </is>
      </c>
      <c r="B307" s="0" t="inlineStr">
        <is>
          <t xml:space="preserve">Banque Fictive</t>
        </is>
      </c>
      <c r="C307" s="0" t="inlineStr">
        <is>
          <t xml:space="preserve">BQ00076</t>
        </is>
      </c>
      <c r="D307" s="10">
        <v>45771</v>
      </c>
      <c r="E307" s="4" t="inlineStr">
        <is>
          <t xml:space="preserve">512000</t>
        </is>
      </c>
      <c r="F307" s="0" t="inlineStr">
        <is>
          <t xml:space="preserve">Banque Fictive</t>
        </is>
      </c>
      <c r="G307" s="0" t="inlineStr">
        <is>
          <t xml:space="preserve">ENC-FA2025-0009</t>
        </is>
      </c>
      <c r="H307" s="0" t="inlineStr">
        <is>
          <t xml:space="preserve">Reglement client Restaurant Le Comptoir FA2025-0009</t>
        </is>
      </c>
      <c r="I307" s="8">
        <v>43129.25</v>
      </c>
      <c r="J307" s="8">
        <v>0</v>
      </c>
      <c r="K307" s="0"/>
      <c r="L307" s="0"/>
      <c r="M307" s="8">
        <f>I307-J307</f>
      </c>
      <c r="N307" s="0" t="inlineStr">
        <is>
          <t xml:space="preserve">2025-04</t>
        </is>
      </c>
      <c r="O307" s="0">
        <f>INDEX(Journaux!$E$5:$E$18,MATCH("2025|"&amp;A307,Journaux!$A$5:$A$18,0))</f>
      </c>
      <c r="P307" s="0">
        <f>INDEX(Comptes!$K$5:$K$42,MATCH(E307,Comptes!$A$5:$A$42,0))</f>
      </c>
      <c r="Q307" s="0" t="inlineStr">
        <is>
          <t xml:space="preserve">5</t>
        </is>
      </c>
    </row>
    <row r="308">
      <c r="A308" s="4" t="inlineStr">
        <is>
          <t xml:space="preserve">BQ</t>
        </is>
      </c>
      <c r="B308" s="0" t="inlineStr">
        <is>
          <t xml:space="preserve">Banque Fictive</t>
        </is>
      </c>
      <c r="C308" s="0" t="inlineStr">
        <is>
          <t xml:space="preserve">BQ00076</t>
        </is>
      </c>
      <c r="D308" s="10">
        <v>45771</v>
      </c>
      <c r="E308" s="4" t="inlineStr">
        <is>
          <t xml:space="preserve">411000</t>
        </is>
      </c>
      <c r="F308" s="0" t="inlineStr">
        <is>
          <t xml:space="preserve">Clients</t>
        </is>
      </c>
      <c r="G308" s="0" t="inlineStr">
        <is>
          <t xml:space="preserve">ENC-FA2025-0009</t>
        </is>
      </c>
      <c r="H308" s="0" t="inlineStr">
        <is>
          <t xml:space="preserve">Reglement client Restaurant Le Comptoir FA2025-0009</t>
        </is>
      </c>
      <c r="I308" s="8">
        <v>0</v>
      </c>
      <c r="J308" s="8">
        <v>43129.25</v>
      </c>
      <c r="K308" s="0" t="inlineStr">
        <is>
          <t xml:space="preserve">AAQ</t>
        </is>
      </c>
      <c r="L308" s="0" t="inlineStr">
        <is>
          <t xml:space="preserve">Restaurant Le Comptoir</t>
        </is>
      </c>
      <c r="M308" s="8">
        <f>I308-J308</f>
      </c>
      <c r="N308" s="0" t="inlineStr">
        <is>
          <t xml:space="preserve">2025-04</t>
        </is>
      </c>
      <c r="O308" s="0">
        <f>INDEX(Journaux!$E$5:$E$18,MATCH("2025|"&amp;A308,Journaux!$A$5:$A$18,0))</f>
      </c>
      <c r="P308" s="0">
        <f>INDEX(Comptes!$K$5:$K$42,MATCH(E308,Comptes!$A$5:$A$42,0))</f>
      </c>
      <c r="Q308" s="0" t="inlineStr">
        <is>
          <t xml:space="preserve">4</t>
        </is>
      </c>
      <c r="R308" s="7" t="inlineStr">
        <is>
          <t xml:space="preserve">411000|C005</t>
        </is>
      </c>
    </row>
    <row r="309">
      <c r="A309" s="4" t="inlineStr">
        <is>
          <t xml:space="preserve">BQ</t>
        </is>
      </c>
      <c r="B309" s="0" t="inlineStr">
        <is>
          <t xml:space="preserve">Banque Fictive</t>
        </is>
      </c>
      <c r="C309" s="0" t="inlineStr">
        <is>
          <t xml:space="preserve">BQ00127</t>
        </is>
      </c>
      <c r="D309" s="10">
        <v>45775</v>
      </c>
      <c r="E309" s="4" t="inlineStr">
        <is>
          <t xml:space="preserve">401000</t>
        </is>
      </c>
      <c r="F309" s="0" t="inlineStr">
        <is>
          <t xml:space="preserve">Fournisseurs</t>
        </is>
      </c>
      <c r="G309" s="0" t="inlineStr">
        <is>
          <t xml:space="preserve">DEC-F002-2025021</t>
        </is>
      </c>
      <c r="H309" s="0" t="inlineStr">
        <is>
          <t xml:space="preserve">Reglement fournisseur Quincaillerie Pro Est F002-2025021</t>
        </is>
      </c>
      <c r="I309" s="8">
        <v>20083.12</v>
      </c>
      <c r="J309" s="8">
        <v>0</v>
      </c>
      <c r="K309" s="0" t="inlineStr">
        <is>
          <t xml:space="preserve">ABP</t>
        </is>
      </c>
      <c r="L309" s="0" t="inlineStr">
        <is>
          <t xml:space="preserve">Quincaillerie Pro Est</t>
        </is>
      </c>
      <c r="M309" s="8">
        <f>I309-J309</f>
      </c>
      <c r="N309" s="0" t="inlineStr">
        <is>
          <t xml:space="preserve">2025-04</t>
        </is>
      </c>
      <c r="O309" s="0">
        <f>INDEX(Journaux!$E$5:$E$18,MATCH("2025|"&amp;A309,Journaux!$A$5:$A$18,0))</f>
      </c>
      <c r="P309" s="0">
        <f>INDEX(Comptes!$K$5:$K$42,MATCH(E309,Comptes!$A$5:$A$42,0))</f>
      </c>
      <c r="Q309" s="0" t="inlineStr">
        <is>
          <t xml:space="preserve">4</t>
        </is>
      </c>
      <c r="R309" s="7" t="inlineStr">
        <is>
          <t xml:space="preserve">401000|F002</t>
        </is>
      </c>
    </row>
    <row r="310">
      <c r="A310" s="4" t="inlineStr">
        <is>
          <t xml:space="preserve">BQ</t>
        </is>
      </c>
      <c r="B310" s="0" t="inlineStr">
        <is>
          <t xml:space="preserve">Banque Fictive</t>
        </is>
      </c>
      <c r="C310" s="0" t="inlineStr">
        <is>
          <t xml:space="preserve">BQ00127</t>
        </is>
      </c>
      <c r="D310" s="10">
        <v>45775</v>
      </c>
      <c r="E310" s="4" t="inlineStr">
        <is>
          <t xml:space="preserve">512000</t>
        </is>
      </c>
      <c r="F310" s="0" t="inlineStr">
        <is>
          <t xml:space="preserve">Banque Fictive</t>
        </is>
      </c>
      <c r="G310" s="0" t="inlineStr">
        <is>
          <t xml:space="preserve">DEC-F002-2025021</t>
        </is>
      </c>
      <c r="H310" s="0" t="inlineStr">
        <is>
          <t xml:space="preserve">Reglement fournisseur Quincaillerie Pro Est F002-2025021</t>
        </is>
      </c>
      <c r="I310" s="8">
        <v>0</v>
      </c>
      <c r="J310" s="8">
        <v>20083.12</v>
      </c>
      <c r="K310" s="0"/>
      <c r="L310" s="0"/>
      <c r="M310" s="8">
        <f>I310-J310</f>
      </c>
      <c r="N310" s="0" t="inlineStr">
        <is>
          <t xml:space="preserve">2025-04</t>
        </is>
      </c>
      <c r="O310" s="0">
        <f>INDEX(Journaux!$E$5:$E$18,MATCH("2025|"&amp;A310,Journaux!$A$5:$A$18,0))</f>
      </c>
      <c r="P310" s="0">
        <f>INDEX(Comptes!$K$5:$K$42,MATCH(E310,Comptes!$A$5:$A$42,0))</f>
      </c>
      <c r="Q310" s="0" t="inlineStr">
        <is>
          <t xml:space="preserve">5</t>
        </is>
      </c>
    </row>
    <row r="311">
      <c r="A311" s="4" t="inlineStr">
        <is>
          <t xml:space="preserve">VT</t>
        </is>
      </c>
      <c r="B311" s="0" t="inlineStr">
        <is>
          <t xml:space="preserve">Journal des ventes</t>
        </is>
      </c>
      <c r="C311" s="0" t="inlineStr">
        <is>
          <t xml:space="preserve">VT00016</t>
        </is>
      </c>
      <c r="D311" s="10">
        <v>45775</v>
      </c>
      <c r="E311" s="4" t="inlineStr">
        <is>
          <t xml:space="preserve">411000</t>
        </is>
      </c>
      <c r="F311" s="0" t="inlineStr">
        <is>
          <t xml:space="preserve">Clients</t>
        </is>
      </c>
      <c r="G311" s="0" t="inlineStr">
        <is>
          <t xml:space="preserve">FA2025-0016</t>
        </is>
      </c>
      <c r="H311" s="0" t="inlineStr">
        <is>
          <t xml:space="preserve">Facture FA2025-0016 Boutique Hetre et Chene</t>
        </is>
      </c>
      <c r="I311" s="8">
        <v>28265.2</v>
      </c>
      <c r="J311" s="8">
        <v>0</v>
      </c>
      <c r="K311" s="0" t="inlineStr">
        <is>
          <t xml:space="preserve">AAX</t>
        </is>
      </c>
      <c r="L311" s="0" t="inlineStr">
        <is>
          <t xml:space="preserve">Boutique Hetre et Chene</t>
        </is>
      </c>
      <c r="M311" s="8">
        <f>I311-J311</f>
      </c>
      <c r="N311" s="0" t="inlineStr">
        <is>
          <t xml:space="preserve">2025-04</t>
        </is>
      </c>
      <c r="O311" s="0">
        <f>INDEX(Journaux!$E$5:$E$18,MATCH("2025|"&amp;A311,Journaux!$A$5:$A$18,0))</f>
      </c>
      <c r="P311" s="0">
        <f>INDEX(Comptes!$K$5:$K$42,MATCH(E311,Comptes!$A$5:$A$42,0))</f>
      </c>
      <c r="Q311" s="0" t="inlineStr">
        <is>
          <t xml:space="preserve">4</t>
        </is>
      </c>
      <c r="R311" s="7" t="inlineStr">
        <is>
          <t xml:space="preserve">411000|C007</t>
        </is>
      </c>
    </row>
    <row r="312">
      <c r="A312" s="4" t="inlineStr">
        <is>
          <t xml:space="preserve">VT</t>
        </is>
      </c>
      <c r="B312" s="0" t="inlineStr">
        <is>
          <t xml:space="preserve">Journal des ventes</t>
        </is>
      </c>
      <c r="C312" s="0" t="inlineStr">
        <is>
          <t xml:space="preserve">VT00016</t>
        </is>
      </c>
      <c r="D312" s="10">
        <v>45775</v>
      </c>
      <c r="E312" s="4" t="inlineStr">
        <is>
          <t xml:space="preserve">701000</t>
        </is>
      </c>
      <c r="F312" s="0" t="inlineStr">
        <is>
          <t xml:space="preserve">Ventes de produits finis</t>
        </is>
      </c>
      <c r="G312" s="0" t="inlineStr">
        <is>
          <t xml:space="preserve">FA2025-0016</t>
        </is>
      </c>
      <c r="H312" s="0" t="inlineStr">
        <is>
          <t xml:space="preserve">Facture FA2025-0016 Boutique Hetre et Chene</t>
        </is>
      </c>
      <c r="I312" s="8">
        <v>0</v>
      </c>
      <c r="J312" s="8">
        <v>23554.33</v>
      </c>
      <c r="K312" s="0"/>
      <c r="L312" s="0"/>
      <c r="M312" s="8">
        <f>I312-J312</f>
      </c>
      <c r="N312" s="0" t="inlineStr">
        <is>
          <t xml:space="preserve">2025-04</t>
        </is>
      </c>
      <c r="O312" s="0">
        <f>INDEX(Journaux!$E$5:$E$18,MATCH("2025|"&amp;A312,Journaux!$A$5:$A$18,0))</f>
      </c>
      <c r="P312" s="0">
        <f>INDEX(Comptes!$K$5:$K$42,MATCH(E312,Comptes!$A$5:$A$42,0))</f>
      </c>
      <c r="Q312" s="0" t="inlineStr">
        <is>
          <t xml:space="preserve">7</t>
        </is>
      </c>
    </row>
    <row r="313">
      <c r="A313" s="4" t="inlineStr">
        <is>
          <t xml:space="preserve">VT</t>
        </is>
      </c>
      <c r="B313" s="0" t="inlineStr">
        <is>
          <t xml:space="preserve">Journal des ventes</t>
        </is>
      </c>
      <c r="C313" s="0" t="inlineStr">
        <is>
          <t xml:space="preserve">VT00016</t>
        </is>
      </c>
      <c r="D313" s="10">
        <v>45775</v>
      </c>
      <c r="E313" s="4" t="inlineStr">
        <is>
          <t xml:space="preserve">445710</t>
        </is>
      </c>
      <c r="F313" s="0" t="inlineStr">
        <is>
          <t xml:space="preserve">TVA collectee</t>
        </is>
      </c>
      <c r="G313" s="0" t="inlineStr">
        <is>
          <t xml:space="preserve">FA2025-0016</t>
        </is>
      </c>
      <c r="H313" s="0" t="inlineStr">
        <is>
          <t xml:space="preserve">Facture FA2025-0016 Boutique Hetre et Chene</t>
        </is>
      </c>
      <c r="I313" s="8">
        <v>0</v>
      </c>
      <c r="J313" s="8">
        <v>4710.87</v>
      </c>
      <c r="K313" s="0"/>
      <c r="L313" s="0"/>
      <c r="M313" s="8">
        <f>I313-J313</f>
      </c>
      <c r="N313" s="0" t="inlineStr">
        <is>
          <t xml:space="preserve">2025-04</t>
        </is>
      </c>
      <c r="O313" s="0">
        <f>INDEX(Journaux!$E$5:$E$18,MATCH("2025|"&amp;A313,Journaux!$A$5:$A$18,0))</f>
      </c>
      <c r="P313" s="0">
        <f>INDEX(Comptes!$K$5:$K$42,MATCH(E313,Comptes!$A$5:$A$42,0))</f>
      </c>
      <c r="Q313" s="0" t="inlineStr">
        <is>
          <t xml:space="preserve">4</t>
        </is>
      </c>
    </row>
    <row r="314">
      <c r="A314" s="4" t="inlineStr">
        <is>
          <t xml:space="preserve">AC</t>
        </is>
      </c>
      <c r="B314" s="0" t="inlineStr">
        <is>
          <t xml:space="preserve">Journal des achats</t>
        </is>
      </c>
      <c r="C314" s="0" t="inlineStr">
        <is>
          <t xml:space="preserve">AC00022</t>
        </is>
      </c>
      <c r="D314" s="10">
        <v>45776</v>
      </c>
      <c r="E314" s="4" t="inlineStr">
        <is>
          <t xml:space="preserve">601000</t>
        </is>
      </c>
      <c r="F314" s="0" t="inlineStr">
        <is>
          <t xml:space="preserve">Achats de matieres premieres</t>
        </is>
      </c>
      <c r="G314" s="0" t="inlineStr">
        <is>
          <t xml:space="preserve">F003-2025042</t>
        </is>
      </c>
      <c r="H314" s="0" t="inlineStr">
        <is>
          <t xml:space="preserve">Facture Vernis et Finitions F003-2025042</t>
        </is>
      </c>
      <c r="I314" s="8">
        <v>20759.66</v>
      </c>
      <c r="J314" s="8">
        <v>0</v>
      </c>
      <c r="K314" s="0"/>
      <c r="L314" s="0"/>
      <c r="M314" s="8">
        <f>I314-J314</f>
      </c>
      <c r="N314" s="0" t="inlineStr">
        <is>
          <t xml:space="preserve">2025-04</t>
        </is>
      </c>
      <c r="O314" s="0">
        <f>INDEX(Journaux!$E$5:$E$18,MATCH("2025|"&amp;A314,Journaux!$A$5:$A$18,0))</f>
      </c>
      <c r="P314" s="0">
        <f>INDEX(Comptes!$K$5:$K$42,MATCH(E314,Comptes!$A$5:$A$42,0))</f>
      </c>
      <c r="Q314" s="0" t="inlineStr">
        <is>
          <t xml:space="preserve">6</t>
        </is>
      </c>
    </row>
    <row r="315">
      <c r="A315" s="4" t="inlineStr">
        <is>
          <t xml:space="preserve">AC</t>
        </is>
      </c>
      <c r="B315" s="0" t="inlineStr">
        <is>
          <t xml:space="preserve">Journal des achats</t>
        </is>
      </c>
      <c r="C315" s="0" t="inlineStr">
        <is>
          <t xml:space="preserve">AC00022</t>
        </is>
      </c>
      <c r="D315" s="10">
        <v>45776</v>
      </c>
      <c r="E315" s="4" t="inlineStr">
        <is>
          <t xml:space="preserve">445660</t>
        </is>
      </c>
      <c r="F315" s="0" t="inlineStr">
        <is>
          <t xml:space="preserve">TVA deductible sur ABS</t>
        </is>
      </c>
      <c r="G315" s="0" t="inlineStr">
        <is>
          <t xml:space="preserve">F003-2025042</t>
        </is>
      </c>
      <c r="H315" s="0" t="inlineStr">
        <is>
          <t xml:space="preserve">Facture Vernis et Finitions F003-2025042</t>
        </is>
      </c>
      <c r="I315" s="8">
        <v>4151.93</v>
      </c>
      <c r="J315" s="8">
        <v>0</v>
      </c>
      <c r="K315" s="0"/>
      <c r="L315" s="0"/>
      <c r="M315" s="8">
        <f>I315-J315</f>
      </c>
      <c r="N315" s="0" t="inlineStr">
        <is>
          <t xml:space="preserve">2025-04</t>
        </is>
      </c>
      <c r="O315" s="0">
        <f>INDEX(Journaux!$E$5:$E$18,MATCH("2025|"&amp;A315,Journaux!$A$5:$A$18,0))</f>
      </c>
      <c r="P315" s="0">
        <f>INDEX(Comptes!$K$5:$K$42,MATCH(E315,Comptes!$A$5:$A$42,0))</f>
      </c>
      <c r="Q315" s="0" t="inlineStr">
        <is>
          <t xml:space="preserve">4</t>
        </is>
      </c>
    </row>
    <row r="316">
      <c r="A316" s="4" t="inlineStr">
        <is>
          <t xml:space="preserve">AC</t>
        </is>
      </c>
      <c r="B316" s="0" t="inlineStr">
        <is>
          <t xml:space="preserve">Journal des achats</t>
        </is>
      </c>
      <c r="C316" s="0" t="inlineStr">
        <is>
          <t xml:space="preserve">AC00022</t>
        </is>
      </c>
      <c r="D316" s="10">
        <v>45776</v>
      </c>
      <c r="E316" s="4" t="inlineStr">
        <is>
          <t xml:space="preserve">401000</t>
        </is>
      </c>
      <c r="F316" s="0" t="inlineStr">
        <is>
          <t xml:space="preserve">Fournisseurs</t>
        </is>
      </c>
      <c r="G316" s="0" t="inlineStr">
        <is>
          <t xml:space="preserve">F003-2025042</t>
        </is>
      </c>
      <c r="H316" s="0" t="inlineStr">
        <is>
          <t xml:space="preserve">Facture Vernis et Finitions F003-2025042</t>
        </is>
      </c>
      <c r="I316" s="8">
        <v>0</v>
      </c>
      <c r="J316" s="8">
        <v>24911.59</v>
      </c>
      <c r="K316" s="0" t="inlineStr">
        <is>
          <t xml:space="preserve">ACD</t>
        </is>
      </c>
      <c r="L316" s="0" t="inlineStr">
        <is>
          <t xml:space="preserve">Vernis et Finitions</t>
        </is>
      </c>
      <c r="M316" s="8">
        <f>I316-J316</f>
      </c>
      <c r="N316" s="0" t="inlineStr">
        <is>
          <t xml:space="preserve">2025-04</t>
        </is>
      </c>
      <c r="O316" s="0">
        <f>INDEX(Journaux!$E$5:$E$18,MATCH("2025|"&amp;A316,Journaux!$A$5:$A$18,0))</f>
      </c>
      <c r="P316" s="0">
        <f>INDEX(Comptes!$K$5:$K$42,MATCH(E316,Comptes!$A$5:$A$42,0))</f>
      </c>
      <c r="Q316" s="0" t="inlineStr">
        <is>
          <t xml:space="preserve">4</t>
        </is>
      </c>
      <c r="R316" s="7" t="inlineStr">
        <is>
          <t xml:space="preserve">401000|F003</t>
        </is>
      </c>
    </row>
    <row r="317">
      <c r="A317" s="4" t="inlineStr">
        <is>
          <t xml:space="preserve">AC</t>
        </is>
      </c>
      <c r="B317" s="0" t="inlineStr">
        <is>
          <t xml:space="preserve">Journal des achats</t>
        </is>
      </c>
      <c r="C317" s="0" t="inlineStr">
        <is>
          <t xml:space="preserve">AC00021</t>
        </is>
      </c>
      <c r="D317" s="10">
        <v>45777</v>
      </c>
      <c r="E317" s="4" t="inlineStr">
        <is>
          <t xml:space="preserve">601000</t>
        </is>
      </c>
      <c r="F317" s="0" t="inlineStr">
        <is>
          <t xml:space="preserve">Achats de matieres premieres</t>
        </is>
      </c>
      <c r="G317" s="0" t="inlineStr">
        <is>
          <t xml:space="preserve">F001-2025041</t>
        </is>
      </c>
      <c r="H317" s="0" t="inlineStr">
        <is>
          <t xml:space="preserve">Facture Scierie du Nord F001-2025041</t>
        </is>
      </c>
      <c r="I317" s="8">
        <v>19309.55</v>
      </c>
      <c r="J317" s="8">
        <v>0</v>
      </c>
      <c r="K317" s="0"/>
      <c r="L317" s="0"/>
      <c r="M317" s="8">
        <f>I317-J317</f>
      </c>
      <c r="N317" s="0" t="inlineStr">
        <is>
          <t xml:space="preserve">2025-04</t>
        </is>
      </c>
      <c r="O317" s="0">
        <f>INDEX(Journaux!$E$5:$E$18,MATCH("2025|"&amp;A317,Journaux!$A$5:$A$18,0))</f>
      </c>
      <c r="P317" s="0">
        <f>INDEX(Comptes!$K$5:$K$42,MATCH(E317,Comptes!$A$5:$A$42,0))</f>
      </c>
      <c r="Q317" s="0" t="inlineStr">
        <is>
          <t xml:space="preserve">6</t>
        </is>
      </c>
    </row>
    <row r="318">
      <c r="A318" s="4" t="inlineStr">
        <is>
          <t xml:space="preserve">AC</t>
        </is>
      </c>
      <c r="B318" s="0" t="inlineStr">
        <is>
          <t xml:space="preserve">Journal des achats</t>
        </is>
      </c>
      <c r="C318" s="0" t="inlineStr">
        <is>
          <t xml:space="preserve">AC00021</t>
        </is>
      </c>
      <c r="D318" s="10">
        <v>45777</v>
      </c>
      <c r="E318" s="4" t="inlineStr">
        <is>
          <t xml:space="preserve">445660</t>
        </is>
      </c>
      <c r="F318" s="0" t="inlineStr">
        <is>
          <t xml:space="preserve">TVA deductible sur ABS</t>
        </is>
      </c>
      <c r="G318" s="0" t="inlineStr">
        <is>
          <t xml:space="preserve">F001-2025041</t>
        </is>
      </c>
      <c r="H318" s="0" t="inlineStr">
        <is>
          <t xml:space="preserve">Facture Scierie du Nord F001-2025041</t>
        </is>
      </c>
      <c r="I318" s="8">
        <v>3861.91</v>
      </c>
      <c r="J318" s="8">
        <v>0</v>
      </c>
      <c r="K318" s="0"/>
      <c r="L318" s="0"/>
      <c r="M318" s="8">
        <f>I318-J318</f>
      </c>
      <c r="N318" s="0" t="inlineStr">
        <is>
          <t xml:space="preserve">2025-04</t>
        </is>
      </c>
      <c r="O318" s="0">
        <f>INDEX(Journaux!$E$5:$E$18,MATCH("2025|"&amp;A318,Journaux!$A$5:$A$18,0))</f>
      </c>
      <c r="P318" s="0">
        <f>INDEX(Comptes!$K$5:$K$42,MATCH(E318,Comptes!$A$5:$A$42,0))</f>
      </c>
      <c r="Q318" s="0" t="inlineStr">
        <is>
          <t xml:space="preserve">4</t>
        </is>
      </c>
    </row>
    <row r="319">
      <c r="A319" s="4" t="inlineStr">
        <is>
          <t xml:space="preserve">AC</t>
        </is>
      </c>
      <c r="B319" s="0" t="inlineStr">
        <is>
          <t xml:space="preserve">Journal des achats</t>
        </is>
      </c>
      <c r="C319" s="0" t="inlineStr">
        <is>
          <t xml:space="preserve">AC00021</t>
        </is>
      </c>
      <c r="D319" s="10">
        <v>45777</v>
      </c>
      <c r="E319" s="4" t="inlineStr">
        <is>
          <t xml:space="preserve">401000</t>
        </is>
      </c>
      <c r="F319" s="0" t="inlineStr">
        <is>
          <t xml:space="preserve">Fournisseurs</t>
        </is>
      </c>
      <c r="G319" s="0" t="inlineStr">
        <is>
          <t xml:space="preserve">F001-2025041</t>
        </is>
      </c>
      <c r="H319" s="0" t="inlineStr">
        <is>
          <t xml:space="preserve">Facture Scierie du Nord F001-2025041</t>
        </is>
      </c>
      <c r="I319" s="8">
        <v>0</v>
      </c>
      <c r="J319" s="8">
        <v>23171.46</v>
      </c>
      <c r="K319" s="0" t="inlineStr">
        <is>
          <t xml:space="preserve">ACC</t>
        </is>
      </c>
      <c r="L319" s="0" t="inlineStr">
        <is>
          <t xml:space="preserve">Scierie du Nord</t>
        </is>
      </c>
      <c r="M319" s="8">
        <f>I319-J319</f>
      </c>
      <c r="N319" s="0" t="inlineStr">
        <is>
          <t xml:space="preserve">2025-04</t>
        </is>
      </c>
      <c r="O319" s="0">
        <f>INDEX(Journaux!$E$5:$E$18,MATCH("2025|"&amp;A319,Journaux!$A$5:$A$18,0))</f>
      </c>
      <c r="P319" s="0">
        <f>INDEX(Comptes!$K$5:$K$42,MATCH(E319,Comptes!$A$5:$A$42,0))</f>
      </c>
      <c r="Q319" s="0" t="inlineStr">
        <is>
          <t xml:space="preserve">4</t>
        </is>
      </c>
      <c r="R319" s="7" t="inlineStr">
        <is>
          <t xml:space="preserve">401000|F001</t>
        </is>
      </c>
    </row>
    <row r="320">
      <c r="A320" s="4" t="inlineStr">
        <is>
          <t xml:space="preserve">BQ</t>
        </is>
      </c>
      <c r="B320" s="0" t="inlineStr">
        <is>
          <t xml:space="preserve">Banque Fictive</t>
        </is>
      </c>
      <c r="C320" s="0" t="inlineStr">
        <is>
          <t xml:space="preserve">BQ00010</t>
        </is>
      </c>
      <c r="D320" s="10">
        <v>45777</v>
      </c>
      <c r="E320" s="4" t="inlineStr">
        <is>
          <t xml:space="preserve">421000</t>
        </is>
      </c>
      <c r="F320" s="0" t="inlineStr">
        <is>
          <t xml:space="preserve">Personnel remunerations dues</t>
        </is>
      </c>
      <c r="G320" s="0" t="inlineStr">
        <is>
          <t xml:space="preserve">VIRSAL202504</t>
        </is>
      </c>
      <c r="H320" s="0" t="inlineStr">
        <is>
          <t xml:space="preserve">Virement salaires 04/2025</t>
        </is>
      </c>
      <c r="I320" s="8">
        <v>38593.3</v>
      </c>
      <c r="J320" s="8">
        <v>0</v>
      </c>
      <c r="K320" s="0"/>
      <c r="L320" s="0"/>
      <c r="M320" s="8">
        <f>I320-J320</f>
      </c>
      <c r="N320" s="0" t="inlineStr">
        <is>
          <t xml:space="preserve">2025-04</t>
        </is>
      </c>
      <c r="O320" s="0">
        <f>INDEX(Journaux!$E$5:$E$18,MATCH("2025|"&amp;A320,Journaux!$A$5:$A$18,0))</f>
      </c>
      <c r="P320" s="0">
        <f>INDEX(Comptes!$K$5:$K$42,MATCH(E320,Comptes!$A$5:$A$42,0))</f>
      </c>
      <c r="Q320" s="0" t="inlineStr">
        <is>
          <t xml:space="preserve">4</t>
        </is>
      </c>
    </row>
    <row r="321">
      <c r="A321" s="4" t="inlineStr">
        <is>
          <t xml:space="preserve">BQ</t>
        </is>
      </c>
      <c r="B321" s="0" t="inlineStr">
        <is>
          <t xml:space="preserve">Banque Fictive</t>
        </is>
      </c>
      <c r="C321" s="0" t="inlineStr">
        <is>
          <t xml:space="preserve">BQ00010</t>
        </is>
      </c>
      <c r="D321" s="10">
        <v>45777</v>
      </c>
      <c r="E321" s="4" t="inlineStr">
        <is>
          <t xml:space="preserve">512000</t>
        </is>
      </c>
      <c r="F321" s="0" t="inlineStr">
        <is>
          <t xml:space="preserve">Banque Fictive</t>
        </is>
      </c>
      <c r="G321" s="0" t="inlineStr">
        <is>
          <t xml:space="preserve">VIRSAL202504</t>
        </is>
      </c>
      <c r="H321" s="0" t="inlineStr">
        <is>
          <t xml:space="preserve">Virement salaires 04/2025</t>
        </is>
      </c>
      <c r="I321" s="8">
        <v>0</v>
      </c>
      <c r="J321" s="8">
        <v>38593.3</v>
      </c>
      <c r="K321" s="0"/>
      <c r="L321" s="0"/>
      <c r="M321" s="8">
        <f>I321-J321</f>
      </c>
      <c r="N321" s="0" t="inlineStr">
        <is>
          <t xml:space="preserve">2025-04</t>
        </is>
      </c>
      <c r="O321" s="0">
        <f>INDEX(Journaux!$E$5:$E$18,MATCH("2025|"&amp;A321,Journaux!$A$5:$A$18,0))</f>
      </c>
      <c r="P321" s="0">
        <f>INDEX(Comptes!$K$5:$K$42,MATCH(E321,Comptes!$A$5:$A$42,0))</f>
      </c>
      <c r="Q321" s="0" t="inlineStr">
        <is>
          <t xml:space="preserve">5</t>
        </is>
      </c>
    </row>
    <row r="322">
      <c r="A322" s="4" t="inlineStr">
        <is>
          <t xml:space="preserve">BQ</t>
        </is>
      </c>
      <c r="B322" s="0" t="inlineStr">
        <is>
          <t xml:space="preserve">Banque Fictive</t>
        </is>
      </c>
      <c r="C322" s="0" t="inlineStr">
        <is>
          <t xml:space="preserve">BQ00012</t>
        </is>
      </c>
      <c r="D322" s="10">
        <v>45777</v>
      </c>
      <c r="E322" s="4" t="inlineStr">
        <is>
          <t xml:space="preserve">627000</t>
        </is>
      </c>
      <c r="F322" s="0" t="inlineStr">
        <is>
          <t xml:space="preserve">Services bancaires</t>
        </is>
      </c>
      <c r="G322" s="0" t="inlineStr">
        <is>
          <t xml:space="preserve">FRB202504</t>
        </is>
      </c>
      <c r="H322" s="0" t="inlineStr">
        <is>
          <t xml:space="preserve">Frais bancaires 04/2025</t>
        </is>
      </c>
      <c r="I322" s="8">
        <v>85</v>
      </c>
      <c r="J322" s="8">
        <v>0</v>
      </c>
      <c r="K322" s="0"/>
      <c r="L322" s="0"/>
      <c r="M322" s="8">
        <f>I322-J322</f>
      </c>
      <c r="N322" s="0" t="inlineStr">
        <is>
          <t xml:space="preserve">2025-04</t>
        </is>
      </c>
      <c r="O322" s="0">
        <f>INDEX(Journaux!$E$5:$E$18,MATCH("2025|"&amp;A322,Journaux!$A$5:$A$18,0))</f>
      </c>
      <c r="P322" s="0">
        <f>INDEX(Comptes!$K$5:$K$42,MATCH(E322,Comptes!$A$5:$A$42,0))</f>
      </c>
      <c r="Q322" s="0" t="inlineStr">
        <is>
          <t xml:space="preserve">6</t>
        </is>
      </c>
    </row>
    <row r="323">
      <c r="A323" s="4" t="inlineStr">
        <is>
          <t xml:space="preserve">BQ</t>
        </is>
      </c>
      <c r="B323" s="0" t="inlineStr">
        <is>
          <t xml:space="preserve">Banque Fictive</t>
        </is>
      </c>
      <c r="C323" s="0" t="inlineStr">
        <is>
          <t xml:space="preserve">BQ00012</t>
        </is>
      </c>
      <c r="D323" s="10">
        <v>45777</v>
      </c>
      <c r="E323" s="4" t="inlineStr">
        <is>
          <t xml:space="preserve">512000</t>
        </is>
      </c>
      <c r="F323" s="0" t="inlineStr">
        <is>
          <t xml:space="preserve">Banque Fictive</t>
        </is>
      </c>
      <c r="G323" s="0" t="inlineStr">
        <is>
          <t xml:space="preserve">FRB202504</t>
        </is>
      </c>
      <c r="H323" s="0" t="inlineStr">
        <is>
          <t xml:space="preserve">Frais bancaires 04/2025</t>
        </is>
      </c>
      <c r="I323" s="8">
        <v>0</v>
      </c>
      <c r="J323" s="8">
        <v>85</v>
      </c>
      <c r="K323" s="0"/>
      <c r="L323" s="0"/>
      <c r="M323" s="8">
        <f>I323-J323</f>
      </c>
      <c r="N323" s="0" t="inlineStr">
        <is>
          <t xml:space="preserve">2025-04</t>
        </is>
      </c>
      <c r="O323" s="0">
        <f>INDEX(Journaux!$E$5:$E$18,MATCH("2025|"&amp;A323,Journaux!$A$5:$A$18,0))</f>
      </c>
      <c r="P323" s="0">
        <f>INDEX(Comptes!$K$5:$K$42,MATCH(E323,Comptes!$A$5:$A$42,0))</f>
      </c>
      <c r="Q323" s="0" t="inlineStr">
        <is>
          <t xml:space="preserve">5</t>
        </is>
      </c>
    </row>
    <row r="324">
      <c r="A324" s="4" t="inlineStr">
        <is>
          <t xml:space="preserve">OD</t>
        </is>
      </c>
      <c r="B324" s="0" t="inlineStr">
        <is>
          <t xml:space="preserve">Operations diverses</t>
        </is>
      </c>
      <c r="C324" s="0" t="inlineStr">
        <is>
          <t xml:space="preserve">OD00004</t>
        </is>
      </c>
      <c r="D324" s="10">
        <v>45777</v>
      </c>
      <c r="E324" s="4" t="inlineStr">
        <is>
          <t xml:space="preserve">445710</t>
        </is>
      </c>
      <c r="F324" s="0" t="inlineStr">
        <is>
          <t xml:space="preserve">TVA collectee</t>
        </is>
      </c>
      <c r="G324" s="0" t="inlineStr">
        <is>
          <t xml:space="preserve">CA3-202504</t>
        </is>
      </c>
      <c r="H324" s="0" t="inlineStr">
        <is>
          <t xml:space="preserve">Declaration TVA 04/2025</t>
        </is>
      </c>
      <c r="I324" s="8">
        <v>23333.34</v>
      </c>
      <c r="J324" s="8">
        <v>0</v>
      </c>
      <c r="K324" s="0"/>
      <c r="L324" s="0"/>
      <c r="M324" s="8">
        <f>I324-J324</f>
      </c>
      <c r="N324" s="0" t="inlineStr">
        <is>
          <t xml:space="preserve">2025-04</t>
        </is>
      </c>
      <c r="O324" s="0">
        <f>INDEX(Journaux!$E$5:$E$18,MATCH("2025|"&amp;A324,Journaux!$A$5:$A$18,0))</f>
      </c>
      <c r="P324" s="0">
        <f>INDEX(Comptes!$K$5:$K$42,MATCH(E324,Comptes!$A$5:$A$42,0))</f>
      </c>
      <c r="Q324" s="0" t="inlineStr">
        <is>
          <t xml:space="preserve">4</t>
        </is>
      </c>
    </row>
    <row r="325">
      <c r="A325" s="4" t="inlineStr">
        <is>
          <t xml:space="preserve">OD</t>
        </is>
      </c>
      <c r="B325" s="0" t="inlineStr">
        <is>
          <t xml:space="preserve">Operations diverses</t>
        </is>
      </c>
      <c r="C325" s="0" t="inlineStr">
        <is>
          <t xml:space="preserve">OD00004</t>
        </is>
      </c>
      <c r="D325" s="10">
        <v>45777</v>
      </c>
      <c r="E325" s="4" t="inlineStr">
        <is>
          <t xml:space="preserve">445660</t>
        </is>
      </c>
      <c r="F325" s="0" t="inlineStr">
        <is>
          <t xml:space="preserve">TVA deductible sur ABS</t>
        </is>
      </c>
      <c r="G325" s="0" t="inlineStr">
        <is>
          <t xml:space="preserve">CA3-202504</t>
        </is>
      </c>
      <c r="H325" s="0" t="inlineStr">
        <is>
          <t xml:space="preserve">Declaration TVA 04/2025</t>
        </is>
      </c>
      <c r="I325" s="8">
        <v>0</v>
      </c>
      <c r="J325" s="8">
        <v>13407.06</v>
      </c>
      <c r="K325" s="0"/>
      <c r="L325" s="0"/>
      <c r="M325" s="8">
        <f>I325-J325</f>
      </c>
      <c r="N325" s="0" t="inlineStr">
        <is>
          <t xml:space="preserve">2025-04</t>
        </is>
      </c>
      <c r="O325" s="0">
        <f>INDEX(Journaux!$E$5:$E$18,MATCH("2025|"&amp;A325,Journaux!$A$5:$A$18,0))</f>
      </c>
      <c r="P325" s="0">
        <f>INDEX(Comptes!$K$5:$K$42,MATCH(E325,Comptes!$A$5:$A$42,0))</f>
      </c>
      <c r="Q325" s="0" t="inlineStr">
        <is>
          <t xml:space="preserve">4</t>
        </is>
      </c>
    </row>
    <row r="326">
      <c r="A326" s="4" t="inlineStr">
        <is>
          <t xml:space="preserve">OD</t>
        </is>
      </c>
      <c r="B326" s="0" t="inlineStr">
        <is>
          <t xml:space="preserve">Operations diverses</t>
        </is>
      </c>
      <c r="C326" s="0" t="inlineStr">
        <is>
          <t xml:space="preserve">OD00004</t>
        </is>
      </c>
      <c r="D326" s="10">
        <v>45777</v>
      </c>
      <c r="E326" s="4" t="inlineStr">
        <is>
          <t xml:space="preserve">445510</t>
        </is>
      </c>
      <c r="F326" s="0" t="inlineStr">
        <is>
          <t xml:space="preserve">TVA a decaisser</t>
        </is>
      </c>
      <c r="G326" s="0" t="inlineStr">
        <is>
          <t xml:space="preserve">CA3-202504</t>
        </is>
      </c>
      <c r="H326" s="0" t="inlineStr">
        <is>
          <t xml:space="preserve">Declaration TVA 04/2025</t>
        </is>
      </c>
      <c r="I326" s="8">
        <v>0</v>
      </c>
      <c r="J326" s="8">
        <v>9926.28</v>
      </c>
      <c r="K326" s="0"/>
      <c r="L326" s="0"/>
      <c r="M326" s="8">
        <f>I326-J326</f>
      </c>
      <c r="N326" s="0" t="inlineStr">
        <is>
          <t xml:space="preserve">2025-04</t>
        </is>
      </c>
      <c r="O326" s="0">
        <f>INDEX(Journaux!$E$5:$E$18,MATCH("2025|"&amp;A326,Journaux!$A$5:$A$18,0))</f>
      </c>
      <c r="P326" s="0">
        <f>INDEX(Comptes!$K$5:$K$42,MATCH(E326,Comptes!$A$5:$A$42,0))</f>
      </c>
      <c r="Q326" s="0" t="inlineStr">
        <is>
          <t xml:space="preserve">4</t>
        </is>
      </c>
    </row>
    <row r="327">
      <c r="A327" s="4" t="inlineStr">
        <is>
          <t xml:space="preserve">SA</t>
        </is>
      </c>
      <c r="B327" s="0" t="inlineStr">
        <is>
          <t xml:space="preserve">Salaires</t>
        </is>
      </c>
      <c r="C327" s="0" t="inlineStr">
        <is>
          <t xml:space="preserve">SA00004</t>
        </is>
      </c>
      <c r="D327" s="10">
        <v>45777</v>
      </c>
      <c r="E327" s="4" t="inlineStr">
        <is>
          <t xml:space="preserve">641000</t>
        </is>
      </c>
      <c r="F327" s="0" t="inlineStr">
        <is>
          <t xml:space="preserve">Remunerations du personnel</t>
        </is>
      </c>
      <c r="G327" s="0" t="inlineStr">
        <is>
          <t xml:space="preserve">PAIE202504</t>
        </is>
      </c>
      <c r="H327" s="0" t="inlineStr">
        <is>
          <t xml:space="preserve">Paie 04/2025</t>
        </is>
      </c>
      <c r="I327" s="8">
        <v>49478.59</v>
      </c>
      <c r="J327" s="8">
        <v>0</v>
      </c>
      <c r="K327" s="0"/>
      <c r="L327" s="0"/>
      <c r="M327" s="8">
        <f>I327-J327</f>
      </c>
      <c r="N327" s="0" t="inlineStr">
        <is>
          <t xml:space="preserve">2025-04</t>
        </is>
      </c>
      <c r="O327" s="0">
        <f>INDEX(Journaux!$E$5:$E$18,MATCH("2025|"&amp;A327,Journaux!$A$5:$A$18,0))</f>
      </c>
      <c r="P327" s="0">
        <f>INDEX(Comptes!$K$5:$K$42,MATCH(E327,Comptes!$A$5:$A$42,0))</f>
      </c>
      <c r="Q327" s="0" t="inlineStr">
        <is>
          <t xml:space="preserve">6</t>
        </is>
      </c>
    </row>
    <row r="328">
      <c r="A328" s="4" t="inlineStr">
        <is>
          <t xml:space="preserve">SA</t>
        </is>
      </c>
      <c r="B328" s="0" t="inlineStr">
        <is>
          <t xml:space="preserve">Salaires</t>
        </is>
      </c>
      <c r="C328" s="0" t="inlineStr">
        <is>
          <t xml:space="preserve">SA00004</t>
        </is>
      </c>
      <c r="D328" s="10">
        <v>45777</v>
      </c>
      <c r="E328" s="4" t="inlineStr">
        <is>
          <t xml:space="preserve">645100</t>
        </is>
      </c>
      <c r="F328" s="0" t="inlineStr">
        <is>
          <t xml:space="preserve">Cotisations URSSAF</t>
        </is>
      </c>
      <c r="G328" s="0" t="inlineStr">
        <is>
          <t xml:space="preserve">PAIE202504</t>
        </is>
      </c>
      <c r="H328" s="0" t="inlineStr">
        <is>
          <t xml:space="preserve">Paie 04/2025</t>
        </is>
      </c>
      <c r="I328" s="8">
        <v>20781.01</v>
      </c>
      <c r="J328" s="8">
        <v>0</v>
      </c>
      <c r="K328" s="0"/>
      <c r="L328" s="0"/>
      <c r="M328" s="8">
        <f>I328-J328</f>
      </c>
      <c r="N328" s="0" t="inlineStr">
        <is>
          <t xml:space="preserve">2025-04</t>
        </is>
      </c>
      <c r="O328" s="0">
        <f>INDEX(Journaux!$E$5:$E$18,MATCH("2025|"&amp;A328,Journaux!$A$5:$A$18,0))</f>
      </c>
      <c r="P328" s="0">
        <f>INDEX(Comptes!$K$5:$K$42,MATCH(E328,Comptes!$A$5:$A$42,0))</f>
      </c>
      <c r="Q328" s="0" t="inlineStr">
        <is>
          <t xml:space="preserve">6</t>
        </is>
      </c>
    </row>
    <row r="329">
      <c r="A329" s="4" t="inlineStr">
        <is>
          <t xml:space="preserve">SA</t>
        </is>
      </c>
      <c r="B329" s="0" t="inlineStr">
        <is>
          <t xml:space="preserve">Salaires</t>
        </is>
      </c>
      <c r="C329" s="0" t="inlineStr">
        <is>
          <t xml:space="preserve">SA00004</t>
        </is>
      </c>
      <c r="D329" s="10">
        <v>45777</v>
      </c>
      <c r="E329" s="4" t="inlineStr">
        <is>
          <t xml:space="preserve">421000</t>
        </is>
      </c>
      <c r="F329" s="0" t="inlineStr">
        <is>
          <t xml:space="preserve">Personnel remunerations dues</t>
        </is>
      </c>
      <c r="G329" s="0" t="inlineStr">
        <is>
          <t xml:space="preserve">PAIE202504</t>
        </is>
      </c>
      <c r="H329" s="0" t="inlineStr">
        <is>
          <t xml:space="preserve">Paie 04/2025</t>
        </is>
      </c>
      <c r="I329" s="8">
        <v>0</v>
      </c>
      <c r="J329" s="8">
        <v>38593.3</v>
      </c>
      <c r="K329" s="0"/>
      <c r="L329" s="0"/>
      <c r="M329" s="8">
        <f>I329-J329</f>
      </c>
      <c r="N329" s="0" t="inlineStr">
        <is>
          <t xml:space="preserve">2025-04</t>
        </is>
      </c>
      <c r="O329" s="0">
        <f>INDEX(Journaux!$E$5:$E$18,MATCH("2025|"&amp;A329,Journaux!$A$5:$A$18,0))</f>
      </c>
      <c r="P329" s="0">
        <f>INDEX(Comptes!$K$5:$K$42,MATCH(E329,Comptes!$A$5:$A$42,0))</f>
      </c>
      <c r="Q329" s="0" t="inlineStr">
        <is>
          <t xml:space="preserve">4</t>
        </is>
      </c>
    </row>
    <row r="330">
      <c r="A330" s="4" t="inlineStr">
        <is>
          <t xml:space="preserve">SA</t>
        </is>
      </c>
      <c r="B330" s="0" t="inlineStr">
        <is>
          <t xml:space="preserve">Salaires</t>
        </is>
      </c>
      <c r="C330" s="0" t="inlineStr">
        <is>
          <t xml:space="preserve">SA00004</t>
        </is>
      </c>
      <c r="D330" s="10">
        <v>45777</v>
      </c>
      <c r="E330" s="4" t="inlineStr">
        <is>
          <t xml:space="preserve">431000</t>
        </is>
      </c>
      <c r="F330" s="0" t="inlineStr">
        <is>
          <t xml:space="preserve">Securite sociale</t>
        </is>
      </c>
      <c r="G330" s="0" t="inlineStr">
        <is>
          <t xml:space="preserve">PAIE202504</t>
        </is>
      </c>
      <c r="H330" s="0" t="inlineStr">
        <is>
          <t xml:space="preserve">Paie 04/2025</t>
        </is>
      </c>
      <c r="I330" s="8">
        <v>0</v>
      </c>
      <c r="J330" s="8">
        <v>31666.3</v>
      </c>
      <c r="K330" s="0"/>
      <c r="L330" s="0"/>
      <c r="M330" s="8">
        <f>I330-J330</f>
      </c>
      <c r="N330" s="0" t="inlineStr">
        <is>
          <t xml:space="preserve">2025-04</t>
        </is>
      </c>
      <c r="O330" s="0">
        <f>INDEX(Journaux!$E$5:$E$18,MATCH("2025|"&amp;A330,Journaux!$A$5:$A$18,0))</f>
      </c>
      <c r="P330" s="0">
        <f>INDEX(Comptes!$K$5:$K$42,MATCH(E330,Comptes!$A$5:$A$42,0))</f>
      </c>
      <c r="Q330" s="0" t="inlineStr">
        <is>
          <t xml:space="preserve">4</t>
        </is>
      </c>
    </row>
    <row r="331">
      <c r="A331" s="4" t="inlineStr">
        <is>
          <t xml:space="preserve">BQ</t>
        </is>
      </c>
      <c r="B331" s="0" t="inlineStr">
        <is>
          <t xml:space="preserve">Banque Fictive</t>
        </is>
      </c>
      <c r="C331" s="0" t="inlineStr">
        <is>
          <t xml:space="preserve">BQ00078</t>
        </is>
      </c>
      <c r="D331" s="10">
        <v>45778</v>
      </c>
      <c r="E331" s="4" t="inlineStr">
        <is>
          <t xml:space="preserve">512000</t>
        </is>
      </c>
      <c r="F331" s="0" t="inlineStr">
        <is>
          <t xml:space="preserve">Banque Fictive</t>
        </is>
      </c>
      <c r="G331" s="0" t="inlineStr">
        <is>
          <t xml:space="preserve">ENC-FA2025-0011</t>
        </is>
      </c>
      <c r="H331" s="0" t="inlineStr">
        <is>
          <t xml:space="preserve">Reglement client Hotel Les Tilleuls FA2025-0011</t>
        </is>
      </c>
      <c r="I331" s="8">
        <v>34519.87</v>
      </c>
      <c r="J331" s="8">
        <v>0</v>
      </c>
      <c r="K331" s="0"/>
      <c r="L331" s="0"/>
      <c r="M331" s="8">
        <f>I331-J331</f>
      </c>
      <c r="N331" s="0" t="inlineStr">
        <is>
          <t xml:space="preserve">2025-05</t>
        </is>
      </c>
      <c r="O331" s="0">
        <f>INDEX(Journaux!$E$5:$E$18,MATCH("2025|"&amp;A331,Journaux!$A$5:$A$18,0))</f>
      </c>
      <c r="P331" s="0">
        <f>INDEX(Comptes!$K$5:$K$42,MATCH(E331,Comptes!$A$5:$A$42,0))</f>
      </c>
      <c r="Q331" s="0" t="inlineStr">
        <is>
          <t xml:space="preserve">5</t>
        </is>
      </c>
    </row>
    <row r="332">
      <c r="A332" s="4" t="inlineStr">
        <is>
          <t xml:space="preserve">BQ</t>
        </is>
      </c>
      <c r="B332" s="0" t="inlineStr">
        <is>
          <t xml:space="preserve">Banque Fictive</t>
        </is>
      </c>
      <c r="C332" s="0" t="inlineStr">
        <is>
          <t xml:space="preserve">BQ00078</t>
        </is>
      </c>
      <c r="D332" s="10">
        <v>45778</v>
      </c>
      <c r="E332" s="4" t="inlineStr">
        <is>
          <t xml:space="preserve">411000</t>
        </is>
      </c>
      <c r="F332" s="0" t="inlineStr">
        <is>
          <t xml:space="preserve">Clients</t>
        </is>
      </c>
      <c r="G332" s="0" t="inlineStr">
        <is>
          <t xml:space="preserve">ENC-FA2025-0011</t>
        </is>
      </c>
      <c r="H332" s="0" t="inlineStr">
        <is>
          <t xml:space="preserve">Reglement client Hotel Les Tilleuls FA2025-0011</t>
        </is>
      </c>
      <c r="I332" s="8">
        <v>0</v>
      </c>
      <c r="J332" s="8">
        <v>34519.87</v>
      </c>
      <c r="K332" s="0" t="inlineStr">
        <is>
          <t xml:space="preserve">AAS</t>
        </is>
      </c>
      <c r="L332" s="0" t="inlineStr">
        <is>
          <t xml:space="preserve">Hotel Les Tilleuls</t>
        </is>
      </c>
      <c r="M332" s="8">
        <f>I332-J332</f>
      </c>
      <c r="N332" s="0" t="inlineStr">
        <is>
          <t xml:space="preserve">2025-05</t>
        </is>
      </c>
      <c r="O332" s="0">
        <f>INDEX(Journaux!$E$5:$E$18,MATCH("2025|"&amp;A332,Journaux!$A$5:$A$18,0))</f>
      </c>
      <c r="P332" s="0">
        <f>INDEX(Comptes!$K$5:$K$42,MATCH(E332,Comptes!$A$5:$A$42,0))</f>
      </c>
      <c r="Q332" s="0" t="inlineStr">
        <is>
          <t xml:space="preserve">4</t>
        </is>
      </c>
      <c r="R332" s="7" t="inlineStr">
        <is>
          <t xml:space="preserve">411000|C001</t>
        </is>
      </c>
    </row>
    <row r="333">
      <c r="A333" s="4" t="inlineStr">
        <is>
          <t xml:space="preserve">AC</t>
        </is>
      </c>
      <c r="B333" s="0" t="inlineStr">
        <is>
          <t xml:space="preserve">Journal des achats</t>
        </is>
      </c>
      <c r="C333" s="0" t="inlineStr">
        <is>
          <t xml:space="preserve">AC00030</t>
        </is>
      </c>
      <c r="D333" s="10">
        <v>45782</v>
      </c>
      <c r="E333" s="4" t="inlineStr">
        <is>
          <t xml:space="preserve">613200</t>
        </is>
      </c>
      <c r="F333" s="0" t="inlineStr">
        <is>
          <t xml:space="preserve">Locations immobilieres</t>
        </is>
      </c>
      <c r="G333" s="0" t="inlineStr">
        <is>
          <t xml:space="preserve">F004-202505</t>
        </is>
      </c>
      <c r="H333" s="0" t="inlineStr">
        <is>
          <t xml:space="preserve">Facture SCI Les Halles 2025-05</t>
        </is>
      </c>
      <c r="I333" s="8">
        <v>8500</v>
      </c>
      <c r="J333" s="8">
        <v>0</v>
      </c>
      <c r="K333" s="0"/>
      <c r="L333" s="0"/>
      <c r="M333" s="8">
        <f>I333-J333</f>
      </c>
      <c r="N333" s="0" t="inlineStr">
        <is>
          <t xml:space="preserve">2025-05</t>
        </is>
      </c>
      <c r="O333" s="0">
        <f>INDEX(Journaux!$E$5:$E$18,MATCH("2025|"&amp;A333,Journaux!$A$5:$A$18,0))</f>
      </c>
      <c r="P333" s="0">
        <f>INDEX(Comptes!$K$5:$K$42,MATCH(E333,Comptes!$A$5:$A$42,0))</f>
      </c>
      <c r="Q333" s="0" t="inlineStr">
        <is>
          <t xml:space="preserve">6</t>
        </is>
      </c>
    </row>
    <row r="334">
      <c r="A334" s="4" t="inlineStr">
        <is>
          <t xml:space="preserve">AC</t>
        </is>
      </c>
      <c r="B334" s="0" t="inlineStr">
        <is>
          <t xml:space="preserve">Journal des achats</t>
        </is>
      </c>
      <c r="C334" s="0" t="inlineStr">
        <is>
          <t xml:space="preserve">AC00030</t>
        </is>
      </c>
      <c r="D334" s="10">
        <v>45782</v>
      </c>
      <c r="E334" s="4" t="inlineStr">
        <is>
          <t xml:space="preserve">445660</t>
        </is>
      </c>
      <c r="F334" s="0" t="inlineStr">
        <is>
          <t xml:space="preserve">TVA deductible sur ABS</t>
        </is>
      </c>
      <c r="G334" s="0" t="inlineStr">
        <is>
          <t xml:space="preserve">F004-202505</t>
        </is>
      </c>
      <c r="H334" s="0" t="inlineStr">
        <is>
          <t xml:space="preserve">Facture SCI Les Halles 2025-05</t>
        </is>
      </c>
      <c r="I334" s="8">
        <v>1700</v>
      </c>
      <c r="J334" s="8">
        <v>0</v>
      </c>
      <c r="K334" s="0"/>
      <c r="L334" s="0"/>
      <c r="M334" s="8">
        <f>I334-J334</f>
      </c>
      <c r="N334" s="0" t="inlineStr">
        <is>
          <t xml:space="preserve">2025-05</t>
        </is>
      </c>
      <c r="O334" s="0">
        <f>INDEX(Journaux!$E$5:$E$18,MATCH("2025|"&amp;A334,Journaux!$A$5:$A$18,0))</f>
      </c>
      <c r="P334" s="0">
        <f>INDEX(Comptes!$K$5:$K$42,MATCH(E334,Comptes!$A$5:$A$42,0))</f>
      </c>
      <c r="Q334" s="0" t="inlineStr">
        <is>
          <t xml:space="preserve">4</t>
        </is>
      </c>
    </row>
    <row r="335">
      <c r="A335" s="4" t="inlineStr">
        <is>
          <t xml:space="preserve">AC</t>
        </is>
      </c>
      <c r="B335" s="0" t="inlineStr">
        <is>
          <t xml:space="preserve">Journal des achats</t>
        </is>
      </c>
      <c r="C335" s="0" t="inlineStr">
        <is>
          <t xml:space="preserve">AC00030</t>
        </is>
      </c>
      <c r="D335" s="10">
        <v>45782</v>
      </c>
      <c r="E335" s="4" t="inlineStr">
        <is>
          <t xml:space="preserve">401000</t>
        </is>
      </c>
      <c r="F335" s="0" t="inlineStr">
        <is>
          <t xml:space="preserve">Fournisseurs</t>
        </is>
      </c>
      <c r="G335" s="0" t="inlineStr">
        <is>
          <t xml:space="preserve">F004-202505</t>
        </is>
      </c>
      <c r="H335" s="0" t="inlineStr">
        <is>
          <t xml:space="preserve">Facture SCI Les Halles 2025-05</t>
        </is>
      </c>
      <c r="I335" s="8">
        <v>0</v>
      </c>
      <c r="J335" s="8">
        <v>10200</v>
      </c>
      <c r="K335" s="0" t="inlineStr">
        <is>
          <t xml:space="preserve">ACL</t>
        </is>
      </c>
      <c r="L335" s="0" t="inlineStr">
        <is>
          <t xml:space="preserve">SCI Les Halles</t>
        </is>
      </c>
      <c r="M335" s="8">
        <f>I335-J335</f>
      </c>
      <c r="N335" s="0" t="inlineStr">
        <is>
          <t xml:space="preserve">2025-05</t>
        </is>
      </c>
      <c r="O335" s="0">
        <f>INDEX(Journaux!$E$5:$E$18,MATCH("2025|"&amp;A335,Journaux!$A$5:$A$18,0))</f>
      </c>
      <c r="P335" s="0">
        <f>INDEX(Comptes!$K$5:$K$42,MATCH(E335,Comptes!$A$5:$A$42,0))</f>
      </c>
      <c r="Q335" s="0" t="inlineStr">
        <is>
          <t xml:space="preserve">4</t>
        </is>
      </c>
      <c r="R335" s="7" t="inlineStr">
        <is>
          <t xml:space="preserve">401000|F004</t>
        </is>
      </c>
    </row>
    <row r="336">
      <c r="A336" s="4" t="inlineStr">
        <is>
          <t xml:space="preserve">AC</t>
        </is>
      </c>
      <c r="B336" s="0" t="inlineStr">
        <is>
          <t xml:space="preserve">Journal des achats</t>
        </is>
      </c>
      <c r="C336" s="0" t="inlineStr">
        <is>
          <t xml:space="preserve">AC00031</t>
        </is>
      </c>
      <c r="D336" s="10">
        <v>45782</v>
      </c>
      <c r="E336" s="4" t="inlineStr">
        <is>
          <t xml:space="preserve">606100</t>
        </is>
      </c>
      <c r="F336" s="0" t="inlineStr">
        <is>
          <t xml:space="preserve">Fournitures non stockables energie</t>
        </is>
      </c>
      <c r="G336" s="0" t="inlineStr">
        <is>
          <t xml:space="preserve">F005-202505</t>
        </is>
      </c>
      <c r="H336" s="0" t="inlineStr">
        <is>
          <t xml:space="preserve">Facture Energie Plus 2025-05</t>
        </is>
      </c>
      <c r="I336" s="8">
        <v>2858.83</v>
      </c>
      <c r="J336" s="8">
        <v>0</v>
      </c>
      <c r="K336" s="0"/>
      <c r="L336" s="0"/>
      <c r="M336" s="8">
        <f>I336-J336</f>
      </c>
      <c r="N336" s="0" t="inlineStr">
        <is>
          <t xml:space="preserve">2025-05</t>
        </is>
      </c>
      <c r="O336" s="0">
        <f>INDEX(Journaux!$E$5:$E$18,MATCH("2025|"&amp;A336,Journaux!$A$5:$A$18,0))</f>
      </c>
      <c r="P336" s="0">
        <f>INDEX(Comptes!$K$5:$K$42,MATCH(E336,Comptes!$A$5:$A$42,0))</f>
      </c>
      <c r="Q336" s="0" t="inlineStr">
        <is>
          <t xml:space="preserve">6</t>
        </is>
      </c>
    </row>
    <row r="337">
      <c r="A337" s="4" t="inlineStr">
        <is>
          <t xml:space="preserve">AC</t>
        </is>
      </c>
      <c r="B337" s="0" t="inlineStr">
        <is>
          <t xml:space="preserve">Journal des achats</t>
        </is>
      </c>
      <c r="C337" s="0" t="inlineStr">
        <is>
          <t xml:space="preserve">AC00031</t>
        </is>
      </c>
      <c r="D337" s="10">
        <v>45782</v>
      </c>
      <c r="E337" s="4" t="inlineStr">
        <is>
          <t xml:space="preserve">445660</t>
        </is>
      </c>
      <c r="F337" s="0" t="inlineStr">
        <is>
          <t xml:space="preserve">TVA deductible sur ABS</t>
        </is>
      </c>
      <c r="G337" s="0" t="inlineStr">
        <is>
          <t xml:space="preserve">F005-202505</t>
        </is>
      </c>
      <c r="H337" s="0" t="inlineStr">
        <is>
          <t xml:space="preserve">Facture Energie Plus 2025-05</t>
        </is>
      </c>
      <c r="I337" s="8">
        <v>571.77</v>
      </c>
      <c r="J337" s="8">
        <v>0</v>
      </c>
      <c r="K337" s="0"/>
      <c r="L337" s="0"/>
      <c r="M337" s="8">
        <f>I337-J337</f>
      </c>
      <c r="N337" s="0" t="inlineStr">
        <is>
          <t xml:space="preserve">2025-05</t>
        </is>
      </c>
      <c r="O337" s="0">
        <f>INDEX(Journaux!$E$5:$E$18,MATCH("2025|"&amp;A337,Journaux!$A$5:$A$18,0))</f>
      </c>
      <c r="P337" s="0">
        <f>INDEX(Comptes!$K$5:$K$42,MATCH(E337,Comptes!$A$5:$A$42,0))</f>
      </c>
      <c r="Q337" s="0" t="inlineStr">
        <is>
          <t xml:space="preserve">4</t>
        </is>
      </c>
    </row>
    <row r="338">
      <c r="A338" s="4" t="inlineStr">
        <is>
          <t xml:space="preserve">AC</t>
        </is>
      </c>
      <c r="B338" s="0" t="inlineStr">
        <is>
          <t xml:space="preserve">Journal des achats</t>
        </is>
      </c>
      <c r="C338" s="0" t="inlineStr">
        <is>
          <t xml:space="preserve">AC00031</t>
        </is>
      </c>
      <c r="D338" s="10">
        <v>45782</v>
      </c>
      <c r="E338" s="4" t="inlineStr">
        <is>
          <t xml:space="preserve">401000</t>
        </is>
      </c>
      <c r="F338" s="0" t="inlineStr">
        <is>
          <t xml:space="preserve">Fournisseurs</t>
        </is>
      </c>
      <c r="G338" s="0" t="inlineStr">
        <is>
          <t xml:space="preserve">F005-202505</t>
        </is>
      </c>
      <c r="H338" s="0" t="inlineStr">
        <is>
          <t xml:space="preserve">Facture Energie Plus 2025-05</t>
        </is>
      </c>
      <c r="I338" s="8">
        <v>0</v>
      </c>
      <c r="J338" s="8">
        <v>3430.6</v>
      </c>
      <c r="K338" s="0" t="inlineStr">
        <is>
          <t xml:space="preserve">ACM</t>
        </is>
      </c>
      <c r="L338" s="0" t="inlineStr">
        <is>
          <t xml:space="preserve">Energie Plus</t>
        </is>
      </c>
      <c r="M338" s="8">
        <f>I338-J338</f>
      </c>
      <c r="N338" s="0" t="inlineStr">
        <is>
          <t xml:space="preserve">2025-05</t>
        </is>
      </c>
      <c r="O338" s="0">
        <f>INDEX(Journaux!$E$5:$E$18,MATCH("2025|"&amp;A338,Journaux!$A$5:$A$18,0))</f>
      </c>
      <c r="P338" s="0">
        <f>INDEX(Comptes!$K$5:$K$42,MATCH(E338,Comptes!$A$5:$A$42,0))</f>
      </c>
      <c r="Q338" s="0" t="inlineStr">
        <is>
          <t xml:space="preserve">4</t>
        </is>
      </c>
      <c r="R338" s="7" t="inlineStr">
        <is>
          <t xml:space="preserve">401000|F005</t>
        </is>
      </c>
    </row>
    <row r="339">
      <c r="A339" s="4" t="inlineStr">
        <is>
          <t xml:space="preserve">AC</t>
        </is>
      </c>
      <c r="B339" s="0" t="inlineStr">
        <is>
          <t xml:space="preserve">Journal des achats</t>
        </is>
      </c>
      <c r="C339" s="0" t="inlineStr">
        <is>
          <t xml:space="preserve">AC00032</t>
        </is>
      </c>
      <c r="D339" s="10">
        <v>45782</v>
      </c>
      <c r="E339" s="4" t="inlineStr">
        <is>
          <t xml:space="preserve">626000</t>
        </is>
      </c>
      <c r="F339" s="0" t="inlineStr">
        <is>
          <t xml:space="preserve">Frais postaux et telecommunications</t>
        </is>
      </c>
      <c r="G339" s="0" t="inlineStr">
        <is>
          <t xml:space="preserve">F008-202505</t>
        </is>
      </c>
      <c r="H339" s="0" t="inlineStr">
        <is>
          <t xml:space="preserve">Facture Telecom Pro 2025-05</t>
        </is>
      </c>
      <c r="I339" s="8">
        <v>480</v>
      </c>
      <c r="J339" s="8">
        <v>0</v>
      </c>
      <c r="K339" s="0"/>
      <c r="L339" s="0"/>
      <c r="M339" s="8">
        <f>I339-J339</f>
      </c>
      <c r="N339" s="0" t="inlineStr">
        <is>
          <t xml:space="preserve">2025-05</t>
        </is>
      </c>
      <c r="O339" s="0">
        <f>INDEX(Journaux!$E$5:$E$18,MATCH("2025|"&amp;A339,Journaux!$A$5:$A$18,0))</f>
      </c>
      <c r="P339" s="0">
        <f>INDEX(Comptes!$K$5:$K$42,MATCH(E339,Comptes!$A$5:$A$42,0))</f>
      </c>
      <c r="Q339" s="0" t="inlineStr">
        <is>
          <t xml:space="preserve">6</t>
        </is>
      </c>
    </row>
    <row r="340">
      <c r="A340" s="4" t="inlineStr">
        <is>
          <t xml:space="preserve">AC</t>
        </is>
      </c>
      <c r="B340" s="0" t="inlineStr">
        <is>
          <t xml:space="preserve">Journal des achats</t>
        </is>
      </c>
      <c r="C340" s="0" t="inlineStr">
        <is>
          <t xml:space="preserve">AC00032</t>
        </is>
      </c>
      <c r="D340" s="10">
        <v>45782</v>
      </c>
      <c r="E340" s="4" t="inlineStr">
        <is>
          <t xml:space="preserve">445660</t>
        </is>
      </c>
      <c r="F340" s="0" t="inlineStr">
        <is>
          <t xml:space="preserve">TVA deductible sur ABS</t>
        </is>
      </c>
      <c r="G340" s="0" t="inlineStr">
        <is>
          <t xml:space="preserve">F008-202505</t>
        </is>
      </c>
      <c r="H340" s="0" t="inlineStr">
        <is>
          <t xml:space="preserve">Facture Telecom Pro 2025-05</t>
        </is>
      </c>
      <c r="I340" s="8">
        <v>96</v>
      </c>
      <c r="J340" s="8">
        <v>0</v>
      </c>
      <c r="K340" s="0"/>
      <c r="L340" s="0"/>
      <c r="M340" s="8">
        <f>I340-J340</f>
      </c>
      <c r="N340" s="0" t="inlineStr">
        <is>
          <t xml:space="preserve">2025-05</t>
        </is>
      </c>
      <c r="O340" s="0">
        <f>INDEX(Journaux!$E$5:$E$18,MATCH("2025|"&amp;A340,Journaux!$A$5:$A$18,0))</f>
      </c>
      <c r="P340" s="0">
        <f>INDEX(Comptes!$K$5:$K$42,MATCH(E340,Comptes!$A$5:$A$42,0))</f>
      </c>
      <c r="Q340" s="0" t="inlineStr">
        <is>
          <t xml:space="preserve">4</t>
        </is>
      </c>
    </row>
    <row r="341">
      <c r="A341" s="4" t="inlineStr">
        <is>
          <t xml:space="preserve">AC</t>
        </is>
      </c>
      <c r="B341" s="0" t="inlineStr">
        <is>
          <t xml:space="preserve">Journal des achats</t>
        </is>
      </c>
      <c r="C341" s="0" t="inlineStr">
        <is>
          <t xml:space="preserve">AC00032</t>
        </is>
      </c>
      <c r="D341" s="10">
        <v>45782</v>
      </c>
      <c r="E341" s="4" t="inlineStr">
        <is>
          <t xml:space="preserve">401000</t>
        </is>
      </c>
      <c r="F341" s="0" t="inlineStr">
        <is>
          <t xml:space="preserve">Fournisseurs</t>
        </is>
      </c>
      <c r="G341" s="0" t="inlineStr">
        <is>
          <t xml:space="preserve">F008-202505</t>
        </is>
      </c>
      <c r="H341" s="0" t="inlineStr">
        <is>
          <t xml:space="preserve">Facture Telecom Pro 2025-05</t>
        </is>
      </c>
      <c r="I341" s="8">
        <v>0</v>
      </c>
      <c r="J341" s="8">
        <v>576</v>
      </c>
      <c r="K341" s="0" t="inlineStr">
        <is>
          <t xml:space="preserve">ACN</t>
        </is>
      </c>
      <c r="L341" s="0" t="inlineStr">
        <is>
          <t xml:space="preserve">Telecom Pro</t>
        </is>
      </c>
      <c r="M341" s="8">
        <f>I341-J341</f>
      </c>
      <c r="N341" s="0" t="inlineStr">
        <is>
          <t xml:space="preserve">2025-05</t>
        </is>
      </c>
      <c r="O341" s="0">
        <f>INDEX(Journaux!$E$5:$E$18,MATCH("2025|"&amp;A341,Journaux!$A$5:$A$18,0))</f>
      </c>
      <c r="P341" s="0">
        <f>INDEX(Comptes!$K$5:$K$42,MATCH(E341,Comptes!$A$5:$A$42,0))</f>
      </c>
      <c r="Q341" s="0" t="inlineStr">
        <is>
          <t xml:space="preserve">4</t>
        </is>
      </c>
      <c r="R341" s="7" t="inlineStr">
        <is>
          <t xml:space="preserve">401000|F008</t>
        </is>
      </c>
    </row>
    <row r="342">
      <c r="A342" s="4" t="inlineStr">
        <is>
          <t xml:space="preserve">BQ</t>
        </is>
      </c>
      <c r="B342" s="0" t="inlineStr">
        <is>
          <t xml:space="preserve">Banque Fictive</t>
        </is>
      </c>
      <c r="C342" s="0" t="inlineStr">
        <is>
          <t xml:space="preserve">BQ00135</t>
        </is>
      </c>
      <c r="D342" s="10">
        <v>45782</v>
      </c>
      <c r="E342" s="4" t="inlineStr">
        <is>
          <t xml:space="preserve">401000</t>
        </is>
      </c>
      <c r="F342" s="0" t="inlineStr">
        <is>
          <t xml:space="preserve">Fournisseurs</t>
        </is>
      </c>
      <c r="G342" s="0" t="inlineStr">
        <is>
          <t xml:space="preserve">DEC-F002-2025033</t>
        </is>
      </c>
      <c r="H342" s="0" t="inlineStr">
        <is>
          <t xml:space="preserve">Reglement fournisseur Quincaillerie Pro Est F002-2025033</t>
        </is>
      </c>
      <c r="I342" s="8">
        <v>25392.16</v>
      </c>
      <c r="J342" s="8">
        <v>0</v>
      </c>
      <c r="K342" s="0" t="inlineStr">
        <is>
          <t xml:space="preserve">ABX</t>
        </is>
      </c>
      <c r="L342" s="0" t="inlineStr">
        <is>
          <t xml:space="preserve">Quincaillerie Pro Est</t>
        </is>
      </c>
      <c r="M342" s="8">
        <f>I342-J342</f>
      </c>
      <c r="N342" s="0" t="inlineStr">
        <is>
          <t xml:space="preserve">2025-05</t>
        </is>
      </c>
      <c r="O342" s="0">
        <f>INDEX(Journaux!$E$5:$E$18,MATCH("2025|"&amp;A342,Journaux!$A$5:$A$18,0))</f>
      </c>
      <c r="P342" s="0">
        <f>INDEX(Comptes!$K$5:$K$42,MATCH(E342,Comptes!$A$5:$A$42,0))</f>
      </c>
      <c r="Q342" s="0" t="inlineStr">
        <is>
          <t xml:space="preserve">4</t>
        </is>
      </c>
      <c r="R342" s="7" t="inlineStr">
        <is>
          <t xml:space="preserve">401000|F002</t>
        </is>
      </c>
    </row>
    <row r="343">
      <c r="A343" s="4" t="inlineStr">
        <is>
          <t xml:space="preserve">BQ</t>
        </is>
      </c>
      <c r="B343" s="0" t="inlineStr">
        <is>
          <t xml:space="preserve">Banque Fictive</t>
        </is>
      </c>
      <c r="C343" s="0" t="inlineStr">
        <is>
          <t xml:space="preserve">BQ00135</t>
        </is>
      </c>
      <c r="D343" s="10">
        <v>45782</v>
      </c>
      <c r="E343" s="4" t="inlineStr">
        <is>
          <t xml:space="preserve">512000</t>
        </is>
      </c>
      <c r="F343" s="0" t="inlineStr">
        <is>
          <t xml:space="preserve">Banque Fictive</t>
        </is>
      </c>
      <c r="G343" s="0" t="inlineStr">
        <is>
          <t xml:space="preserve">DEC-F002-2025033</t>
        </is>
      </c>
      <c r="H343" s="0" t="inlineStr">
        <is>
          <t xml:space="preserve">Reglement fournisseur Quincaillerie Pro Est F002-2025033</t>
        </is>
      </c>
      <c r="I343" s="8">
        <v>0</v>
      </c>
      <c r="J343" s="8">
        <v>25392.16</v>
      </c>
      <c r="K343" s="0"/>
      <c r="L343" s="0"/>
      <c r="M343" s="8">
        <f>I343-J343</f>
      </c>
      <c r="N343" s="0" t="inlineStr">
        <is>
          <t xml:space="preserve">2025-05</t>
        </is>
      </c>
      <c r="O343" s="0">
        <f>INDEX(Journaux!$E$5:$E$18,MATCH("2025|"&amp;A343,Journaux!$A$5:$A$18,0))</f>
      </c>
      <c r="P343" s="0">
        <f>INDEX(Comptes!$K$5:$K$42,MATCH(E343,Comptes!$A$5:$A$42,0))</f>
      </c>
      <c r="Q343" s="0" t="inlineStr">
        <is>
          <t xml:space="preserve">5</t>
        </is>
      </c>
    </row>
    <row r="344">
      <c r="A344" s="4" t="inlineStr">
        <is>
          <t xml:space="preserve">BQ</t>
        </is>
      </c>
      <c r="B344" s="0" t="inlineStr">
        <is>
          <t xml:space="preserve">Banque Fictive</t>
        </is>
      </c>
      <c r="C344" s="0" t="inlineStr">
        <is>
          <t xml:space="preserve">BQ00143</t>
        </is>
      </c>
      <c r="D344" s="10">
        <v>45782</v>
      </c>
      <c r="E344" s="4" t="inlineStr">
        <is>
          <t xml:space="preserve">401000</t>
        </is>
      </c>
      <c r="F344" s="0" t="inlineStr">
        <is>
          <t xml:space="preserve">Fournisseurs</t>
        </is>
      </c>
      <c r="G344" s="0" t="inlineStr">
        <is>
          <t xml:space="preserve">DEC-F004-202504</t>
        </is>
      </c>
      <c r="H344" s="0" t="inlineStr">
        <is>
          <t xml:space="preserve">Reglement fournisseur SCI Les Halles F004-202504</t>
        </is>
      </c>
      <c r="I344" s="8">
        <v>10200</v>
      </c>
      <c r="J344" s="8">
        <v>0</v>
      </c>
      <c r="K344" s="0" t="inlineStr">
        <is>
          <t xml:space="preserve">ACF</t>
        </is>
      </c>
      <c r="L344" s="0" t="inlineStr">
        <is>
          <t xml:space="preserve">SCI Les Halles</t>
        </is>
      </c>
      <c r="M344" s="8">
        <f>I344-J344</f>
      </c>
      <c r="N344" s="0" t="inlineStr">
        <is>
          <t xml:space="preserve">2025-05</t>
        </is>
      </c>
      <c r="O344" s="0">
        <f>INDEX(Journaux!$E$5:$E$18,MATCH("2025|"&amp;A344,Journaux!$A$5:$A$18,0))</f>
      </c>
      <c r="P344" s="0">
        <f>INDEX(Comptes!$K$5:$K$42,MATCH(E344,Comptes!$A$5:$A$42,0))</f>
      </c>
      <c r="Q344" s="0" t="inlineStr">
        <is>
          <t xml:space="preserve">4</t>
        </is>
      </c>
      <c r="R344" s="7" t="inlineStr">
        <is>
          <t xml:space="preserve">401000|F004</t>
        </is>
      </c>
    </row>
    <row r="345">
      <c r="A345" s="4" t="inlineStr">
        <is>
          <t xml:space="preserve">BQ</t>
        </is>
      </c>
      <c r="B345" s="0" t="inlineStr">
        <is>
          <t xml:space="preserve">Banque Fictive</t>
        </is>
      </c>
      <c r="C345" s="0" t="inlineStr">
        <is>
          <t xml:space="preserve">BQ00143</t>
        </is>
      </c>
      <c r="D345" s="10">
        <v>45782</v>
      </c>
      <c r="E345" s="4" t="inlineStr">
        <is>
          <t xml:space="preserve">512000</t>
        </is>
      </c>
      <c r="F345" s="0" t="inlineStr">
        <is>
          <t xml:space="preserve">Banque Fictive</t>
        </is>
      </c>
      <c r="G345" s="0" t="inlineStr">
        <is>
          <t xml:space="preserve">DEC-F004-202504</t>
        </is>
      </c>
      <c r="H345" s="0" t="inlineStr">
        <is>
          <t xml:space="preserve">Reglement fournisseur SCI Les Halles F004-202504</t>
        </is>
      </c>
      <c r="I345" s="8">
        <v>0</v>
      </c>
      <c r="J345" s="8">
        <v>10200</v>
      </c>
      <c r="K345" s="0"/>
      <c r="L345" s="0"/>
      <c r="M345" s="8">
        <f>I345-J345</f>
      </c>
      <c r="N345" s="0" t="inlineStr">
        <is>
          <t xml:space="preserve">2025-05</t>
        </is>
      </c>
      <c r="O345" s="0">
        <f>INDEX(Journaux!$E$5:$E$18,MATCH("2025|"&amp;A345,Journaux!$A$5:$A$18,0))</f>
      </c>
      <c r="P345" s="0">
        <f>INDEX(Comptes!$K$5:$K$42,MATCH(E345,Comptes!$A$5:$A$42,0))</f>
      </c>
      <c r="Q345" s="0" t="inlineStr">
        <is>
          <t xml:space="preserve">5</t>
        </is>
      </c>
    </row>
    <row r="346">
      <c r="A346" s="4" t="inlineStr">
        <is>
          <t xml:space="preserve">BQ</t>
        </is>
      </c>
      <c r="B346" s="0" t="inlineStr">
        <is>
          <t xml:space="preserve">Banque Fictive</t>
        </is>
      </c>
      <c r="C346" s="0" t="inlineStr">
        <is>
          <t xml:space="preserve">BQ00144</t>
        </is>
      </c>
      <c r="D346" s="10">
        <v>45782</v>
      </c>
      <c r="E346" s="4" t="inlineStr">
        <is>
          <t xml:space="preserve">401000</t>
        </is>
      </c>
      <c r="F346" s="0" t="inlineStr">
        <is>
          <t xml:space="preserve">Fournisseurs</t>
        </is>
      </c>
      <c r="G346" s="0" t="inlineStr">
        <is>
          <t xml:space="preserve">DEC-F005-202504</t>
        </is>
      </c>
      <c r="H346" s="0" t="inlineStr">
        <is>
          <t xml:space="preserve">Reglement fournisseur Energie Plus F005-202504</t>
        </is>
      </c>
      <c r="I346" s="8">
        <v>3866.38</v>
      </c>
      <c r="J346" s="8">
        <v>0</v>
      </c>
      <c r="K346" s="0" t="inlineStr">
        <is>
          <t xml:space="preserve">ACG</t>
        </is>
      </c>
      <c r="L346" s="0" t="inlineStr">
        <is>
          <t xml:space="preserve">Energie Plus</t>
        </is>
      </c>
      <c r="M346" s="8">
        <f>I346-J346</f>
      </c>
      <c r="N346" s="0" t="inlineStr">
        <is>
          <t xml:space="preserve">2025-05</t>
        </is>
      </c>
      <c r="O346" s="0">
        <f>INDEX(Journaux!$E$5:$E$18,MATCH("2025|"&amp;A346,Journaux!$A$5:$A$18,0))</f>
      </c>
      <c r="P346" s="0">
        <f>INDEX(Comptes!$K$5:$K$42,MATCH(E346,Comptes!$A$5:$A$42,0))</f>
      </c>
      <c r="Q346" s="0" t="inlineStr">
        <is>
          <t xml:space="preserve">4</t>
        </is>
      </c>
      <c r="R346" s="7" t="inlineStr">
        <is>
          <t xml:space="preserve">401000|F005</t>
        </is>
      </c>
    </row>
    <row r="347">
      <c r="A347" s="4" t="inlineStr">
        <is>
          <t xml:space="preserve">BQ</t>
        </is>
      </c>
      <c r="B347" s="0" t="inlineStr">
        <is>
          <t xml:space="preserve">Banque Fictive</t>
        </is>
      </c>
      <c r="C347" s="0" t="inlineStr">
        <is>
          <t xml:space="preserve">BQ00144</t>
        </is>
      </c>
      <c r="D347" s="10">
        <v>45782</v>
      </c>
      <c r="E347" s="4" t="inlineStr">
        <is>
          <t xml:space="preserve">512000</t>
        </is>
      </c>
      <c r="F347" s="0" t="inlineStr">
        <is>
          <t xml:space="preserve">Banque Fictive</t>
        </is>
      </c>
      <c r="G347" s="0" t="inlineStr">
        <is>
          <t xml:space="preserve">DEC-F005-202504</t>
        </is>
      </c>
      <c r="H347" s="0" t="inlineStr">
        <is>
          <t xml:space="preserve">Reglement fournisseur Energie Plus F005-202504</t>
        </is>
      </c>
      <c r="I347" s="8">
        <v>0</v>
      </c>
      <c r="J347" s="8">
        <v>3866.38</v>
      </c>
      <c r="K347" s="0"/>
      <c r="L347" s="0"/>
      <c r="M347" s="8">
        <f>I347-J347</f>
      </c>
      <c r="N347" s="0" t="inlineStr">
        <is>
          <t xml:space="preserve">2025-05</t>
        </is>
      </c>
      <c r="O347" s="0">
        <f>INDEX(Journaux!$E$5:$E$18,MATCH("2025|"&amp;A347,Journaux!$A$5:$A$18,0))</f>
      </c>
      <c r="P347" s="0">
        <f>INDEX(Comptes!$K$5:$K$42,MATCH(E347,Comptes!$A$5:$A$42,0))</f>
      </c>
      <c r="Q347" s="0" t="inlineStr">
        <is>
          <t xml:space="preserve">5</t>
        </is>
      </c>
    </row>
    <row r="348">
      <c r="A348" s="4" t="inlineStr">
        <is>
          <t xml:space="preserve">BQ</t>
        </is>
      </c>
      <c r="B348" s="0" t="inlineStr">
        <is>
          <t xml:space="preserve">Banque Fictive</t>
        </is>
      </c>
      <c r="C348" s="0" t="inlineStr">
        <is>
          <t xml:space="preserve">BQ00145</t>
        </is>
      </c>
      <c r="D348" s="10">
        <v>45782</v>
      </c>
      <c r="E348" s="4" t="inlineStr">
        <is>
          <t xml:space="preserve">401000</t>
        </is>
      </c>
      <c r="F348" s="0" t="inlineStr">
        <is>
          <t xml:space="preserve">Fournisseurs</t>
        </is>
      </c>
      <c r="G348" s="0" t="inlineStr">
        <is>
          <t xml:space="preserve">DEC-F008-202504</t>
        </is>
      </c>
      <c r="H348" s="0" t="inlineStr">
        <is>
          <t xml:space="preserve">Reglement fournisseur Telecom Pro F008-202504</t>
        </is>
      </c>
      <c r="I348" s="8">
        <v>576</v>
      </c>
      <c r="J348" s="8">
        <v>0</v>
      </c>
      <c r="K348" s="0" t="inlineStr">
        <is>
          <t xml:space="preserve">ACH</t>
        </is>
      </c>
      <c r="L348" s="0" t="inlineStr">
        <is>
          <t xml:space="preserve">Telecom Pro</t>
        </is>
      </c>
      <c r="M348" s="8">
        <f>I348-J348</f>
      </c>
      <c r="N348" s="0" t="inlineStr">
        <is>
          <t xml:space="preserve">2025-05</t>
        </is>
      </c>
      <c r="O348" s="0">
        <f>INDEX(Journaux!$E$5:$E$18,MATCH("2025|"&amp;A348,Journaux!$A$5:$A$18,0))</f>
      </c>
      <c r="P348" s="0">
        <f>INDEX(Comptes!$K$5:$K$42,MATCH(E348,Comptes!$A$5:$A$42,0))</f>
      </c>
      <c r="Q348" s="0" t="inlineStr">
        <is>
          <t xml:space="preserve">4</t>
        </is>
      </c>
      <c r="R348" s="7" t="inlineStr">
        <is>
          <t xml:space="preserve">401000|F008</t>
        </is>
      </c>
    </row>
    <row r="349">
      <c r="A349" s="4" t="inlineStr">
        <is>
          <t xml:space="preserve">BQ</t>
        </is>
      </c>
      <c r="B349" s="0" t="inlineStr">
        <is>
          <t xml:space="preserve">Banque Fictive</t>
        </is>
      </c>
      <c r="C349" s="0" t="inlineStr">
        <is>
          <t xml:space="preserve">BQ00145</t>
        </is>
      </c>
      <c r="D349" s="10">
        <v>45782</v>
      </c>
      <c r="E349" s="4" t="inlineStr">
        <is>
          <t xml:space="preserve">512000</t>
        </is>
      </c>
      <c r="F349" s="0" t="inlineStr">
        <is>
          <t xml:space="preserve">Banque Fictive</t>
        </is>
      </c>
      <c r="G349" s="0" t="inlineStr">
        <is>
          <t xml:space="preserve">DEC-F008-202504</t>
        </is>
      </c>
      <c r="H349" s="0" t="inlineStr">
        <is>
          <t xml:space="preserve">Reglement fournisseur Telecom Pro F008-202504</t>
        </is>
      </c>
      <c r="I349" s="8">
        <v>0</v>
      </c>
      <c r="J349" s="8">
        <v>576</v>
      </c>
      <c r="K349" s="0"/>
      <c r="L349" s="0"/>
      <c r="M349" s="8">
        <f>I349-J349</f>
      </c>
      <c r="N349" s="0" t="inlineStr">
        <is>
          <t xml:space="preserve">2025-05</t>
        </is>
      </c>
      <c r="O349" s="0">
        <f>INDEX(Journaux!$E$5:$E$18,MATCH("2025|"&amp;A349,Journaux!$A$5:$A$18,0))</f>
      </c>
      <c r="P349" s="0">
        <f>INDEX(Comptes!$K$5:$K$42,MATCH(E349,Comptes!$A$5:$A$42,0))</f>
      </c>
      <c r="Q349" s="0" t="inlineStr">
        <is>
          <t xml:space="preserve">5</t>
        </is>
      </c>
    </row>
    <row r="350">
      <c r="A350" s="4" t="inlineStr">
        <is>
          <t xml:space="preserve">BQ</t>
        </is>
      </c>
      <c r="B350" s="0" t="inlineStr">
        <is>
          <t xml:space="preserve">Banque Fictive</t>
        </is>
      </c>
      <c r="C350" s="0" t="inlineStr">
        <is>
          <t xml:space="preserve">BQ00146</t>
        </is>
      </c>
      <c r="D350" s="10">
        <v>45782</v>
      </c>
      <c r="E350" s="4" t="inlineStr">
        <is>
          <t xml:space="preserve">401000</t>
        </is>
      </c>
      <c r="F350" s="0" t="inlineStr">
        <is>
          <t xml:space="preserve">Fournisseurs</t>
        </is>
      </c>
      <c r="G350" s="0" t="inlineStr">
        <is>
          <t xml:space="preserve">DEC-F006-202504</t>
        </is>
      </c>
      <c r="H350" s="0" t="inlineStr">
        <is>
          <t xml:space="preserve">Reglement fournisseur Assurances Mutuelles Exemple F006-202504</t>
        </is>
      </c>
      <c r="I350" s="8">
        <v>3000</v>
      </c>
      <c r="J350" s="8">
        <v>0</v>
      </c>
      <c r="K350" s="0" t="inlineStr">
        <is>
          <t xml:space="preserve">ACI</t>
        </is>
      </c>
      <c r="L350" s="0" t="inlineStr">
        <is>
          <t xml:space="preserve">Assurances Mutuelles Exemple</t>
        </is>
      </c>
      <c r="M350" s="8">
        <f>I350-J350</f>
      </c>
      <c r="N350" s="0" t="inlineStr">
        <is>
          <t xml:space="preserve">2025-05</t>
        </is>
      </c>
      <c r="O350" s="0">
        <f>INDEX(Journaux!$E$5:$E$18,MATCH("2025|"&amp;A350,Journaux!$A$5:$A$18,0))</f>
      </c>
      <c r="P350" s="0">
        <f>INDEX(Comptes!$K$5:$K$42,MATCH(E350,Comptes!$A$5:$A$42,0))</f>
      </c>
      <c r="Q350" s="0" t="inlineStr">
        <is>
          <t xml:space="preserve">4</t>
        </is>
      </c>
      <c r="R350" s="7" t="inlineStr">
        <is>
          <t xml:space="preserve">401000|F006</t>
        </is>
      </c>
    </row>
    <row r="351">
      <c r="A351" s="4" t="inlineStr">
        <is>
          <t xml:space="preserve">BQ</t>
        </is>
      </c>
      <c r="B351" s="0" t="inlineStr">
        <is>
          <t xml:space="preserve">Banque Fictive</t>
        </is>
      </c>
      <c r="C351" s="0" t="inlineStr">
        <is>
          <t xml:space="preserve">BQ00146</t>
        </is>
      </c>
      <c r="D351" s="10">
        <v>45782</v>
      </c>
      <c r="E351" s="4" t="inlineStr">
        <is>
          <t xml:space="preserve">512000</t>
        </is>
      </c>
      <c r="F351" s="0" t="inlineStr">
        <is>
          <t xml:space="preserve">Banque Fictive</t>
        </is>
      </c>
      <c r="G351" s="0" t="inlineStr">
        <is>
          <t xml:space="preserve">DEC-F006-202504</t>
        </is>
      </c>
      <c r="H351" s="0" t="inlineStr">
        <is>
          <t xml:space="preserve">Reglement fournisseur Assurances Mutuelles Exemple F006-202504</t>
        </is>
      </c>
      <c r="I351" s="8">
        <v>0</v>
      </c>
      <c r="J351" s="8">
        <v>3000</v>
      </c>
      <c r="K351" s="0"/>
      <c r="L351" s="0"/>
      <c r="M351" s="8">
        <f>I351-J351</f>
      </c>
      <c r="N351" s="0" t="inlineStr">
        <is>
          <t xml:space="preserve">2025-05</t>
        </is>
      </c>
      <c r="O351" s="0">
        <f>INDEX(Journaux!$E$5:$E$18,MATCH("2025|"&amp;A351,Journaux!$A$5:$A$18,0))</f>
      </c>
      <c r="P351" s="0">
        <f>INDEX(Comptes!$K$5:$K$42,MATCH(E351,Comptes!$A$5:$A$42,0))</f>
      </c>
      <c r="Q351" s="0" t="inlineStr">
        <is>
          <t xml:space="preserve">5</t>
        </is>
      </c>
    </row>
    <row r="352">
      <c r="A352" s="4" t="inlineStr">
        <is>
          <t xml:space="preserve">VT</t>
        </is>
      </c>
      <c r="B352" s="0" t="inlineStr">
        <is>
          <t xml:space="preserve">Journal des ventes</t>
        </is>
      </c>
      <c r="C352" s="0" t="inlineStr">
        <is>
          <t xml:space="preserve">VT00023</t>
        </is>
      </c>
      <c r="D352" s="10">
        <v>45785</v>
      </c>
      <c r="E352" s="4" t="inlineStr">
        <is>
          <t xml:space="preserve">411000</t>
        </is>
      </c>
      <c r="F352" s="0" t="inlineStr">
        <is>
          <t xml:space="preserve">Clients</t>
        </is>
      </c>
      <c r="G352" s="0" t="inlineStr">
        <is>
          <t xml:space="preserve">FA2025-0023</t>
        </is>
      </c>
      <c r="H352" s="0" t="inlineStr">
        <is>
          <t xml:space="preserve">Facture FA2025-0023 Coworking Atelier 9</t>
        </is>
      </c>
      <c r="I352" s="8">
        <v>36208.44</v>
      </c>
      <c r="J352" s="8">
        <v>0</v>
      </c>
      <c r="K352" s="0" t="inlineStr">
        <is>
          <t xml:space="preserve">AAE</t>
        </is>
      </c>
      <c r="L352" s="0" t="inlineStr">
        <is>
          <t xml:space="preserve">Coworking Atelier 9</t>
        </is>
      </c>
      <c r="M352" s="8">
        <f>I352-J352</f>
      </c>
      <c r="N352" s="0" t="inlineStr">
        <is>
          <t xml:space="preserve">2025-05</t>
        </is>
      </c>
      <c r="O352" s="0">
        <f>INDEX(Journaux!$E$5:$E$18,MATCH("2025|"&amp;A352,Journaux!$A$5:$A$18,0))</f>
      </c>
      <c r="P352" s="0">
        <f>INDEX(Comptes!$K$5:$K$42,MATCH(E352,Comptes!$A$5:$A$42,0))</f>
      </c>
      <c r="Q352" s="0" t="inlineStr">
        <is>
          <t xml:space="preserve">4</t>
        </is>
      </c>
      <c r="R352" s="7" t="inlineStr">
        <is>
          <t xml:space="preserve">411000|C008</t>
        </is>
      </c>
    </row>
    <row r="353">
      <c r="A353" s="4" t="inlineStr">
        <is>
          <t xml:space="preserve">VT</t>
        </is>
      </c>
      <c r="B353" s="0" t="inlineStr">
        <is>
          <t xml:space="preserve">Journal des ventes</t>
        </is>
      </c>
      <c r="C353" s="0" t="inlineStr">
        <is>
          <t xml:space="preserve">VT00023</t>
        </is>
      </c>
      <c r="D353" s="10">
        <v>45785</v>
      </c>
      <c r="E353" s="4" t="inlineStr">
        <is>
          <t xml:space="preserve">701000</t>
        </is>
      </c>
      <c r="F353" s="0" t="inlineStr">
        <is>
          <t xml:space="preserve">Ventes de produits finis</t>
        </is>
      </c>
      <c r="G353" s="0" t="inlineStr">
        <is>
          <t xml:space="preserve">FA2025-0023</t>
        </is>
      </c>
      <c r="H353" s="0" t="inlineStr">
        <is>
          <t xml:space="preserve">Facture FA2025-0023 Coworking Atelier 9</t>
        </is>
      </c>
      <c r="I353" s="8">
        <v>0</v>
      </c>
      <c r="J353" s="8">
        <v>30173.7</v>
      </c>
      <c r="K353" s="0"/>
      <c r="L353" s="0"/>
      <c r="M353" s="8">
        <f>I353-J353</f>
      </c>
      <c r="N353" s="0" t="inlineStr">
        <is>
          <t xml:space="preserve">2025-05</t>
        </is>
      </c>
      <c r="O353" s="0">
        <f>INDEX(Journaux!$E$5:$E$18,MATCH("2025|"&amp;A353,Journaux!$A$5:$A$18,0))</f>
      </c>
      <c r="P353" s="0">
        <f>INDEX(Comptes!$K$5:$K$42,MATCH(E353,Comptes!$A$5:$A$42,0))</f>
      </c>
      <c r="Q353" s="0" t="inlineStr">
        <is>
          <t xml:space="preserve">7</t>
        </is>
      </c>
    </row>
    <row r="354">
      <c r="A354" s="4" t="inlineStr">
        <is>
          <t xml:space="preserve">VT</t>
        </is>
      </c>
      <c r="B354" s="0" t="inlineStr">
        <is>
          <t xml:space="preserve">Journal des ventes</t>
        </is>
      </c>
      <c r="C354" s="0" t="inlineStr">
        <is>
          <t xml:space="preserve">VT00023</t>
        </is>
      </c>
      <c r="D354" s="10">
        <v>45785</v>
      </c>
      <c r="E354" s="4" t="inlineStr">
        <is>
          <t xml:space="preserve">445710</t>
        </is>
      </c>
      <c r="F354" s="0" t="inlineStr">
        <is>
          <t xml:space="preserve">TVA collectee</t>
        </is>
      </c>
      <c r="G354" s="0" t="inlineStr">
        <is>
          <t xml:space="preserve">FA2025-0023</t>
        </is>
      </c>
      <c r="H354" s="0" t="inlineStr">
        <is>
          <t xml:space="preserve">Facture FA2025-0023 Coworking Atelier 9</t>
        </is>
      </c>
      <c r="I354" s="8">
        <v>0</v>
      </c>
      <c r="J354" s="8">
        <v>6034.74</v>
      </c>
      <c r="K354" s="0"/>
      <c r="L354" s="0"/>
      <c r="M354" s="8">
        <f>I354-J354</f>
      </c>
      <c r="N354" s="0" t="inlineStr">
        <is>
          <t xml:space="preserve">2025-05</t>
        </is>
      </c>
      <c r="O354" s="0">
        <f>INDEX(Journaux!$E$5:$E$18,MATCH("2025|"&amp;A354,Journaux!$A$5:$A$18,0))</f>
      </c>
      <c r="P354" s="0">
        <f>INDEX(Comptes!$K$5:$K$42,MATCH(E354,Comptes!$A$5:$A$42,0))</f>
      </c>
      <c r="Q354" s="0" t="inlineStr">
        <is>
          <t xml:space="preserve">4</t>
        </is>
      </c>
    </row>
    <row r="355">
      <c r="A355" s="4" t="inlineStr">
        <is>
          <t xml:space="preserve">BQ</t>
        </is>
      </c>
      <c r="B355" s="0" t="inlineStr">
        <is>
          <t xml:space="preserve">Banque Fictive</t>
        </is>
      </c>
      <c r="C355" s="0" t="inlineStr">
        <is>
          <t xml:space="preserve">BQ00014</t>
        </is>
      </c>
      <c r="D355" s="10">
        <v>45787</v>
      </c>
      <c r="E355" s="4" t="inlineStr">
        <is>
          <t xml:space="preserve">164000</t>
        </is>
      </c>
      <c r="F355" s="0" t="inlineStr">
        <is>
          <t xml:space="preserve">Emprunts aupres des etablissements de credit</t>
        </is>
      </c>
      <c r="G355" s="0" t="inlineStr">
        <is>
          <t xml:space="preserve">ECH202505</t>
        </is>
      </c>
      <c r="H355" s="0" t="inlineStr">
        <is>
          <t xml:space="preserve">Echeance emprunt 05/2025</t>
        </is>
      </c>
      <c r="I355" s="8">
        <v>2000</v>
      </c>
      <c r="J355" s="8">
        <v>0</v>
      </c>
      <c r="K355" s="0"/>
      <c r="L355" s="0"/>
      <c r="M355" s="8">
        <f>I355-J355</f>
      </c>
      <c r="N355" s="0" t="inlineStr">
        <is>
          <t xml:space="preserve">2025-05</t>
        </is>
      </c>
      <c r="O355" s="0">
        <f>INDEX(Journaux!$E$5:$E$18,MATCH("2025|"&amp;A355,Journaux!$A$5:$A$18,0))</f>
      </c>
      <c r="P355" s="0">
        <f>INDEX(Comptes!$K$5:$K$42,MATCH(E355,Comptes!$A$5:$A$42,0))</f>
      </c>
      <c r="Q355" s="0" t="inlineStr">
        <is>
          <t xml:space="preserve">1</t>
        </is>
      </c>
    </row>
    <row r="356">
      <c r="A356" s="4" t="inlineStr">
        <is>
          <t xml:space="preserve">BQ</t>
        </is>
      </c>
      <c r="B356" s="0" t="inlineStr">
        <is>
          <t xml:space="preserve">Banque Fictive</t>
        </is>
      </c>
      <c r="C356" s="0" t="inlineStr">
        <is>
          <t xml:space="preserve">BQ00014</t>
        </is>
      </c>
      <c r="D356" s="10">
        <v>45787</v>
      </c>
      <c r="E356" s="4" t="inlineStr">
        <is>
          <t xml:space="preserve">661100</t>
        </is>
      </c>
      <c r="F356" s="0" t="inlineStr">
        <is>
          <t xml:space="preserve">Interets des emprunts</t>
        </is>
      </c>
      <c r="G356" s="0" t="inlineStr">
        <is>
          <t xml:space="preserve">ECH202505</t>
        </is>
      </c>
      <c r="H356" s="0" t="inlineStr">
        <is>
          <t xml:space="preserve">Echeance emprunt 05/2025</t>
        </is>
      </c>
      <c r="I356" s="8">
        <v>193.33</v>
      </c>
      <c r="J356" s="8">
        <v>0</v>
      </c>
      <c r="K356" s="0"/>
      <c r="L356" s="0"/>
      <c r="M356" s="8">
        <f>I356-J356</f>
      </c>
      <c r="N356" s="0" t="inlineStr">
        <is>
          <t xml:space="preserve">2025-05</t>
        </is>
      </c>
      <c r="O356" s="0">
        <f>INDEX(Journaux!$E$5:$E$18,MATCH("2025|"&amp;A356,Journaux!$A$5:$A$18,0))</f>
      </c>
      <c r="P356" s="0">
        <f>INDEX(Comptes!$K$5:$K$42,MATCH(E356,Comptes!$A$5:$A$42,0))</f>
      </c>
      <c r="Q356" s="0" t="inlineStr">
        <is>
          <t xml:space="preserve">6</t>
        </is>
      </c>
    </row>
    <row r="357">
      <c r="A357" s="4" t="inlineStr">
        <is>
          <t xml:space="preserve">BQ</t>
        </is>
      </c>
      <c r="B357" s="0" t="inlineStr">
        <is>
          <t xml:space="preserve">Banque Fictive</t>
        </is>
      </c>
      <c r="C357" s="0" t="inlineStr">
        <is>
          <t xml:space="preserve">BQ00014</t>
        </is>
      </c>
      <c r="D357" s="10">
        <v>45787</v>
      </c>
      <c r="E357" s="4" t="inlineStr">
        <is>
          <t xml:space="preserve">512000</t>
        </is>
      </c>
      <c r="F357" s="0" t="inlineStr">
        <is>
          <t xml:space="preserve">Banque Fictive</t>
        </is>
      </c>
      <c r="G357" s="0" t="inlineStr">
        <is>
          <t xml:space="preserve">ECH202505</t>
        </is>
      </c>
      <c r="H357" s="0" t="inlineStr">
        <is>
          <t xml:space="preserve">Echeance emprunt 05/2025</t>
        </is>
      </c>
      <c r="I357" s="8">
        <v>0</v>
      </c>
      <c r="J357" s="8">
        <v>2193.33</v>
      </c>
      <c r="K357" s="0"/>
      <c r="L357" s="0"/>
      <c r="M357" s="8">
        <f>I357-J357</f>
      </c>
      <c r="N357" s="0" t="inlineStr">
        <is>
          <t xml:space="preserve">2025-05</t>
        </is>
      </c>
      <c r="O357" s="0">
        <f>INDEX(Journaux!$E$5:$E$18,MATCH("2025|"&amp;A357,Journaux!$A$5:$A$18,0))</f>
      </c>
      <c r="P357" s="0">
        <f>INDEX(Comptes!$K$5:$K$42,MATCH(E357,Comptes!$A$5:$A$42,0))</f>
      </c>
      <c r="Q357" s="0" t="inlineStr">
        <is>
          <t xml:space="preserve">5</t>
        </is>
      </c>
    </row>
    <row r="358">
      <c r="A358" s="4" t="inlineStr">
        <is>
          <t xml:space="preserve">BQ</t>
        </is>
      </c>
      <c r="B358" s="0" t="inlineStr">
        <is>
          <t xml:space="preserve">Banque Fictive</t>
        </is>
      </c>
      <c r="C358" s="0" t="inlineStr">
        <is>
          <t xml:space="preserve">BQ00133</t>
        </is>
      </c>
      <c r="D358" s="10">
        <v>45789</v>
      </c>
      <c r="E358" s="4" t="inlineStr">
        <is>
          <t xml:space="preserve">401000</t>
        </is>
      </c>
      <c r="F358" s="0" t="inlineStr">
        <is>
          <t xml:space="preserve">Fournisseurs</t>
        </is>
      </c>
      <c r="G358" s="0" t="inlineStr">
        <is>
          <t xml:space="preserve">DEC-F003-2025031</t>
        </is>
      </c>
      <c r="H358" s="0" t="inlineStr">
        <is>
          <t xml:space="preserve">Reglement fournisseur Vernis et Finitions F003-2025031</t>
        </is>
      </c>
      <c r="I358" s="8">
        <v>19002.78</v>
      </c>
      <c r="J358" s="8">
        <v>0</v>
      </c>
      <c r="K358" s="0" t="inlineStr">
        <is>
          <t xml:space="preserve">ABV</t>
        </is>
      </c>
      <c r="L358" s="0" t="inlineStr">
        <is>
          <t xml:space="preserve">Vernis et Finitions</t>
        </is>
      </c>
      <c r="M358" s="8">
        <f>I358-J358</f>
      </c>
      <c r="N358" s="0" t="inlineStr">
        <is>
          <t xml:space="preserve">2025-05</t>
        </is>
      </c>
      <c r="O358" s="0">
        <f>INDEX(Journaux!$E$5:$E$18,MATCH("2025|"&amp;A358,Journaux!$A$5:$A$18,0))</f>
      </c>
      <c r="P358" s="0">
        <f>INDEX(Comptes!$K$5:$K$42,MATCH(E358,Comptes!$A$5:$A$42,0))</f>
      </c>
      <c r="Q358" s="0" t="inlineStr">
        <is>
          <t xml:space="preserve">4</t>
        </is>
      </c>
      <c r="R358" s="7" t="inlineStr">
        <is>
          <t xml:space="preserve">401000|F003</t>
        </is>
      </c>
    </row>
    <row r="359">
      <c r="A359" s="4" t="inlineStr">
        <is>
          <t xml:space="preserve">BQ</t>
        </is>
      </c>
      <c r="B359" s="0" t="inlineStr">
        <is>
          <t xml:space="preserve">Banque Fictive</t>
        </is>
      </c>
      <c r="C359" s="0" t="inlineStr">
        <is>
          <t xml:space="preserve">BQ00133</t>
        </is>
      </c>
      <c r="D359" s="10">
        <v>45789</v>
      </c>
      <c r="E359" s="4" t="inlineStr">
        <is>
          <t xml:space="preserve">512000</t>
        </is>
      </c>
      <c r="F359" s="0" t="inlineStr">
        <is>
          <t xml:space="preserve">Banque Fictive</t>
        </is>
      </c>
      <c r="G359" s="0" t="inlineStr">
        <is>
          <t xml:space="preserve">DEC-F003-2025031</t>
        </is>
      </c>
      <c r="H359" s="0" t="inlineStr">
        <is>
          <t xml:space="preserve">Reglement fournisseur Vernis et Finitions F003-2025031</t>
        </is>
      </c>
      <c r="I359" s="8">
        <v>0</v>
      </c>
      <c r="J359" s="8">
        <v>19002.78</v>
      </c>
      <c r="K359" s="0"/>
      <c r="L359" s="0"/>
      <c r="M359" s="8">
        <f>I359-J359</f>
      </c>
      <c r="N359" s="0" t="inlineStr">
        <is>
          <t xml:space="preserve">2025-05</t>
        </is>
      </c>
      <c r="O359" s="0">
        <f>INDEX(Journaux!$E$5:$E$18,MATCH("2025|"&amp;A359,Journaux!$A$5:$A$18,0))</f>
      </c>
      <c r="P359" s="0">
        <f>INDEX(Comptes!$K$5:$K$42,MATCH(E359,Comptes!$A$5:$A$42,0))</f>
      </c>
      <c r="Q359" s="0" t="inlineStr">
        <is>
          <t xml:space="preserve">5</t>
        </is>
      </c>
    </row>
    <row r="360">
      <c r="A360" s="4" t="inlineStr">
        <is>
          <t xml:space="preserve">VT</t>
        </is>
      </c>
      <c r="B360" s="0" t="inlineStr">
        <is>
          <t xml:space="preserve">Journal des ventes</t>
        </is>
      </c>
      <c r="C360" s="0" t="inlineStr">
        <is>
          <t xml:space="preserve">VT00022</t>
        </is>
      </c>
      <c r="D360" s="10">
        <v>45791</v>
      </c>
      <c r="E360" s="4" t="inlineStr">
        <is>
          <t xml:space="preserve">411000</t>
        </is>
      </c>
      <c r="F360" s="0" t="inlineStr">
        <is>
          <t xml:space="preserve">Clients</t>
        </is>
      </c>
      <c r="G360" s="0" t="inlineStr">
        <is>
          <t xml:space="preserve">FA2025-0022</t>
        </is>
      </c>
      <c r="H360" s="0" t="inlineStr">
        <is>
          <t xml:space="preserve">Facture FA2025-0022 Restaurant Le Comptoir</t>
        </is>
      </c>
      <c r="I360" s="8">
        <v>43017.35</v>
      </c>
      <c r="J360" s="8">
        <v>0</v>
      </c>
      <c r="K360" s="0" t="inlineStr">
        <is>
          <t xml:space="preserve">AAD</t>
        </is>
      </c>
      <c r="L360" s="0" t="inlineStr">
        <is>
          <t xml:space="preserve">Restaurant Le Comptoir</t>
        </is>
      </c>
      <c r="M360" s="8">
        <f>I360-J360</f>
      </c>
      <c r="N360" s="0" t="inlineStr">
        <is>
          <t xml:space="preserve">2025-05</t>
        </is>
      </c>
      <c r="O360" s="0">
        <f>INDEX(Journaux!$E$5:$E$18,MATCH("2025|"&amp;A360,Journaux!$A$5:$A$18,0))</f>
      </c>
      <c r="P360" s="0">
        <f>INDEX(Comptes!$K$5:$K$42,MATCH(E360,Comptes!$A$5:$A$42,0))</f>
      </c>
      <c r="Q360" s="0" t="inlineStr">
        <is>
          <t xml:space="preserve">4</t>
        </is>
      </c>
      <c r="R360" s="7" t="inlineStr">
        <is>
          <t xml:space="preserve">411000|C005</t>
        </is>
      </c>
    </row>
    <row r="361">
      <c r="A361" s="4" t="inlineStr">
        <is>
          <t xml:space="preserve">VT</t>
        </is>
      </c>
      <c r="B361" s="0" t="inlineStr">
        <is>
          <t xml:space="preserve">Journal des ventes</t>
        </is>
      </c>
      <c r="C361" s="0" t="inlineStr">
        <is>
          <t xml:space="preserve">VT00022</t>
        </is>
      </c>
      <c r="D361" s="10">
        <v>45791</v>
      </c>
      <c r="E361" s="4" t="inlineStr">
        <is>
          <t xml:space="preserve">701000</t>
        </is>
      </c>
      <c r="F361" s="0" t="inlineStr">
        <is>
          <t xml:space="preserve">Ventes de produits finis</t>
        </is>
      </c>
      <c r="G361" s="0" t="inlineStr">
        <is>
          <t xml:space="preserve">FA2025-0022</t>
        </is>
      </c>
      <c r="H361" s="0" t="inlineStr">
        <is>
          <t xml:space="preserve">Facture FA2025-0022 Restaurant Le Comptoir</t>
        </is>
      </c>
      <c r="I361" s="8">
        <v>0</v>
      </c>
      <c r="J361" s="8">
        <v>35847.79</v>
      </c>
      <c r="K361" s="0"/>
      <c r="L361" s="0"/>
      <c r="M361" s="8">
        <f>I361-J361</f>
      </c>
      <c r="N361" s="0" t="inlineStr">
        <is>
          <t xml:space="preserve">2025-05</t>
        </is>
      </c>
      <c r="O361" s="0">
        <f>INDEX(Journaux!$E$5:$E$18,MATCH("2025|"&amp;A361,Journaux!$A$5:$A$18,0))</f>
      </c>
      <c r="P361" s="0">
        <f>INDEX(Comptes!$K$5:$K$42,MATCH(E361,Comptes!$A$5:$A$42,0))</f>
      </c>
      <c r="Q361" s="0" t="inlineStr">
        <is>
          <t xml:space="preserve">7</t>
        </is>
      </c>
    </row>
    <row r="362">
      <c r="A362" s="4" t="inlineStr">
        <is>
          <t xml:space="preserve">VT</t>
        </is>
      </c>
      <c r="B362" s="0" t="inlineStr">
        <is>
          <t xml:space="preserve">Journal des ventes</t>
        </is>
      </c>
      <c r="C362" s="0" t="inlineStr">
        <is>
          <t xml:space="preserve">VT00022</t>
        </is>
      </c>
      <c r="D362" s="10">
        <v>45791</v>
      </c>
      <c r="E362" s="4" t="inlineStr">
        <is>
          <t xml:space="preserve">445710</t>
        </is>
      </c>
      <c r="F362" s="0" t="inlineStr">
        <is>
          <t xml:space="preserve">TVA collectee</t>
        </is>
      </c>
      <c r="G362" s="0" t="inlineStr">
        <is>
          <t xml:space="preserve">FA2025-0022</t>
        </is>
      </c>
      <c r="H362" s="0" t="inlineStr">
        <is>
          <t xml:space="preserve">Facture FA2025-0022 Restaurant Le Comptoir</t>
        </is>
      </c>
      <c r="I362" s="8">
        <v>0</v>
      </c>
      <c r="J362" s="8">
        <v>7169.56</v>
      </c>
      <c r="K362" s="0"/>
      <c r="L362" s="0"/>
      <c r="M362" s="8">
        <f>I362-J362</f>
      </c>
      <c r="N362" s="0" t="inlineStr">
        <is>
          <t xml:space="preserve">2025-05</t>
        </is>
      </c>
      <c r="O362" s="0">
        <f>INDEX(Journaux!$E$5:$E$18,MATCH("2025|"&amp;A362,Journaux!$A$5:$A$18,0))</f>
      </c>
      <c r="P362" s="0">
        <f>INDEX(Comptes!$K$5:$K$42,MATCH(E362,Comptes!$A$5:$A$42,0))</f>
      </c>
      <c r="Q362" s="0" t="inlineStr">
        <is>
          <t xml:space="preserve">4</t>
        </is>
      </c>
    </row>
    <row r="363">
      <c r="A363" s="4" t="inlineStr">
        <is>
          <t xml:space="preserve">BQ</t>
        </is>
      </c>
      <c r="B363" s="0" t="inlineStr">
        <is>
          <t xml:space="preserve">Banque Fictive</t>
        </is>
      </c>
      <c r="C363" s="0" t="inlineStr">
        <is>
          <t xml:space="preserve">BQ00046</t>
        </is>
      </c>
      <c r="D363" s="10">
        <v>45792</v>
      </c>
      <c r="E363" s="4" t="inlineStr">
        <is>
          <t xml:space="preserve">431000</t>
        </is>
      </c>
      <c r="F363" s="0" t="inlineStr">
        <is>
          <t xml:space="preserve">Securite sociale</t>
        </is>
      </c>
      <c r="G363" s="0" t="inlineStr">
        <is>
          <t xml:space="preserve">URSSAF202504</t>
        </is>
      </c>
      <c r="H363" s="0" t="inlineStr">
        <is>
          <t xml:space="preserve">Reglement URSSAF 04/2025</t>
        </is>
      </c>
      <c r="I363" s="8">
        <v>31666.3</v>
      </c>
      <c r="J363" s="8">
        <v>0</v>
      </c>
      <c r="K363" s="0"/>
      <c r="L363" s="0"/>
      <c r="M363" s="8">
        <f>I363-J363</f>
      </c>
      <c r="N363" s="0" t="inlineStr">
        <is>
          <t xml:space="preserve">2025-05</t>
        </is>
      </c>
      <c r="O363" s="0">
        <f>INDEX(Journaux!$E$5:$E$18,MATCH("2025|"&amp;A363,Journaux!$A$5:$A$18,0))</f>
      </c>
      <c r="P363" s="0">
        <f>INDEX(Comptes!$K$5:$K$42,MATCH(E363,Comptes!$A$5:$A$42,0))</f>
      </c>
      <c r="Q363" s="0" t="inlineStr">
        <is>
          <t xml:space="preserve">4</t>
        </is>
      </c>
    </row>
    <row r="364">
      <c r="A364" s="4" t="inlineStr">
        <is>
          <t xml:space="preserve">BQ</t>
        </is>
      </c>
      <c r="B364" s="0" t="inlineStr">
        <is>
          <t xml:space="preserve">Banque Fictive</t>
        </is>
      </c>
      <c r="C364" s="0" t="inlineStr">
        <is>
          <t xml:space="preserve">BQ00046</t>
        </is>
      </c>
      <c r="D364" s="10">
        <v>45792</v>
      </c>
      <c r="E364" s="4" t="inlineStr">
        <is>
          <t xml:space="preserve">512000</t>
        </is>
      </c>
      <c r="F364" s="0" t="inlineStr">
        <is>
          <t xml:space="preserve">Banque Fictive</t>
        </is>
      </c>
      <c r="G364" s="0" t="inlineStr">
        <is>
          <t xml:space="preserve">URSSAF202504</t>
        </is>
      </c>
      <c r="H364" s="0" t="inlineStr">
        <is>
          <t xml:space="preserve">Reglement URSSAF 04/2025</t>
        </is>
      </c>
      <c r="I364" s="8">
        <v>0</v>
      </c>
      <c r="J364" s="8">
        <v>31666.3</v>
      </c>
      <c r="K364" s="0"/>
      <c r="L364" s="0"/>
      <c r="M364" s="8">
        <f>I364-J364</f>
      </c>
      <c r="N364" s="0" t="inlineStr">
        <is>
          <t xml:space="preserve">2025-05</t>
        </is>
      </c>
      <c r="O364" s="0">
        <f>INDEX(Journaux!$E$5:$E$18,MATCH("2025|"&amp;A364,Journaux!$A$5:$A$18,0))</f>
      </c>
      <c r="P364" s="0">
        <f>INDEX(Comptes!$K$5:$K$42,MATCH(E364,Comptes!$A$5:$A$42,0))</f>
      </c>
      <c r="Q364" s="0" t="inlineStr">
        <is>
          <t xml:space="preserve">5</t>
        </is>
      </c>
    </row>
    <row r="365">
      <c r="A365" s="4" t="inlineStr">
        <is>
          <t xml:space="preserve">VT</t>
        </is>
      </c>
      <c r="B365" s="0" t="inlineStr">
        <is>
          <t xml:space="preserve">Journal des ventes</t>
        </is>
      </c>
      <c r="C365" s="0" t="inlineStr">
        <is>
          <t xml:space="preserve">VT00020</t>
        </is>
      </c>
      <c r="D365" s="10">
        <v>45792</v>
      </c>
      <c r="E365" s="4" t="inlineStr">
        <is>
          <t xml:space="preserve">411000</t>
        </is>
      </c>
      <c r="F365" s="0" t="inlineStr">
        <is>
          <t xml:space="preserve">Clients</t>
        </is>
      </c>
      <c r="G365" s="0" t="inlineStr">
        <is>
          <t xml:space="preserve">FA2025-0020</t>
        </is>
      </c>
      <c r="H365" s="0" t="inlineStr">
        <is>
          <t xml:space="preserve">Facture FA2025-0020 Agence Mobilis</t>
        </is>
      </c>
      <c r="I365" s="8">
        <v>39405.02</v>
      </c>
      <c r="J365" s="8">
        <v>0</v>
      </c>
      <c r="K365" s="0" t="inlineStr">
        <is>
          <t xml:space="preserve">AAB</t>
        </is>
      </c>
      <c r="L365" s="0" t="inlineStr">
        <is>
          <t xml:space="preserve">Agence Mobilis</t>
        </is>
      </c>
      <c r="M365" s="8">
        <f>I365-J365</f>
      </c>
      <c r="N365" s="0" t="inlineStr">
        <is>
          <t xml:space="preserve">2025-05</t>
        </is>
      </c>
      <c r="O365" s="0">
        <f>INDEX(Journaux!$E$5:$E$18,MATCH("2025|"&amp;A365,Journaux!$A$5:$A$18,0))</f>
      </c>
      <c r="P365" s="0">
        <f>INDEX(Comptes!$K$5:$K$42,MATCH(E365,Comptes!$A$5:$A$42,0))</f>
      </c>
      <c r="Q365" s="0" t="inlineStr">
        <is>
          <t xml:space="preserve">4</t>
        </is>
      </c>
      <c r="R365" s="7" t="inlineStr">
        <is>
          <t xml:space="preserve">411000|C002</t>
        </is>
      </c>
    </row>
    <row r="366">
      <c r="A366" s="4" t="inlineStr">
        <is>
          <t xml:space="preserve">VT</t>
        </is>
      </c>
      <c r="B366" s="0" t="inlineStr">
        <is>
          <t xml:space="preserve">Journal des ventes</t>
        </is>
      </c>
      <c r="C366" s="0" t="inlineStr">
        <is>
          <t xml:space="preserve">VT00020</t>
        </is>
      </c>
      <c r="D366" s="10">
        <v>45792</v>
      </c>
      <c r="E366" s="4" t="inlineStr">
        <is>
          <t xml:space="preserve">701000</t>
        </is>
      </c>
      <c r="F366" s="0" t="inlineStr">
        <is>
          <t xml:space="preserve">Ventes de produits finis</t>
        </is>
      </c>
      <c r="G366" s="0" t="inlineStr">
        <is>
          <t xml:space="preserve">FA2025-0020</t>
        </is>
      </c>
      <c r="H366" s="0" t="inlineStr">
        <is>
          <t xml:space="preserve">Facture FA2025-0020 Agence Mobilis</t>
        </is>
      </c>
      <c r="I366" s="8">
        <v>0</v>
      </c>
      <c r="J366" s="8">
        <v>32837.52</v>
      </c>
      <c r="K366" s="0"/>
      <c r="L366" s="0"/>
      <c r="M366" s="8">
        <f>I366-J366</f>
      </c>
      <c r="N366" s="0" t="inlineStr">
        <is>
          <t xml:space="preserve">2025-05</t>
        </is>
      </c>
      <c r="O366" s="0">
        <f>INDEX(Journaux!$E$5:$E$18,MATCH("2025|"&amp;A366,Journaux!$A$5:$A$18,0))</f>
      </c>
      <c r="P366" s="0">
        <f>INDEX(Comptes!$K$5:$K$42,MATCH(E366,Comptes!$A$5:$A$42,0))</f>
      </c>
      <c r="Q366" s="0" t="inlineStr">
        <is>
          <t xml:space="preserve">7</t>
        </is>
      </c>
    </row>
    <row r="367">
      <c r="A367" s="4" t="inlineStr">
        <is>
          <t xml:space="preserve">VT</t>
        </is>
      </c>
      <c r="B367" s="0" t="inlineStr">
        <is>
          <t xml:space="preserve">Journal des ventes</t>
        </is>
      </c>
      <c r="C367" s="0" t="inlineStr">
        <is>
          <t xml:space="preserve">VT00020</t>
        </is>
      </c>
      <c r="D367" s="10">
        <v>45792</v>
      </c>
      <c r="E367" s="4" t="inlineStr">
        <is>
          <t xml:space="preserve">445710</t>
        </is>
      </c>
      <c r="F367" s="0" t="inlineStr">
        <is>
          <t xml:space="preserve">TVA collectee</t>
        </is>
      </c>
      <c r="G367" s="0" t="inlineStr">
        <is>
          <t xml:space="preserve">FA2025-0020</t>
        </is>
      </c>
      <c r="H367" s="0" t="inlineStr">
        <is>
          <t xml:space="preserve">Facture FA2025-0020 Agence Mobilis</t>
        </is>
      </c>
      <c r="I367" s="8">
        <v>0</v>
      </c>
      <c r="J367" s="8">
        <v>6567.5</v>
      </c>
      <c r="K367" s="0"/>
      <c r="L367" s="0"/>
      <c r="M367" s="8">
        <f>I367-J367</f>
      </c>
      <c r="N367" s="0" t="inlineStr">
        <is>
          <t xml:space="preserve">2025-05</t>
        </is>
      </c>
      <c r="O367" s="0">
        <f>INDEX(Journaux!$E$5:$E$18,MATCH("2025|"&amp;A367,Journaux!$A$5:$A$18,0))</f>
      </c>
      <c r="P367" s="0">
        <f>INDEX(Comptes!$K$5:$K$42,MATCH(E367,Comptes!$A$5:$A$42,0))</f>
      </c>
      <c r="Q367" s="0" t="inlineStr">
        <is>
          <t xml:space="preserve">4</t>
        </is>
      </c>
    </row>
    <row r="368">
      <c r="A368" s="4" t="inlineStr">
        <is>
          <t xml:space="preserve">VT</t>
        </is>
      </c>
      <c r="B368" s="0" t="inlineStr">
        <is>
          <t xml:space="preserve">Journal des ventes</t>
        </is>
      </c>
      <c r="C368" s="0" t="inlineStr">
        <is>
          <t xml:space="preserve">VT00021</t>
        </is>
      </c>
      <c r="D368" s="10">
        <v>45793</v>
      </c>
      <c r="E368" s="4" t="inlineStr">
        <is>
          <t xml:space="preserve">411000</t>
        </is>
      </c>
      <c r="F368" s="0" t="inlineStr">
        <is>
          <t xml:space="preserve">Clients</t>
        </is>
      </c>
      <c r="G368" s="0" t="inlineStr">
        <is>
          <t xml:space="preserve">FA2025-0021</t>
        </is>
      </c>
      <c r="H368" s="0" t="inlineStr">
        <is>
          <t xml:space="preserve">Facture FA2025-0021 Residence Bel Air</t>
        </is>
      </c>
      <c r="I368" s="8">
        <v>28369.19</v>
      </c>
      <c r="J368" s="8">
        <v>0</v>
      </c>
      <c r="K368" s="0" t="inlineStr">
        <is>
          <t xml:space="preserve">AAC</t>
        </is>
      </c>
      <c r="L368" s="0" t="inlineStr">
        <is>
          <t xml:space="preserve">Residence Bel Air</t>
        </is>
      </c>
      <c r="M368" s="8">
        <f>I368-J368</f>
      </c>
      <c r="N368" s="0" t="inlineStr">
        <is>
          <t xml:space="preserve">2025-05</t>
        </is>
      </c>
      <c r="O368" s="0">
        <f>INDEX(Journaux!$E$5:$E$18,MATCH("2025|"&amp;A368,Journaux!$A$5:$A$18,0))</f>
      </c>
      <c r="P368" s="0">
        <f>INDEX(Comptes!$K$5:$K$42,MATCH(E368,Comptes!$A$5:$A$42,0))</f>
      </c>
      <c r="Q368" s="0" t="inlineStr">
        <is>
          <t xml:space="preserve">4</t>
        </is>
      </c>
      <c r="R368" s="7" t="inlineStr">
        <is>
          <t xml:space="preserve">411000|C003</t>
        </is>
      </c>
    </row>
    <row r="369">
      <c r="A369" s="4" t="inlineStr">
        <is>
          <t xml:space="preserve">VT</t>
        </is>
      </c>
      <c r="B369" s="0" t="inlineStr">
        <is>
          <t xml:space="preserve">Journal des ventes</t>
        </is>
      </c>
      <c r="C369" s="0" t="inlineStr">
        <is>
          <t xml:space="preserve">VT00021</t>
        </is>
      </c>
      <c r="D369" s="10">
        <v>45793</v>
      </c>
      <c r="E369" s="4" t="inlineStr">
        <is>
          <t xml:space="preserve">701000</t>
        </is>
      </c>
      <c r="F369" s="0" t="inlineStr">
        <is>
          <t xml:space="preserve">Ventes de produits finis</t>
        </is>
      </c>
      <c r="G369" s="0" t="inlineStr">
        <is>
          <t xml:space="preserve">FA2025-0021</t>
        </is>
      </c>
      <c r="H369" s="0" t="inlineStr">
        <is>
          <t xml:space="preserve">Facture FA2025-0021 Residence Bel Air</t>
        </is>
      </c>
      <c r="I369" s="8">
        <v>0</v>
      </c>
      <c r="J369" s="8">
        <v>23640.99</v>
      </c>
      <c r="K369" s="0"/>
      <c r="L369" s="0"/>
      <c r="M369" s="8">
        <f>I369-J369</f>
      </c>
      <c r="N369" s="0" t="inlineStr">
        <is>
          <t xml:space="preserve">2025-05</t>
        </is>
      </c>
      <c r="O369" s="0">
        <f>INDEX(Journaux!$E$5:$E$18,MATCH("2025|"&amp;A369,Journaux!$A$5:$A$18,0))</f>
      </c>
      <c r="P369" s="0">
        <f>INDEX(Comptes!$K$5:$K$42,MATCH(E369,Comptes!$A$5:$A$42,0))</f>
      </c>
      <c r="Q369" s="0" t="inlineStr">
        <is>
          <t xml:space="preserve">7</t>
        </is>
      </c>
    </row>
    <row r="370">
      <c r="A370" s="4" t="inlineStr">
        <is>
          <t xml:space="preserve">VT</t>
        </is>
      </c>
      <c r="B370" s="0" t="inlineStr">
        <is>
          <t xml:space="preserve">Journal des ventes</t>
        </is>
      </c>
      <c r="C370" s="0" t="inlineStr">
        <is>
          <t xml:space="preserve">VT00021</t>
        </is>
      </c>
      <c r="D370" s="10">
        <v>45793</v>
      </c>
      <c r="E370" s="4" t="inlineStr">
        <is>
          <t xml:space="preserve">445710</t>
        </is>
      </c>
      <c r="F370" s="0" t="inlineStr">
        <is>
          <t xml:space="preserve">TVA collectee</t>
        </is>
      </c>
      <c r="G370" s="0" t="inlineStr">
        <is>
          <t xml:space="preserve">FA2025-0021</t>
        </is>
      </c>
      <c r="H370" s="0" t="inlineStr">
        <is>
          <t xml:space="preserve">Facture FA2025-0021 Residence Bel Air</t>
        </is>
      </c>
      <c r="I370" s="8">
        <v>0</v>
      </c>
      <c r="J370" s="8">
        <v>4728.2</v>
      </c>
      <c r="K370" s="0"/>
      <c r="L370" s="0"/>
      <c r="M370" s="8">
        <f>I370-J370</f>
      </c>
      <c r="N370" s="0" t="inlineStr">
        <is>
          <t xml:space="preserve">2025-05</t>
        </is>
      </c>
      <c r="O370" s="0">
        <f>INDEX(Journaux!$E$5:$E$18,MATCH("2025|"&amp;A370,Journaux!$A$5:$A$18,0))</f>
      </c>
      <c r="P370" s="0">
        <f>INDEX(Comptes!$K$5:$K$42,MATCH(E370,Comptes!$A$5:$A$42,0))</f>
      </c>
      <c r="Q370" s="0" t="inlineStr">
        <is>
          <t xml:space="preserve">4</t>
        </is>
      </c>
    </row>
    <row r="371">
      <c r="A371" s="4" t="inlineStr">
        <is>
          <t xml:space="preserve">BQ</t>
        </is>
      </c>
      <c r="B371" s="0" t="inlineStr">
        <is>
          <t xml:space="preserve">Banque Fictive</t>
        </is>
      </c>
      <c r="C371" s="0" t="inlineStr">
        <is>
          <t xml:space="preserve">BQ00134</t>
        </is>
      </c>
      <c r="D371" s="10">
        <v>45796</v>
      </c>
      <c r="E371" s="4" t="inlineStr">
        <is>
          <t xml:space="preserve">401000</t>
        </is>
      </c>
      <c r="F371" s="0" t="inlineStr">
        <is>
          <t xml:space="preserve">Fournisseurs</t>
        </is>
      </c>
      <c r="G371" s="0" t="inlineStr">
        <is>
          <t xml:space="preserve">DEC-F002-2025032</t>
        </is>
      </c>
      <c r="H371" s="0" t="inlineStr">
        <is>
          <t xml:space="preserve">Reglement fournisseur Quincaillerie Pro Est F002-2025032</t>
        </is>
      </c>
      <c r="I371" s="8">
        <v>24695.06</v>
      </c>
      <c r="J371" s="8">
        <v>0</v>
      </c>
      <c r="K371" s="0" t="inlineStr">
        <is>
          <t xml:space="preserve">ABW</t>
        </is>
      </c>
      <c r="L371" s="0" t="inlineStr">
        <is>
          <t xml:space="preserve">Quincaillerie Pro Est</t>
        </is>
      </c>
      <c r="M371" s="8">
        <f>I371-J371</f>
      </c>
      <c r="N371" s="0" t="inlineStr">
        <is>
          <t xml:space="preserve">2025-05</t>
        </is>
      </c>
      <c r="O371" s="0">
        <f>INDEX(Journaux!$E$5:$E$18,MATCH("2025|"&amp;A371,Journaux!$A$5:$A$18,0))</f>
      </c>
      <c r="P371" s="0">
        <f>INDEX(Comptes!$K$5:$K$42,MATCH(E371,Comptes!$A$5:$A$42,0))</f>
      </c>
      <c r="Q371" s="0" t="inlineStr">
        <is>
          <t xml:space="preserve">4</t>
        </is>
      </c>
      <c r="R371" s="7" t="inlineStr">
        <is>
          <t xml:space="preserve">401000|F002</t>
        </is>
      </c>
    </row>
    <row r="372">
      <c r="A372" s="4" t="inlineStr">
        <is>
          <t xml:space="preserve">BQ</t>
        </is>
      </c>
      <c r="B372" s="0" t="inlineStr">
        <is>
          <t xml:space="preserve">Banque Fictive</t>
        </is>
      </c>
      <c r="C372" s="0" t="inlineStr">
        <is>
          <t xml:space="preserve">BQ00134</t>
        </is>
      </c>
      <c r="D372" s="10">
        <v>45796</v>
      </c>
      <c r="E372" s="4" t="inlineStr">
        <is>
          <t xml:space="preserve">512000</t>
        </is>
      </c>
      <c r="F372" s="0" t="inlineStr">
        <is>
          <t xml:space="preserve">Banque Fictive</t>
        </is>
      </c>
      <c r="G372" s="0" t="inlineStr">
        <is>
          <t xml:space="preserve">DEC-F002-2025032</t>
        </is>
      </c>
      <c r="H372" s="0" t="inlineStr">
        <is>
          <t xml:space="preserve">Reglement fournisseur Quincaillerie Pro Est F002-2025032</t>
        </is>
      </c>
      <c r="I372" s="8">
        <v>0</v>
      </c>
      <c r="J372" s="8">
        <v>24695.06</v>
      </c>
      <c r="K372" s="0"/>
      <c r="L372" s="0"/>
      <c r="M372" s="8">
        <f>I372-J372</f>
      </c>
      <c r="N372" s="0" t="inlineStr">
        <is>
          <t xml:space="preserve">2025-05</t>
        </is>
      </c>
      <c r="O372" s="0">
        <f>INDEX(Journaux!$E$5:$E$18,MATCH("2025|"&amp;A372,Journaux!$A$5:$A$18,0))</f>
      </c>
      <c r="P372" s="0">
        <f>INDEX(Comptes!$K$5:$K$42,MATCH(E372,Comptes!$A$5:$A$42,0))</f>
      </c>
      <c r="Q372" s="0" t="inlineStr">
        <is>
          <t xml:space="preserve">5</t>
        </is>
      </c>
    </row>
    <row r="373">
      <c r="A373" s="4" t="inlineStr">
        <is>
          <t xml:space="preserve">BQ</t>
        </is>
      </c>
      <c r="B373" s="0" t="inlineStr">
        <is>
          <t xml:space="preserve">Banque Fictive</t>
        </is>
      </c>
      <c r="C373" s="0" t="inlineStr">
        <is>
          <t xml:space="preserve">BQ00047</t>
        </is>
      </c>
      <c r="D373" s="10">
        <v>45797</v>
      </c>
      <c r="E373" s="4" t="inlineStr">
        <is>
          <t xml:space="preserve">445510</t>
        </is>
      </c>
      <c r="F373" s="0" t="inlineStr">
        <is>
          <t xml:space="preserve">TVA a decaisser</t>
        </is>
      </c>
      <c r="G373" s="0" t="inlineStr">
        <is>
          <t xml:space="preserve">TVA202504</t>
        </is>
      </c>
      <c r="H373" s="0" t="inlineStr">
        <is>
          <t xml:space="preserve">Reglement TVA 04/2025</t>
        </is>
      </c>
      <c r="I373" s="8">
        <v>9926.28</v>
      </c>
      <c r="J373" s="8">
        <v>0</v>
      </c>
      <c r="K373" s="0"/>
      <c r="L373" s="0"/>
      <c r="M373" s="8">
        <f>I373-J373</f>
      </c>
      <c r="N373" s="0" t="inlineStr">
        <is>
          <t xml:space="preserve">2025-05</t>
        </is>
      </c>
      <c r="O373" s="0">
        <f>INDEX(Journaux!$E$5:$E$18,MATCH("2025|"&amp;A373,Journaux!$A$5:$A$18,0))</f>
      </c>
      <c r="P373" s="0">
        <f>INDEX(Comptes!$K$5:$K$42,MATCH(E373,Comptes!$A$5:$A$42,0))</f>
      </c>
      <c r="Q373" s="0" t="inlineStr">
        <is>
          <t xml:space="preserve">4</t>
        </is>
      </c>
    </row>
    <row r="374">
      <c r="A374" s="4" t="inlineStr">
        <is>
          <t xml:space="preserve">BQ</t>
        </is>
      </c>
      <c r="B374" s="0" t="inlineStr">
        <is>
          <t xml:space="preserve">Banque Fictive</t>
        </is>
      </c>
      <c r="C374" s="0" t="inlineStr">
        <is>
          <t xml:space="preserve">BQ00047</t>
        </is>
      </c>
      <c r="D374" s="10">
        <v>45797</v>
      </c>
      <c r="E374" s="4" t="inlineStr">
        <is>
          <t xml:space="preserve">512000</t>
        </is>
      </c>
      <c r="F374" s="0" t="inlineStr">
        <is>
          <t xml:space="preserve">Banque Fictive</t>
        </is>
      </c>
      <c r="G374" s="0" t="inlineStr">
        <is>
          <t xml:space="preserve">TVA202504</t>
        </is>
      </c>
      <c r="H374" s="0" t="inlineStr">
        <is>
          <t xml:space="preserve">Reglement TVA 04/2025</t>
        </is>
      </c>
      <c r="I374" s="8">
        <v>0</v>
      </c>
      <c r="J374" s="8">
        <v>9926.28</v>
      </c>
      <c r="K374" s="0"/>
      <c r="L374" s="0"/>
      <c r="M374" s="8">
        <f>I374-J374</f>
      </c>
      <c r="N374" s="0" t="inlineStr">
        <is>
          <t xml:space="preserve">2025-05</t>
        </is>
      </c>
      <c r="O374" s="0">
        <f>INDEX(Journaux!$E$5:$E$18,MATCH("2025|"&amp;A374,Journaux!$A$5:$A$18,0))</f>
      </c>
      <c r="P374" s="0">
        <f>INDEX(Comptes!$K$5:$K$42,MATCH(E374,Comptes!$A$5:$A$42,0))</f>
      </c>
      <c r="Q374" s="0" t="inlineStr">
        <is>
          <t xml:space="preserve">5</t>
        </is>
      </c>
    </row>
    <row r="375">
      <c r="A375" s="4" t="inlineStr">
        <is>
          <t xml:space="preserve">BQ</t>
        </is>
      </c>
      <c r="B375" s="0" t="inlineStr">
        <is>
          <t xml:space="preserve">Banque Fictive</t>
        </is>
      </c>
      <c r="C375" s="0" t="inlineStr">
        <is>
          <t xml:space="preserve">BQ00077</t>
        </is>
      </c>
      <c r="D375" s="10">
        <v>45797</v>
      </c>
      <c r="E375" s="4" t="inlineStr">
        <is>
          <t xml:space="preserve">512000</t>
        </is>
      </c>
      <c r="F375" s="0" t="inlineStr">
        <is>
          <t xml:space="preserve">Banque Fictive</t>
        </is>
      </c>
      <c r="G375" s="0" t="inlineStr">
        <is>
          <t xml:space="preserve">ENC-FA2025-0010</t>
        </is>
      </c>
      <c r="H375" s="0" t="inlineStr">
        <is>
          <t xml:space="preserve">Reglement client Clinique du Parc FA2025-0010</t>
        </is>
      </c>
      <c r="I375" s="8">
        <v>34705.18</v>
      </c>
      <c r="J375" s="8">
        <v>0</v>
      </c>
      <c r="K375" s="0"/>
      <c r="L375" s="0"/>
      <c r="M375" s="8">
        <f>I375-J375</f>
      </c>
      <c r="N375" s="0" t="inlineStr">
        <is>
          <t xml:space="preserve">2025-05</t>
        </is>
      </c>
      <c r="O375" s="0">
        <f>INDEX(Journaux!$E$5:$E$18,MATCH("2025|"&amp;A375,Journaux!$A$5:$A$18,0))</f>
      </c>
      <c r="P375" s="0">
        <f>INDEX(Comptes!$K$5:$K$42,MATCH(E375,Comptes!$A$5:$A$42,0))</f>
      </c>
      <c r="Q375" s="0" t="inlineStr">
        <is>
          <t xml:space="preserve">5</t>
        </is>
      </c>
    </row>
    <row r="376">
      <c r="A376" s="4" t="inlineStr">
        <is>
          <t xml:space="preserve">BQ</t>
        </is>
      </c>
      <c r="B376" s="0" t="inlineStr">
        <is>
          <t xml:space="preserve">Banque Fictive</t>
        </is>
      </c>
      <c r="C376" s="0" t="inlineStr">
        <is>
          <t xml:space="preserve">BQ00077</t>
        </is>
      </c>
      <c r="D376" s="10">
        <v>45797</v>
      </c>
      <c r="E376" s="4" t="inlineStr">
        <is>
          <t xml:space="preserve">411000</t>
        </is>
      </c>
      <c r="F376" s="0" t="inlineStr">
        <is>
          <t xml:space="preserve">Clients</t>
        </is>
      </c>
      <c r="G376" s="0" t="inlineStr">
        <is>
          <t xml:space="preserve">ENC-FA2025-0010</t>
        </is>
      </c>
      <c r="H376" s="0" t="inlineStr">
        <is>
          <t xml:space="preserve">Reglement client Clinique du Parc FA2025-0010</t>
        </is>
      </c>
      <c r="I376" s="8">
        <v>0</v>
      </c>
      <c r="J376" s="8">
        <v>34705.18</v>
      </c>
      <c r="K376" s="0" t="inlineStr">
        <is>
          <t xml:space="preserve">AAR</t>
        </is>
      </c>
      <c r="L376" s="0" t="inlineStr">
        <is>
          <t xml:space="preserve">Clinique du Parc</t>
        </is>
      </c>
      <c r="M376" s="8">
        <f>I376-J376</f>
      </c>
      <c r="N376" s="0" t="inlineStr">
        <is>
          <t xml:space="preserve">2025-05</t>
        </is>
      </c>
      <c r="O376" s="0">
        <f>INDEX(Journaux!$E$5:$E$18,MATCH("2025|"&amp;A376,Journaux!$A$5:$A$18,0))</f>
      </c>
      <c r="P376" s="0">
        <f>INDEX(Comptes!$K$5:$K$42,MATCH(E376,Comptes!$A$5:$A$42,0))</f>
      </c>
      <c r="Q376" s="0" t="inlineStr">
        <is>
          <t xml:space="preserve">4</t>
        </is>
      </c>
      <c r="R376" s="7" t="inlineStr">
        <is>
          <t xml:space="preserve">411000|C006</t>
        </is>
      </c>
    </row>
    <row r="377">
      <c r="A377" s="4" t="inlineStr">
        <is>
          <t xml:space="preserve">BQ</t>
        </is>
      </c>
      <c r="B377" s="0" t="inlineStr">
        <is>
          <t xml:space="preserve">Banque Fictive</t>
        </is>
      </c>
      <c r="C377" s="0" t="inlineStr">
        <is>
          <t xml:space="preserve">BQ00080</t>
        </is>
      </c>
      <c r="D377" s="10">
        <v>45797</v>
      </c>
      <c r="E377" s="4" t="inlineStr">
        <is>
          <t xml:space="preserve">512000</t>
        </is>
      </c>
      <c r="F377" s="0" t="inlineStr">
        <is>
          <t xml:space="preserve">Banque Fictive</t>
        </is>
      </c>
      <c r="G377" s="0" t="inlineStr">
        <is>
          <t xml:space="preserve">ENC-FA2025-0013</t>
        </is>
      </c>
      <c r="H377" s="0" t="inlineStr">
        <is>
          <t xml:space="preserve">Reglement client Hotel Les Tilleuls FA2025-0013</t>
        </is>
      </c>
      <c r="I377" s="8">
        <v>21921.53</v>
      </c>
      <c r="J377" s="8">
        <v>0</v>
      </c>
      <c r="K377" s="0"/>
      <c r="L377" s="0"/>
      <c r="M377" s="8">
        <f>I377-J377</f>
      </c>
      <c r="N377" s="0" t="inlineStr">
        <is>
          <t xml:space="preserve">2025-05</t>
        </is>
      </c>
      <c r="O377" s="0">
        <f>INDEX(Journaux!$E$5:$E$18,MATCH("2025|"&amp;A377,Journaux!$A$5:$A$18,0))</f>
      </c>
      <c r="P377" s="0">
        <f>INDEX(Comptes!$K$5:$K$42,MATCH(E377,Comptes!$A$5:$A$42,0))</f>
      </c>
      <c r="Q377" s="0" t="inlineStr">
        <is>
          <t xml:space="preserve">5</t>
        </is>
      </c>
    </row>
    <row r="378">
      <c r="A378" s="4" t="inlineStr">
        <is>
          <t xml:space="preserve">BQ</t>
        </is>
      </c>
      <c r="B378" s="0" t="inlineStr">
        <is>
          <t xml:space="preserve">Banque Fictive</t>
        </is>
      </c>
      <c r="C378" s="0" t="inlineStr">
        <is>
          <t xml:space="preserve">BQ00080</t>
        </is>
      </c>
      <c r="D378" s="10">
        <v>45797</v>
      </c>
      <c r="E378" s="4" t="inlineStr">
        <is>
          <t xml:space="preserve">411000</t>
        </is>
      </c>
      <c r="F378" s="0" t="inlineStr">
        <is>
          <t xml:space="preserve">Clients</t>
        </is>
      </c>
      <c r="G378" s="0" t="inlineStr">
        <is>
          <t xml:space="preserve">ENC-FA2025-0013</t>
        </is>
      </c>
      <c r="H378" s="0" t="inlineStr">
        <is>
          <t xml:space="preserve">Reglement client Hotel Les Tilleuls FA2025-0013</t>
        </is>
      </c>
      <c r="I378" s="8">
        <v>0</v>
      </c>
      <c r="J378" s="8">
        <v>21921.53</v>
      </c>
      <c r="K378" s="0" t="inlineStr">
        <is>
          <t xml:space="preserve">AAU</t>
        </is>
      </c>
      <c r="L378" s="0" t="inlineStr">
        <is>
          <t xml:space="preserve">Hotel Les Tilleuls</t>
        </is>
      </c>
      <c r="M378" s="8">
        <f>I378-J378</f>
      </c>
      <c r="N378" s="0" t="inlineStr">
        <is>
          <t xml:space="preserve">2025-05</t>
        </is>
      </c>
      <c r="O378" s="0">
        <f>INDEX(Journaux!$E$5:$E$18,MATCH("2025|"&amp;A378,Journaux!$A$5:$A$18,0))</f>
      </c>
      <c r="P378" s="0">
        <f>INDEX(Comptes!$K$5:$K$42,MATCH(E378,Comptes!$A$5:$A$42,0))</f>
      </c>
      <c r="Q378" s="0" t="inlineStr">
        <is>
          <t xml:space="preserve">4</t>
        </is>
      </c>
      <c r="R378" s="7" t="inlineStr">
        <is>
          <t xml:space="preserve">411000|C001</t>
        </is>
      </c>
    </row>
    <row r="379">
      <c r="A379" s="4" t="inlineStr">
        <is>
          <t xml:space="preserve">AC</t>
        </is>
      </c>
      <c r="B379" s="0" t="inlineStr">
        <is>
          <t xml:space="preserve">Journal des achats</t>
        </is>
      </c>
      <c r="C379" s="0" t="inlineStr">
        <is>
          <t xml:space="preserve">AC00077</t>
        </is>
      </c>
      <c r="D379" s="10">
        <v>45799</v>
      </c>
      <c r="E379" s="4" t="inlineStr">
        <is>
          <t xml:space="preserve">601000</t>
        </is>
      </c>
      <c r="F379" s="0" t="inlineStr">
        <is>
          <t xml:space="preserve">Achats de matieres premieres</t>
        </is>
      </c>
      <c r="G379" s="0" t="inlineStr">
        <is>
          <t xml:space="preserve">F003-2291</t>
        </is>
      </c>
      <c r="H379" s="0" t="inlineStr">
        <is>
          <t xml:space="preserve">Facture Vernis et Finitions F003-2291</t>
        </is>
      </c>
      <c r="I379" s="8">
        <v>12000</v>
      </c>
      <c r="J379" s="8">
        <v>0</v>
      </c>
      <c r="K379" s="0"/>
      <c r="L379" s="0"/>
      <c r="M379" s="8">
        <f>I379-J379</f>
      </c>
      <c r="N379" s="0" t="inlineStr">
        <is>
          <t xml:space="preserve">2025-05</t>
        </is>
      </c>
      <c r="O379" s="0">
        <f>INDEX(Journaux!$E$5:$E$18,MATCH("2025|"&amp;A379,Journaux!$A$5:$A$18,0))</f>
      </c>
      <c r="P379" s="0">
        <f>INDEX(Comptes!$K$5:$K$42,MATCH(E379,Comptes!$A$5:$A$42,0))</f>
      </c>
      <c r="Q379" s="0" t="inlineStr">
        <is>
          <t xml:space="preserve">6</t>
        </is>
      </c>
    </row>
    <row r="380">
      <c r="A380" s="4" t="inlineStr">
        <is>
          <t xml:space="preserve">AC</t>
        </is>
      </c>
      <c r="B380" s="0" t="inlineStr">
        <is>
          <t xml:space="preserve">Journal des achats</t>
        </is>
      </c>
      <c r="C380" s="0" t="inlineStr">
        <is>
          <t xml:space="preserve">AC00077</t>
        </is>
      </c>
      <c r="D380" s="10">
        <v>45799</v>
      </c>
      <c r="E380" s="4" t="inlineStr">
        <is>
          <t xml:space="preserve">445660</t>
        </is>
      </c>
      <c r="F380" s="0" t="inlineStr">
        <is>
          <t xml:space="preserve">TVA deductible sur ABS</t>
        </is>
      </c>
      <c r="G380" s="0" t="inlineStr">
        <is>
          <t xml:space="preserve">F003-2291</t>
        </is>
      </c>
      <c r="H380" s="0" t="inlineStr">
        <is>
          <t xml:space="preserve">Facture Vernis et Finitions F003-2291</t>
        </is>
      </c>
      <c r="I380" s="8">
        <v>2400</v>
      </c>
      <c r="J380" s="8">
        <v>0</v>
      </c>
      <c r="K380" s="0"/>
      <c r="L380" s="0"/>
      <c r="M380" s="8">
        <f>I380-J380</f>
      </c>
      <c r="N380" s="0" t="inlineStr">
        <is>
          <t xml:space="preserve">2025-05</t>
        </is>
      </c>
      <c r="O380" s="0">
        <f>INDEX(Journaux!$E$5:$E$18,MATCH("2025|"&amp;A380,Journaux!$A$5:$A$18,0))</f>
      </c>
      <c r="P380" s="0">
        <f>INDEX(Comptes!$K$5:$K$42,MATCH(E380,Comptes!$A$5:$A$42,0))</f>
      </c>
      <c r="Q380" s="0" t="inlineStr">
        <is>
          <t xml:space="preserve">4</t>
        </is>
      </c>
    </row>
    <row r="381">
      <c r="A381" s="4" t="inlineStr">
        <is>
          <t xml:space="preserve">AC</t>
        </is>
      </c>
      <c r="B381" s="0" t="inlineStr">
        <is>
          <t xml:space="preserve">Journal des achats</t>
        </is>
      </c>
      <c r="C381" s="0" t="inlineStr">
        <is>
          <t xml:space="preserve">AC00077</t>
        </is>
      </c>
      <c r="D381" s="10">
        <v>45799</v>
      </c>
      <c r="E381" s="4" t="inlineStr">
        <is>
          <t xml:space="preserve">401000</t>
        </is>
      </c>
      <c r="F381" s="0" t="inlineStr">
        <is>
          <t xml:space="preserve">Fournisseurs</t>
        </is>
      </c>
      <c r="G381" s="0" t="inlineStr">
        <is>
          <t xml:space="preserve">F003-2291</t>
        </is>
      </c>
      <c r="H381" s="0" t="inlineStr">
        <is>
          <t xml:space="preserve">Facture Vernis et Finitions F003-2291</t>
        </is>
      </c>
      <c r="I381" s="8">
        <v>0</v>
      </c>
      <c r="J381" s="8">
        <v>14400</v>
      </c>
      <c r="K381" s="0" t="inlineStr">
        <is>
          <t xml:space="preserve">ADW</t>
        </is>
      </c>
      <c r="L381" s="0" t="inlineStr">
        <is>
          <t xml:space="preserve">Vernis et Finitions</t>
        </is>
      </c>
      <c r="M381" s="8">
        <f>I381-J381</f>
      </c>
      <c r="N381" s="0" t="inlineStr">
        <is>
          <t xml:space="preserve">2025-05</t>
        </is>
      </c>
      <c r="O381" s="0">
        <f>INDEX(Journaux!$E$5:$E$18,MATCH("2025|"&amp;A381,Journaux!$A$5:$A$18,0))</f>
      </c>
      <c r="P381" s="0">
        <f>INDEX(Comptes!$K$5:$K$42,MATCH(E381,Comptes!$A$5:$A$42,0))</f>
      </c>
      <c r="Q381" s="0" t="inlineStr">
        <is>
          <t xml:space="preserve">4</t>
        </is>
      </c>
      <c r="R381" s="7" t="inlineStr">
        <is>
          <t xml:space="preserve">401000|F003</t>
        </is>
      </c>
    </row>
    <row r="382">
      <c r="A382" s="4" t="inlineStr">
        <is>
          <t xml:space="preserve">AC</t>
        </is>
      </c>
      <c r="B382" s="0" t="inlineStr">
        <is>
          <t xml:space="preserve">Journal des achats</t>
        </is>
      </c>
      <c r="C382" s="0" t="inlineStr">
        <is>
          <t xml:space="preserve">AC00078</t>
        </is>
      </c>
      <c r="D382" s="10">
        <v>45799</v>
      </c>
      <c r="E382" s="4" t="inlineStr">
        <is>
          <t xml:space="preserve">601000</t>
        </is>
      </c>
      <c r="F382" s="0" t="inlineStr">
        <is>
          <t xml:space="preserve">Achats de matieres premieres</t>
        </is>
      </c>
      <c r="G382" s="0" t="inlineStr">
        <is>
          <t xml:space="preserve">F003-2291</t>
        </is>
      </c>
      <c r="H382" s="0" t="inlineStr">
        <is>
          <t xml:space="preserve">Facture Vernis et Finitions F003-2291</t>
        </is>
      </c>
      <c r="I382" s="8">
        <v>12000</v>
      </c>
      <c r="J382" s="8">
        <v>0</v>
      </c>
      <c r="K382" s="0"/>
      <c r="L382" s="0"/>
      <c r="M382" s="8">
        <f>I382-J382</f>
      </c>
      <c r="N382" s="0" t="inlineStr">
        <is>
          <t xml:space="preserve">2025-05</t>
        </is>
      </c>
      <c r="O382" s="0">
        <f>INDEX(Journaux!$E$5:$E$18,MATCH("2025|"&amp;A382,Journaux!$A$5:$A$18,0))</f>
      </c>
      <c r="P382" s="0">
        <f>INDEX(Comptes!$K$5:$K$42,MATCH(E382,Comptes!$A$5:$A$42,0))</f>
      </c>
      <c r="Q382" s="0" t="inlineStr">
        <is>
          <t xml:space="preserve">6</t>
        </is>
      </c>
    </row>
    <row r="383">
      <c r="A383" s="4" t="inlineStr">
        <is>
          <t xml:space="preserve">AC</t>
        </is>
      </c>
      <c r="B383" s="0" t="inlineStr">
        <is>
          <t xml:space="preserve">Journal des achats</t>
        </is>
      </c>
      <c r="C383" s="0" t="inlineStr">
        <is>
          <t xml:space="preserve">AC00078</t>
        </is>
      </c>
      <c r="D383" s="10">
        <v>45799</v>
      </c>
      <c r="E383" s="4" t="inlineStr">
        <is>
          <t xml:space="preserve">445660</t>
        </is>
      </c>
      <c r="F383" s="0" t="inlineStr">
        <is>
          <t xml:space="preserve">TVA deductible sur ABS</t>
        </is>
      </c>
      <c r="G383" s="0" t="inlineStr">
        <is>
          <t xml:space="preserve">F003-2291</t>
        </is>
      </c>
      <c r="H383" s="0" t="inlineStr">
        <is>
          <t xml:space="preserve">Facture Vernis et Finitions F003-2291</t>
        </is>
      </c>
      <c r="I383" s="8">
        <v>2400</v>
      </c>
      <c r="J383" s="8">
        <v>0</v>
      </c>
      <c r="K383" s="0"/>
      <c r="L383" s="0"/>
      <c r="M383" s="8">
        <f>I383-J383</f>
      </c>
      <c r="N383" s="0" t="inlineStr">
        <is>
          <t xml:space="preserve">2025-05</t>
        </is>
      </c>
      <c r="O383" s="0">
        <f>INDEX(Journaux!$E$5:$E$18,MATCH("2025|"&amp;A383,Journaux!$A$5:$A$18,0))</f>
      </c>
      <c r="P383" s="0">
        <f>INDEX(Comptes!$K$5:$K$42,MATCH(E383,Comptes!$A$5:$A$42,0))</f>
      </c>
      <c r="Q383" s="0" t="inlineStr">
        <is>
          <t xml:space="preserve">4</t>
        </is>
      </c>
    </row>
    <row r="384">
      <c r="A384" s="4" t="inlineStr">
        <is>
          <t xml:space="preserve">AC</t>
        </is>
      </c>
      <c r="B384" s="0" t="inlineStr">
        <is>
          <t xml:space="preserve">Journal des achats</t>
        </is>
      </c>
      <c r="C384" s="0" t="inlineStr">
        <is>
          <t xml:space="preserve">AC00078</t>
        </is>
      </c>
      <c r="D384" s="10">
        <v>45799</v>
      </c>
      <c r="E384" s="4" t="inlineStr">
        <is>
          <t xml:space="preserve">401000</t>
        </is>
      </c>
      <c r="F384" s="0" t="inlineStr">
        <is>
          <t xml:space="preserve">Fournisseurs</t>
        </is>
      </c>
      <c r="G384" s="0" t="inlineStr">
        <is>
          <t xml:space="preserve">F003-2291</t>
        </is>
      </c>
      <c r="H384" s="0" t="inlineStr">
        <is>
          <t xml:space="preserve">Facture Vernis et Finitions F003-2291</t>
        </is>
      </c>
      <c r="I384" s="8">
        <v>0</v>
      </c>
      <c r="J384" s="8">
        <v>14400</v>
      </c>
      <c r="K384" s="0"/>
      <c r="L384" s="0" t="inlineStr">
        <is>
          <t xml:space="preserve">Vernis et Finitions</t>
        </is>
      </c>
      <c r="M384" s="8">
        <f>I384-J384</f>
      </c>
      <c r="N384" s="0" t="inlineStr">
        <is>
          <t xml:space="preserve">2025-05</t>
        </is>
      </c>
      <c r="O384" s="0">
        <f>INDEX(Journaux!$E$5:$E$18,MATCH("2025|"&amp;A384,Journaux!$A$5:$A$18,0))</f>
      </c>
      <c r="P384" s="0">
        <f>INDEX(Comptes!$K$5:$K$42,MATCH(E384,Comptes!$A$5:$A$42,0))</f>
      </c>
      <c r="Q384" s="0" t="inlineStr">
        <is>
          <t xml:space="preserve">4</t>
        </is>
      </c>
      <c r="R384" s="7" t="inlineStr">
        <is>
          <t xml:space="preserve">401000|F003</t>
        </is>
      </c>
    </row>
    <row r="385">
      <c r="A385" s="4" t="inlineStr">
        <is>
          <t xml:space="preserve">AC</t>
        </is>
      </c>
      <c r="B385" s="0" t="inlineStr">
        <is>
          <t xml:space="preserve">Journal des achats</t>
        </is>
      </c>
      <c r="C385" s="0" t="inlineStr">
        <is>
          <t xml:space="preserve">AC00029</t>
        </is>
      </c>
      <c r="D385" s="10">
        <v>45803</v>
      </c>
      <c r="E385" s="4" t="inlineStr">
        <is>
          <t xml:space="preserve">601000</t>
        </is>
      </c>
      <c r="F385" s="0" t="inlineStr">
        <is>
          <t xml:space="preserve">Achats de matieres premieres</t>
        </is>
      </c>
      <c r="G385" s="0" t="inlineStr">
        <is>
          <t xml:space="preserve">F002-2025052</t>
        </is>
      </c>
      <c r="H385" s="0" t="inlineStr">
        <is>
          <t xml:space="preserve">Facture Quincaillerie Pro Est F002-2025052</t>
        </is>
      </c>
      <c r="I385" s="8">
        <v>33046.01</v>
      </c>
      <c r="J385" s="8">
        <v>0</v>
      </c>
      <c r="K385" s="0"/>
      <c r="L385" s="0"/>
      <c r="M385" s="8">
        <f>I385-J385</f>
      </c>
      <c r="N385" s="0" t="inlineStr">
        <is>
          <t xml:space="preserve">2025-05</t>
        </is>
      </c>
      <c r="O385" s="0">
        <f>INDEX(Journaux!$E$5:$E$18,MATCH("2025|"&amp;A385,Journaux!$A$5:$A$18,0))</f>
      </c>
      <c r="P385" s="0">
        <f>INDEX(Comptes!$K$5:$K$42,MATCH(E385,Comptes!$A$5:$A$42,0))</f>
      </c>
      <c r="Q385" s="0" t="inlineStr">
        <is>
          <t xml:space="preserve">6</t>
        </is>
      </c>
    </row>
    <row r="386">
      <c r="A386" s="4" t="inlineStr">
        <is>
          <t xml:space="preserve">AC</t>
        </is>
      </c>
      <c r="B386" s="0" t="inlineStr">
        <is>
          <t xml:space="preserve">Journal des achats</t>
        </is>
      </c>
      <c r="C386" s="0" t="inlineStr">
        <is>
          <t xml:space="preserve">AC00029</t>
        </is>
      </c>
      <c r="D386" s="10">
        <v>45803</v>
      </c>
      <c r="E386" s="4" t="inlineStr">
        <is>
          <t xml:space="preserve">445660</t>
        </is>
      </c>
      <c r="F386" s="0" t="inlineStr">
        <is>
          <t xml:space="preserve">TVA deductible sur ABS</t>
        </is>
      </c>
      <c r="G386" s="0" t="inlineStr">
        <is>
          <t xml:space="preserve">F002-2025052</t>
        </is>
      </c>
      <c r="H386" s="0" t="inlineStr">
        <is>
          <t xml:space="preserve">Facture Quincaillerie Pro Est F002-2025052</t>
        </is>
      </c>
      <c r="I386" s="8">
        <v>6609.2</v>
      </c>
      <c r="J386" s="8">
        <v>0</v>
      </c>
      <c r="K386" s="0"/>
      <c r="L386" s="0"/>
      <c r="M386" s="8">
        <f>I386-J386</f>
      </c>
      <c r="N386" s="0" t="inlineStr">
        <is>
          <t xml:space="preserve">2025-05</t>
        </is>
      </c>
      <c r="O386" s="0">
        <f>INDEX(Journaux!$E$5:$E$18,MATCH("2025|"&amp;A386,Journaux!$A$5:$A$18,0))</f>
      </c>
      <c r="P386" s="0">
        <f>INDEX(Comptes!$K$5:$K$42,MATCH(E386,Comptes!$A$5:$A$42,0))</f>
      </c>
      <c r="Q386" s="0" t="inlineStr">
        <is>
          <t xml:space="preserve">4</t>
        </is>
      </c>
    </row>
    <row r="387">
      <c r="A387" s="4" t="inlineStr">
        <is>
          <t xml:space="preserve">AC</t>
        </is>
      </c>
      <c r="B387" s="0" t="inlineStr">
        <is>
          <t xml:space="preserve">Journal des achats</t>
        </is>
      </c>
      <c r="C387" s="0" t="inlineStr">
        <is>
          <t xml:space="preserve">AC00029</t>
        </is>
      </c>
      <c r="D387" s="10">
        <v>45803</v>
      </c>
      <c r="E387" s="4" t="inlineStr">
        <is>
          <t xml:space="preserve">401000</t>
        </is>
      </c>
      <c r="F387" s="0" t="inlineStr">
        <is>
          <t xml:space="preserve">Fournisseurs</t>
        </is>
      </c>
      <c r="G387" s="0" t="inlineStr">
        <is>
          <t xml:space="preserve">F002-2025052</t>
        </is>
      </c>
      <c r="H387" s="0" t="inlineStr">
        <is>
          <t xml:space="preserve">Facture Quincaillerie Pro Est F002-2025052</t>
        </is>
      </c>
      <c r="I387" s="8">
        <v>0</v>
      </c>
      <c r="J387" s="8">
        <v>39655.21</v>
      </c>
      <c r="K387" s="0" t="inlineStr">
        <is>
          <t xml:space="preserve">ACK</t>
        </is>
      </c>
      <c r="L387" s="0" t="inlineStr">
        <is>
          <t xml:space="preserve">Quincaillerie Pro Est</t>
        </is>
      </c>
      <c r="M387" s="8">
        <f>I387-J387</f>
      </c>
      <c r="N387" s="0" t="inlineStr">
        <is>
          <t xml:space="preserve">2025-05</t>
        </is>
      </c>
      <c r="O387" s="0">
        <f>INDEX(Journaux!$E$5:$E$18,MATCH("2025|"&amp;A387,Journaux!$A$5:$A$18,0))</f>
      </c>
      <c r="P387" s="0">
        <f>INDEX(Comptes!$K$5:$K$42,MATCH(E387,Comptes!$A$5:$A$42,0))</f>
      </c>
      <c r="Q387" s="0" t="inlineStr">
        <is>
          <t xml:space="preserve">4</t>
        </is>
      </c>
      <c r="R387" s="7" t="inlineStr">
        <is>
          <t xml:space="preserve">401000|F002</t>
        </is>
      </c>
    </row>
    <row r="388">
      <c r="A388" s="4" t="inlineStr">
        <is>
          <t xml:space="preserve">BQ</t>
        </is>
      </c>
      <c r="B388" s="0" t="inlineStr">
        <is>
          <t xml:space="preserve">Banque Fictive</t>
        </is>
      </c>
      <c r="C388" s="0" t="inlineStr">
        <is>
          <t xml:space="preserve">BQ00079</t>
        </is>
      </c>
      <c r="D388" s="10">
        <v>45803</v>
      </c>
      <c r="E388" s="4" t="inlineStr">
        <is>
          <t xml:space="preserve">512000</t>
        </is>
      </c>
      <c r="F388" s="0" t="inlineStr">
        <is>
          <t xml:space="preserve">Banque Fictive</t>
        </is>
      </c>
      <c r="G388" s="0" t="inlineStr">
        <is>
          <t xml:space="preserve">ENC-FA2025-0012</t>
        </is>
      </c>
      <c r="H388" s="0" t="inlineStr">
        <is>
          <t xml:space="preserve">Reglement client Hotel Les Tilleuls FA2025-0012</t>
        </is>
      </c>
      <c r="I388" s="8">
        <v>23047.8</v>
      </c>
      <c r="J388" s="8">
        <v>0</v>
      </c>
      <c r="K388" s="0"/>
      <c r="L388" s="0"/>
      <c r="M388" s="8">
        <f>I388-J388</f>
      </c>
      <c r="N388" s="0" t="inlineStr">
        <is>
          <t xml:space="preserve">2025-05</t>
        </is>
      </c>
      <c r="O388" s="0">
        <f>INDEX(Journaux!$E$5:$E$18,MATCH("2025|"&amp;A388,Journaux!$A$5:$A$18,0))</f>
      </c>
      <c r="P388" s="0">
        <f>INDEX(Comptes!$K$5:$K$42,MATCH(E388,Comptes!$A$5:$A$42,0))</f>
      </c>
      <c r="Q388" s="0" t="inlineStr">
        <is>
          <t xml:space="preserve">5</t>
        </is>
      </c>
    </row>
    <row r="389">
      <c r="A389" s="4" t="inlineStr">
        <is>
          <t xml:space="preserve">BQ</t>
        </is>
      </c>
      <c r="B389" s="0" t="inlineStr">
        <is>
          <t xml:space="preserve">Banque Fictive</t>
        </is>
      </c>
      <c r="C389" s="0" t="inlineStr">
        <is>
          <t xml:space="preserve">BQ00079</t>
        </is>
      </c>
      <c r="D389" s="10">
        <v>45803</v>
      </c>
      <c r="E389" s="4" t="inlineStr">
        <is>
          <t xml:space="preserve">411000</t>
        </is>
      </c>
      <c r="F389" s="0" t="inlineStr">
        <is>
          <t xml:space="preserve">Clients</t>
        </is>
      </c>
      <c r="G389" s="0" t="inlineStr">
        <is>
          <t xml:space="preserve">ENC-FA2025-0012</t>
        </is>
      </c>
      <c r="H389" s="0" t="inlineStr">
        <is>
          <t xml:space="preserve">Reglement client Hotel Les Tilleuls FA2025-0012</t>
        </is>
      </c>
      <c r="I389" s="8">
        <v>0</v>
      </c>
      <c r="J389" s="8">
        <v>23047.8</v>
      </c>
      <c r="K389" s="0" t="inlineStr">
        <is>
          <t xml:space="preserve">AAT</t>
        </is>
      </c>
      <c r="L389" s="0" t="inlineStr">
        <is>
          <t xml:space="preserve">Hotel Les Tilleuls</t>
        </is>
      </c>
      <c r="M389" s="8">
        <f>I389-J389</f>
      </c>
      <c r="N389" s="0" t="inlineStr">
        <is>
          <t xml:space="preserve">2025-05</t>
        </is>
      </c>
      <c r="O389" s="0">
        <f>INDEX(Journaux!$E$5:$E$18,MATCH("2025|"&amp;A389,Journaux!$A$5:$A$18,0))</f>
      </c>
      <c r="P389" s="0">
        <f>INDEX(Comptes!$K$5:$K$42,MATCH(E389,Comptes!$A$5:$A$42,0))</f>
      </c>
      <c r="Q389" s="0" t="inlineStr">
        <is>
          <t xml:space="preserve">4</t>
        </is>
      </c>
      <c r="R389" s="7" t="inlineStr">
        <is>
          <t xml:space="preserve">411000|C001</t>
        </is>
      </c>
    </row>
    <row r="390">
      <c r="A390" s="4" t="inlineStr">
        <is>
          <t xml:space="preserve">AC</t>
        </is>
      </c>
      <c r="B390" s="0" t="inlineStr">
        <is>
          <t xml:space="preserve">Journal des achats</t>
        </is>
      </c>
      <c r="C390" s="0" t="inlineStr">
        <is>
          <t xml:space="preserve">AC00028</t>
        </is>
      </c>
      <c r="D390" s="10">
        <v>45805</v>
      </c>
      <c r="E390" s="4" t="inlineStr">
        <is>
          <t xml:space="preserve">601000</t>
        </is>
      </c>
      <c r="F390" s="0" t="inlineStr">
        <is>
          <t xml:space="preserve">Achats de matieres premieres</t>
        </is>
      </c>
      <c r="G390" s="0" t="inlineStr">
        <is>
          <t xml:space="preserve">F001-2025051</t>
        </is>
      </c>
      <c r="H390" s="0" t="inlineStr">
        <is>
          <t xml:space="preserve">Facture Scierie du Nord F001-2025051</t>
        </is>
      </c>
      <c r="I390" s="8">
        <v>24528.99</v>
      </c>
      <c r="J390" s="8">
        <v>0</v>
      </c>
      <c r="K390" s="0"/>
      <c r="L390" s="0"/>
      <c r="M390" s="8">
        <f>I390-J390</f>
      </c>
      <c r="N390" s="0" t="inlineStr">
        <is>
          <t xml:space="preserve">2025-05</t>
        </is>
      </c>
      <c r="O390" s="0">
        <f>INDEX(Journaux!$E$5:$E$18,MATCH("2025|"&amp;A390,Journaux!$A$5:$A$18,0))</f>
      </c>
      <c r="P390" s="0">
        <f>INDEX(Comptes!$K$5:$K$42,MATCH(E390,Comptes!$A$5:$A$42,0))</f>
      </c>
      <c r="Q390" s="0" t="inlineStr">
        <is>
          <t xml:space="preserve">6</t>
        </is>
      </c>
    </row>
    <row r="391">
      <c r="A391" s="4" t="inlineStr">
        <is>
          <t xml:space="preserve">AC</t>
        </is>
      </c>
      <c r="B391" s="0" t="inlineStr">
        <is>
          <t xml:space="preserve">Journal des achats</t>
        </is>
      </c>
      <c r="C391" s="0" t="inlineStr">
        <is>
          <t xml:space="preserve">AC00028</t>
        </is>
      </c>
      <c r="D391" s="10">
        <v>45805</v>
      </c>
      <c r="E391" s="4" t="inlineStr">
        <is>
          <t xml:space="preserve">445660</t>
        </is>
      </c>
      <c r="F391" s="0" t="inlineStr">
        <is>
          <t xml:space="preserve">TVA deductible sur ABS</t>
        </is>
      </c>
      <c r="G391" s="0" t="inlineStr">
        <is>
          <t xml:space="preserve">F001-2025051</t>
        </is>
      </c>
      <c r="H391" s="0" t="inlineStr">
        <is>
          <t xml:space="preserve">Facture Scierie du Nord F001-2025051</t>
        </is>
      </c>
      <c r="I391" s="8">
        <v>4905.8</v>
      </c>
      <c r="J391" s="8">
        <v>0</v>
      </c>
      <c r="K391" s="0"/>
      <c r="L391" s="0"/>
      <c r="M391" s="8">
        <f>I391-J391</f>
      </c>
      <c r="N391" s="0" t="inlineStr">
        <is>
          <t xml:space="preserve">2025-05</t>
        </is>
      </c>
      <c r="O391" s="0">
        <f>INDEX(Journaux!$E$5:$E$18,MATCH("2025|"&amp;A391,Journaux!$A$5:$A$18,0))</f>
      </c>
      <c r="P391" s="0">
        <f>INDEX(Comptes!$K$5:$K$42,MATCH(E391,Comptes!$A$5:$A$42,0))</f>
      </c>
      <c r="Q391" s="0" t="inlineStr">
        <is>
          <t xml:space="preserve">4</t>
        </is>
      </c>
    </row>
    <row r="392">
      <c r="A392" s="4" t="inlineStr">
        <is>
          <t xml:space="preserve">AC</t>
        </is>
      </c>
      <c r="B392" s="0" t="inlineStr">
        <is>
          <t xml:space="preserve">Journal des achats</t>
        </is>
      </c>
      <c r="C392" s="0" t="inlineStr">
        <is>
          <t xml:space="preserve">AC00028</t>
        </is>
      </c>
      <c r="D392" s="10">
        <v>45805</v>
      </c>
      <c r="E392" s="4" t="inlineStr">
        <is>
          <t xml:space="preserve">401000</t>
        </is>
      </c>
      <c r="F392" s="0" t="inlineStr">
        <is>
          <t xml:space="preserve">Fournisseurs</t>
        </is>
      </c>
      <c r="G392" s="0" t="inlineStr">
        <is>
          <t xml:space="preserve">F001-2025051</t>
        </is>
      </c>
      <c r="H392" s="0" t="inlineStr">
        <is>
          <t xml:space="preserve">Facture Scierie du Nord F001-2025051</t>
        </is>
      </c>
      <c r="I392" s="8">
        <v>0</v>
      </c>
      <c r="J392" s="8">
        <v>29434.79</v>
      </c>
      <c r="K392" s="0" t="inlineStr">
        <is>
          <t xml:space="preserve">ACJ</t>
        </is>
      </c>
      <c r="L392" s="0" t="inlineStr">
        <is>
          <t xml:space="preserve">Scierie du Nord</t>
        </is>
      </c>
      <c r="M392" s="8">
        <f>I392-J392</f>
      </c>
      <c r="N392" s="0" t="inlineStr">
        <is>
          <t xml:space="preserve">2025-05</t>
        </is>
      </c>
      <c r="O392" s="0">
        <f>INDEX(Journaux!$E$5:$E$18,MATCH("2025|"&amp;A392,Journaux!$A$5:$A$18,0))</f>
      </c>
      <c r="P392" s="0">
        <f>INDEX(Comptes!$K$5:$K$42,MATCH(E392,Comptes!$A$5:$A$42,0))</f>
      </c>
      <c r="Q392" s="0" t="inlineStr">
        <is>
          <t xml:space="preserve">4</t>
        </is>
      </c>
      <c r="R392" s="7" t="inlineStr">
        <is>
          <t xml:space="preserve">401000|F001</t>
        </is>
      </c>
    </row>
    <row r="393">
      <c r="A393" s="4" t="inlineStr">
        <is>
          <t xml:space="preserve">BQ</t>
        </is>
      </c>
      <c r="B393" s="0" t="inlineStr">
        <is>
          <t xml:space="preserve">Banque Fictive</t>
        </is>
      </c>
      <c r="C393" s="0" t="inlineStr">
        <is>
          <t xml:space="preserve">BQ00081</t>
        </is>
      </c>
      <c r="D393" s="10">
        <v>45806</v>
      </c>
      <c r="E393" s="4" t="inlineStr">
        <is>
          <t xml:space="preserve">512000</t>
        </is>
      </c>
      <c r="F393" s="0" t="inlineStr">
        <is>
          <t xml:space="preserve">Banque Fictive</t>
        </is>
      </c>
      <c r="G393" s="0" t="inlineStr">
        <is>
          <t xml:space="preserve">ENC-FA2025-0014</t>
        </is>
      </c>
      <c r="H393" s="0" t="inlineStr">
        <is>
          <t xml:space="preserve">Reglement client Coworking Atelier 9 FA2025-0014</t>
        </is>
      </c>
      <c r="I393" s="8">
        <v>32805.62</v>
      </c>
      <c r="J393" s="8">
        <v>0</v>
      </c>
      <c r="K393" s="0"/>
      <c r="L393" s="0"/>
      <c r="M393" s="8">
        <f>I393-J393</f>
      </c>
      <c r="N393" s="0" t="inlineStr">
        <is>
          <t xml:space="preserve">2025-05</t>
        </is>
      </c>
      <c r="O393" s="0">
        <f>INDEX(Journaux!$E$5:$E$18,MATCH("2025|"&amp;A393,Journaux!$A$5:$A$18,0))</f>
      </c>
      <c r="P393" s="0">
        <f>INDEX(Comptes!$K$5:$K$42,MATCH(E393,Comptes!$A$5:$A$42,0))</f>
      </c>
      <c r="Q393" s="0" t="inlineStr">
        <is>
          <t xml:space="preserve">5</t>
        </is>
      </c>
    </row>
    <row r="394">
      <c r="A394" s="4" t="inlineStr">
        <is>
          <t xml:space="preserve">BQ</t>
        </is>
      </c>
      <c r="B394" s="0" t="inlineStr">
        <is>
          <t xml:space="preserve">Banque Fictive</t>
        </is>
      </c>
      <c r="C394" s="0" t="inlineStr">
        <is>
          <t xml:space="preserve">BQ00081</t>
        </is>
      </c>
      <c r="D394" s="10">
        <v>45806</v>
      </c>
      <c r="E394" s="4" t="inlineStr">
        <is>
          <t xml:space="preserve">411000</t>
        </is>
      </c>
      <c r="F394" s="0" t="inlineStr">
        <is>
          <t xml:space="preserve">Clients</t>
        </is>
      </c>
      <c r="G394" s="0" t="inlineStr">
        <is>
          <t xml:space="preserve">ENC-FA2025-0014</t>
        </is>
      </c>
      <c r="H394" s="0" t="inlineStr">
        <is>
          <t xml:space="preserve">Reglement client Coworking Atelier 9 FA2025-0014</t>
        </is>
      </c>
      <c r="I394" s="8">
        <v>0</v>
      </c>
      <c r="J394" s="8">
        <v>32805.62</v>
      </c>
      <c r="K394" s="0" t="inlineStr">
        <is>
          <t xml:space="preserve">AAV</t>
        </is>
      </c>
      <c r="L394" s="0" t="inlineStr">
        <is>
          <t xml:space="preserve">Coworking Atelier 9</t>
        </is>
      </c>
      <c r="M394" s="8">
        <f>I394-J394</f>
      </c>
      <c r="N394" s="0" t="inlineStr">
        <is>
          <t xml:space="preserve">2025-05</t>
        </is>
      </c>
      <c r="O394" s="0">
        <f>INDEX(Journaux!$E$5:$E$18,MATCH("2025|"&amp;A394,Journaux!$A$5:$A$18,0))</f>
      </c>
      <c r="P394" s="0">
        <f>INDEX(Comptes!$K$5:$K$42,MATCH(E394,Comptes!$A$5:$A$42,0))</f>
      </c>
      <c r="Q394" s="0" t="inlineStr">
        <is>
          <t xml:space="preserve">4</t>
        </is>
      </c>
      <c r="R394" s="7" t="inlineStr">
        <is>
          <t xml:space="preserve">411000|C008</t>
        </is>
      </c>
    </row>
    <row r="395">
      <c r="A395" s="4" t="inlineStr">
        <is>
          <t xml:space="preserve">BQ</t>
        </is>
      </c>
      <c r="B395" s="0" t="inlineStr">
        <is>
          <t xml:space="preserve">Banque Fictive</t>
        </is>
      </c>
      <c r="C395" s="0" t="inlineStr">
        <is>
          <t xml:space="preserve">BQ00013</t>
        </is>
      </c>
      <c r="D395" s="10">
        <v>45808</v>
      </c>
      <c r="E395" s="4" t="inlineStr">
        <is>
          <t xml:space="preserve">421000</t>
        </is>
      </c>
      <c r="F395" s="0" t="inlineStr">
        <is>
          <t xml:space="preserve">Personnel remunerations dues</t>
        </is>
      </c>
      <c r="G395" s="0" t="inlineStr">
        <is>
          <t xml:space="preserve">VIRSAL202505</t>
        </is>
      </c>
      <c r="H395" s="0" t="inlineStr">
        <is>
          <t xml:space="preserve">Virement salaires 05/2025</t>
        </is>
      </c>
      <c r="I395" s="8">
        <v>39448.84</v>
      </c>
      <c r="J395" s="8">
        <v>0</v>
      </c>
      <c r="K395" s="0"/>
      <c r="L395" s="0"/>
      <c r="M395" s="8">
        <f>I395-J395</f>
      </c>
      <c r="N395" s="0" t="inlineStr">
        <is>
          <t xml:space="preserve">2025-05</t>
        </is>
      </c>
      <c r="O395" s="0">
        <f>INDEX(Journaux!$E$5:$E$18,MATCH("2025|"&amp;A395,Journaux!$A$5:$A$18,0))</f>
      </c>
      <c r="P395" s="0">
        <f>INDEX(Comptes!$K$5:$K$42,MATCH(E395,Comptes!$A$5:$A$42,0))</f>
      </c>
      <c r="Q395" s="0" t="inlineStr">
        <is>
          <t xml:space="preserve">4</t>
        </is>
      </c>
    </row>
    <row r="396">
      <c r="A396" s="4" t="inlineStr">
        <is>
          <t xml:space="preserve">BQ</t>
        </is>
      </c>
      <c r="B396" s="0" t="inlineStr">
        <is>
          <t xml:space="preserve">Banque Fictive</t>
        </is>
      </c>
      <c r="C396" s="0" t="inlineStr">
        <is>
          <t xml:space="preserve">BQ00013</t>
        </is>
      </c>
      <c r="D396" s="10">
        <v>45808</v>
      </c>
      <c r="E396" s="4" t="inlineStr">
        <is>
          <t xml:space="preserve">512000</t>
        </is>
      </c>
      <c r="F396" s="0" t="inlineStr">
        <is>
          <t xml:space="preserve">Banque Fictive</t>
        </is>
      </c>
      <c r="G396" s="0" t="inlineStr">
        <is>
          <t xml:space="preserve">VIRSAL202505</t>
        </is>
      </c>
      <c r="H396" s="0" t="inlineStr">
        <is>
          <t xml:space="preserve">Virement salaires 05/2025</t>
        </is>
      </c>
      <c r="I396" s="8">
        <v>0</v>
      </c>
      <c r="J396" s="8">
        <v>39448.84</v>
      </c>
      <c r="K396" s="0"/>
      <c r="L396" s="0"/>
      <c r="M396" s="8">
        <f>I396-J396</f>
      </c>
      <c r="N396" s="0" t="inlineStr">
        <is>
          <t xml:space="preserve">2025-05</t>
        </is>
      </c>
      <c r="O396" s="0">
        <f>INDEX(Journaux!$E$5:$E$18,MATCH("2025|"&amp;A396,Journaux!$A$5:$A$18,0))</f>
      </c>
      <c r="P396" s="0">
        <f>INDEX(Comptes!$K$5:$K$42,MATCH(E396,Comptes!$A$5:$A$42,0))</f>
      </c>
      <c r="Q396" s="0" t="inlineStr">
        <is>
          <t xml:space="preserve">5</t>
        </is>
      </c>
    </row>
    <row r="397">
      <c r="A397" s="4" t="inlineStr">
        <is>
          <t xml:space="preserve">BQ</t>
        </is>
      </c>
      <c r="B397" s="0" t="inlineStr">
        <is>
          <t xml:space="preserve">Banque Fictive</t>
        </is>
      </c>
      <c r="C397" s="0" t="inlineStr">
        <is>
          <t xml:space="preserve">BQ00015</t>
        </is>
      </c>
      <c r="D397" s="10">
        <v>45808</v>
      </c>
      <c r="E397" s="4" t="inlineStr">
        <is>
          <t xml:space="preserve">627000</t>
        </is>
      </c>
      <c r="F397" s="0" t="inlineStr">
        <is>
          <t xml:space="preserve">Services bancaires</t>
        </is>
      </c>
      <c r="G397" s="0" t="inlineStr">
        <is>
          <t xml:space="preserve">FRB202505</t>
        </is>
      </c>
      <c r="H397" s="0" t="inlineStr">
        <is>
          <t xml:space="preserve">Frais bancaires 05/2025</t>
        </is>
      </c>
      <c r="I397" s="8">
        <v>85</v>
      </c>
      <c r="J397" s="8">
        <v>0</v>
      </c>
      <c r="K397" s="0"/>
      <c r="L397" s="0"/>
      <c r="M397" s="8">
        <f>I397-J397</f>
      </c>
      <c r="N397" s="0" t="inlineStr">
        <is>
          <t xml:space="preserve">2025-05</t>
        </is>
      </c>
      <c r="O397" s="0">
        <f>INDEX(Journaux!$E$5:$E$18,MATCH("2025|"&amp;A397,Journaux!$A$5:$A$18,0))</f>
      </c>
      <c r="P397" s="0">
        <f>INDEX(Comptes!$K$5:$K$42,MATCH(E397,Comptes!$A$5:$A$42,0))</f>
      </c>
      <c r="Q397" s="0" t="inlineStr">
        <is>
          <t xml:space="preserve">6</t>
        </is>
      </c>
    </row>
    <row r="398">
      <c r="A398" s="4" t="inlineStr">
        <is>
          <t xml:space="preserve">BQ</t>
        </is>
      </c>
      <c r="B398" s="0" t="inlineStr">
        <is>
          <t xml:space="preserve">Banque Fictive</t>
        </is>
      </c>
      <c r="C398" s="0" t="inlineStr">
        <is>
          <t xml:space="preserve">BQ00015</t>
        </is>
      </c>
      <c r="D398" s="10">
        <v>45808</v>
      </c>
      <c r="E398" s="4" t="inlineStr">
        <is>
          <t xml:space="preserve">512000</t>
        </is>
      </c>
      <c r="F398" s="0" t="inlineStr">
        <is>
          <t xml:space="preserve">Banque Fictive</t>
        </is>
      </c>
      <c r="G398" s="0" t="inlineStr">
        <is>
          <t xml:space="preserve">FRB202505</t>
        </is>
      </c>
      <c r="H398" s="0" t="inlineStr">
        <is>
          <t xml:space="preserve">Frais bancaires 05/2025</t>
        </is>
      </c>
      <c r="I398" s="8">
        <v>0</v>
      </c>
      <c r="J398" s="8">
        <v>85</v>
      </c>
      <c r="K398" s="0"/>
      <c r="L398" s="0"/>
      <c r="M398" s="8">
        <f>I398-J398</f>
      </c>
      <c r="N398" s="0" t="inlineStr">
        <is>
          <t xml:space="preserve">2025-05</t>
        </is>
      </c>
      <c r="O398" s="0">
        <f>INDEX(Journaux!$E$5:$E$18,MATCH("2025|"&amp;A398,Journaux!$A$5:$A$18,0))</f>
      </c>
      <c r="P398" s="0">
        <f>INDEX(Comptes!$K$5:$K$42,MATCH(E398,Comptes!$A$5:$A$42,0))</f>
      </c>
      <c r="Q398" s="0" t="inlineStr">
        <is>
          <t xml:space="preserve">5</t>
        </is>
      </c>
    </row>
    <row r="399">
      <c r="A399" s="4" t="inlineStr">
        <is>
          <t xml:space="preserve">OD</t>
        </is>
      </c>
      <c r="B399" s="0" t="inlineStr">
        <is>
          <t xml:space="preserve">Operations diverses</t>
        </is>
      </c>
      <c r="C399" s="0" t="inlineStr">
        <is>
          <t xml:space="preserve">OD00005</t>
        </is>
      </c>
      <c r="D399" s="10">
        <v>45808</v>
      </c>
      <c r="E399" s="4" t="inlineStr">
        <is>
          <t xml:space="preserve">445710</t>
        </is>
      </c>
      <c r="F399" s="0" t="inlineStr">
        <is>
          <t xml:space="preserve">TVA collectee</t>
        </is>
      </c>
      <c r="G399" s="0" t="inlineStr">
        <is>
          <t xml:space="preserve">CA3-202505</t>
        </is>
      </c>
      <c r="H399" s="0" t="inlineStr">
        <is>
          <t xml:space="preserve">Declaration TVA 05/2025</t>
        </is>
      </c>
      <c r="I399" s="8">
        <v>24500</v>
      </c>
      <c r="J399" s="8">
        <v>0</v>
      </c>
      <c r="K399" s="0"/>
      <c r="L399" s="0"/>
      <c r="M399" s="8">
        <f>I399-J399</f>
      </c>
      <c r="N399" s="0" t="inlineStr">
        <is>
          <t xml:space="preserve">2025-05</t>
        </is>
      </c>
      <c r="O399" s="0">
        <f>INDEX(Journaux!$E$5:$E$18,MATCH("2025|"&amp;A399,Journaux!$A$5:$A$18,0))</f>
      </c>
      <c r="P399" s="0">
        <f>INDEX(Comptes!$K$5:$K$42,MATCH(E399,Comptes!$A$5:$A$42,0))</f>
      </c>
      <c r="Q399" s="0" t="inlineStr">
        <is>
          <t xml:space="preserve">4</t>
        </is>
      </c>
    </row>
    <row r="400">
      <c r="A400" s="4" t="inlineStr">
        <is>
          <t xml:space="preserve">OD</t>
        </is>
      </c>
      <c r="B400" s="0" t="inlineStr">
        <is>
          <t xml:space="preserve">Operations diverses</t>
        </is>
      </c>
      <c r="C400" s="0" t="inlineStr">
        <is>
          <t xml:space="preserve">OD00005</t>
        </is>
      </c>
      <c r="D400" s="10">
        <v>45808</v>
      </c>
      <c r="E400" s="4" t="inlineStr">
        <is>
          <t xml:space="preserve">445660</t>
        </is>
      </c>
      <c r="F400" s="0" t="inlineStr">
        <is>
          <t xml:space="preserve">TVA deductible sur ABS</t>
        </is>
      </c>
      <c r="G400" s="0" t="inlineStr">
        <is>
          <t xml:space="preserve">CA3-202505</t>
        </is>
      </c>
      <c r="H400" s="0" t="inlineStr">
        <is>
          <t xml:space="preserve">Declaration TVA 05/2025</t>
        </is>
      </c>
      <c r="I400" s="8">
        <v>0</v>
      </c>
      <c r="J400" s="8">
        <v>13882.77</v>
      </c>
      <c r="K400" s="0"/>
      <c r="L400" s="0"/>
      <c r="M400" s="8">
        <f>I400-J400</f>
      </c>
      <c r="N400" s="0" t="inlineStr">
        <is>
          <t xml:space="preserve">2025-05</t>
        </is>
      </c>
      <c r="O400" s="0">
        <f>INDEX(Journaux!$E$5:$E$18,MATCH("2025|"&amp;A400,Journaux!$A$5:$A$18,0))</f>
      </c>
      <c r="P400" s="0">
        <f>INDEX(Comptes!$K$5:$K$42,MATCH(E400,Comptes!$A$5:$A$42,0))</f>
      </c>
      <c r="Q400" s="0" t="inlineStr">
        <is>
          <t xml:space="preserve">4</t>
        </is>
      </c>
    </row>
    <row r="401">
      <c r="A401" s="4" t="inlineStr">
        <is>
          <t xml:space="preserve">OD</t>
        </is>
      </c>
      <c r="B401" s="0" t="inlineStr">
        <is>
          <t xml:space="preserve">Operations diverses</t>
        </is>
      </c>
      <c r="C401" s="0" t="inlineStr">
        <is>
          <t xml:space="preserve">OD00005</t>
        </is>
      </c>
      <c r="D401" s="10">
        <v>45808</v>
      </c>
      <c r="E401" s="4" t="inlineStr">
        <is>
          <t xml:space="preserve">445510</t>
        </is>
      </c>
      <c r="F401" s="0" t="inlineStr">
        <is>
          <t xml:space="preserve">TVA a decaisser</t>
        </is>
      </c>
      <c r="G401" s="0" t="inlineStr">
        <is>
          <t xml:space="preserve">CA3-202505</t>
        </is>
      </c>
      <c r="H401" s="0" t="inlineStr">
        <is>
          <t xml:space="preserve">Declaration TVA 05/2025</t>
        </is>
      </c>
      <c r="I401" s="8">
        <v>0</v>
      </c>
      <c r="J401" s="8">
        <v>10617.23</v>
      </c>
      <c r="K401" s="0"/>
      <c r="L401" s="0"/>
      <c r="M401" s="8">
        <f>I401-J401</f>
      </c>
      <c r="N401" s="0" t="inlineStr">
        <is>
          <t xml:space="preserve">2025-05</t>
        </is>
      </c>
      <c r="O401" s="0">
        <f>INDEX(Journaux!$E$5:$E$18,MATCH("2025|"&amp;A401,Journaux!$A$5:$A$18,0))</f>
      </c>
      <c r="P401" s="0">
        <f>INDEX(Comptes!$K$5:$K$42,MATCH(E401,Comptes!$A$5:$A$42,0))</f>
      </c>
      <c r="Q401" s="0" t="inlineStr">
        <is>
          <t xml:space="preserve">4</t>
        </is>
      </c>
    </row>
    <row r="402">
      <c r="A402" s="4" t="inlineStr">
        <is>
          <t xml:space="preserve">OD</t>
        </is>
      </c>
      <c r="B402" s="0" t="inlineStr">
        <is>
          <t xml:space="preserve">Operations diverses</t>
        </is>
      </c>
      <c r="C402" s="0" t="inlineStr">
        <is>
          <t xml:space="preserve">OD00017</t>
        </is>
      </c>
      <c r="D402" s="10">
        <v>45808</v>
      </c>
      <c r="E402" s="4" t="inlineStr">
        <is>
          <t xml:space="preserve">445510</t>
        </is>
      </c>
      <c r="F402" s="0" t="inlineStr">
        <is>
          <t xml:space="preserve">TVA a decaisser</t>
        </is>
      </c>
      <c r="G402" s="0" t="inlineStr">
        <is>
          <t xml:space="preserve">CA3-202505C</t>
        </is>
      </c>
      <c r="H402" s="0" t="inlineStr">
        <is>
          <t xml:space="preserve">Declaration TVA complementaire 05/2025</t>
        </is>
      </c>
      <c r="I402" s="8">
        <v>4800</v>
      </c>
      <c r="J402" s="8">
        <v>0</v>
      </c>
      <c r="K402" s="0"/>
      <c r="L402" s="0"/>
      <c r="M402" s="8">
        <f>I402-J402</f>
      </c>
      <c r="N402" s="0" t="inlineStr">
        <is>
          <t xml:space="preserve">2025-05</t>
        </is>
      </c>
      <c r="O402" s="0">
        <f>INDEX(Journaux!$E$5:$E$18,MATCH("2025|"&amp;A402,Journaux!$A$5:$A$18,0))</f>
      </c>
      <c r="P402" s="0">
        <f>INDEX(Comptes!$K$5:$K$42,MATCH(E402,Comptes!$A$5:$A$42,0))</f>
      </c>
      <c r="Q402" s="0" t="inlineStr">
        <is>
          <t xml:space="preserve">4</t>
        </is>
      </c>
    </row>
    <row r="403">
      <c r="A403" s="4" t="inlineStr">
        <is>
          <t xml:space="preserve">OD</t>
        </is>
      </c>
      <c r="B403" s="0" t="inlineStr">
        <is>
          <t xml:space="preserve">Operations diverses</t>
        </is>
      </c>
      <c r="C403" s="0" t="inlineStr">
        <is>
          <t xml:space="preserve">OD00017</t>
        </is>
      </c>
      <c r="D403" s="10">
        <v>45808</v>
      </c>
      <c r="E403" s="4" t="inlineStr">
        <is>
          <t xml:space="preserve">445660</t>
        </is>
      </c>
      <c r="F403" s="0" t="inlineStr">
        <is>
          <t xml:space="preserve">TVA deductible sur ABS</t>
        </is>
      </c>
      <c r="G403" s="0" t="inlineStr">
        <is>
          <t xml:space="preserve">CA3-202505C</t>
        </is>
      </c>
      <c r="H403" s="0" t="inlineStr">
        <is>
          <t xml:space="preserve">Declaration TVA complementaire 05/2025</t>
        </is>
      </c>
      <c r="I403" s="8">
        <v>0</v>
      </c>
      <c r="J403" s="8">
        <v>4800</v>
      </c>
      <c r="K403" s="0"/>
      <c r="L403" s="0"/>
      <c r="M403" s="8">
        <f>I403-J403</f>
      </c>
      <c r="N403" s="0" t="inlineStr">
        <is>
          <t xml:space="preserve">2025-05</t>
        </is>
      </c>
      <c r="O403" s="0">
        <f>INDEX(Journaux!$E$5:$E$18,MATCH("2025|"&amp;A403,Journaux!$A$5:$A$18,0))</f>
      </c>
      <c r="P403" s="0">
        <f>INDEX(Comptes!$K$5:$K$42,MATCH(E403,Comptes!$A$5:$A$42,0))</f>
      </c>
      <c r="Q403" s="0" t="inlineStr">
        <is>
          <t xml:space="preserve">4</t>
        </is>
      </c>
    </row>
    <row r="404">
      <c r="A404" s="4" t="inlineStr">
        <is>
          <t xml:space="preserve">SA</t>
        </is>
      </c>
      <c r="B404" s="0" t="inlineStr">
        <is>
          <t xml:space="preserve">Salaires</t>
        </is>
      </c>
      <c r="C404" s="0" t="inlineStr">
        <is>
          <t xml:space="preserve">SA00005</t>
        </is>
      </c>
      <c r="D404" s="10">
        <v>45808</v>
      </c>
      <c r="E404" s="4" t="inlineStr">
        <is>
          <t xml:space="preserve">641000</t>
        </is>
      </c>
      <c r="F404" s="0" t="inlineStr">
        <is>
          <t xml:space="preserve">Remunerations du personnel</t>
        </is>
      </c>
      <c r="G404" s="0" t="inlineStr">
        <is>
          <t xml:space="preserve">PAIE202505</t>
        </is>
      </c>
      <c r="H404" s="0" t="inlineStr">
        <is>
          <t xml:space="preserve">Paie 05/2025</t>
        </is>
      </c>
      <c r="I404" s="8">
        <v>50575.43</v>
      </c>
      <c r="J404" s="8">
        <v>0</v>
      </c>
      <c r="K404" s="0"/>
      <c r="L404" s="0"/>
      <c r="M404" s="8">
        <f>I404-J404</f>
      </c>
      <c r="N404" s="0" t="inlineStr">
        <is>
          <t xml:space="preserve">2025-05</t>
        </is>
      </c>
      <c r="O404" s="0">
        <f>INDEX(Journaux!$E$5:$E$18,MATCH("2025|"&amp;A404,Journaux!$A$5:$A$18,0))</f>
      </c>
      <c r="P404" s="0">
        <f>INDEX(Comptes!$K$5:$K$42,MATCH(E404,Comptes!$A$5:$A$42,0))</f>
      </c>
      <c r="Q404" s="0" t="inlineStr">
        <is>
          <t xml:space="preserve">6</t>
        </is>
      </c>
    </row>
    <row r="405">
      <c r="A405" s="4" t="inlineStr">
        <is>
          <t xml:space="preserve">SA</t>
        </is>
      </c>
      <c r="B405" s="0" t="inlineStr">
        <is>
          <t xml:space="preserve">Salaires</t>
        </is>
      </c>
      <c r="C405" s="0" t="inlineStr">
        <is>
          <t xml:space="preserve">SA00005</t>
        </is>
      </c>
      <c r="D405" s="10">
        <v>45808</v>
      </c>
      <c r="E405" s="4" t="inlineStr">
        <is>
          <t xml:space="preserve">645100</t>
        </is>
      </c>
      <c r="F405" s="0" t="inlineStr">
        <is>
          <t xml:space="preserve">Cotisations URSSAF</t>
        </is>
      </c>
      <c r="G405" s="0" t="inlineStr">
        <is>
          <t xml:space="preserve">PAIE202505</t>
        </is>
      </c>
      <c r="H405" s="0" t="inlineStr">
        <is>
          <t xml:space="preserve">Paie 05/2025</t>
        </is>
      </c>
      <c r="I405" s="8">
        <v>21241.68</v>
      </c>
      <c r="J405" s="8">
        <v>0</v>
      </c>
      <c r="K405" s="0"/>
      <c r="L405" s="0"/>
      <c r="M405" s="8">
        <f>I405-J405</f>
      </c>
      <c r="N405" s="0" t="inlineStr">
        <is>
          <t xml:space="preserve">2025-05</t>
        </is>
      </c>
      <c r="O405" s="0">
        <f>INDEX(Journaux!$E$5:$E$18,MATCH("2025|"&amp;A405,Journaux!$A$5:$A$18,0))</f>
      </c>
      <c r="P405" s="0">
        <f>INDEX(Comptes!$K$5:$K$42,MATCH(E405,Comptes!$A$5:$A$42,0))</f>
      </c>
      <c r="Q405" s="0" t="inlineStr">
        <is>
          <t xml:space="preserve">6</t>
        </is>
      </c>
    </row>
    <row r="406">
      <c r="A406" s="4" t="inlineStr">
        <is>
          <t xml:space="preserve">SA</t>
        </is>
      </c>
      <c r="B406" s="0" t="inlineStr">
        <is>
          <t xml:space="preserve">Salaires</t>
        </is>
      </c>
      <c r="C406" s="0" t="inlineStr">
        <is>
          <t xml:space="preserve">SA00005</t>
        </is>
      </c>
      <c r="D406" s="10">
        <v>45808</v>
      </c>
      <c r="E406" s="4" t="inlineStr">
        <is>
          <t xml:space="preserve">421000</t>
        </is>
      </c>
      <c r="F406" s="0" t="inlineStr">
        <is>
          <t xml:space="preserve">Personnel remunerations dues</t>
        </is>
      </c>
      <c r="G406" s="0" t="inlineStr">
        <is>
          <t xml:space="preserve">PAIE202505</t>
        </is>
      </c>
      <c r="H406" s="0" t="inlineStr">
        <is>
          <t xml:space="preserve">Paie 05/2025</t>
        </is>
      </c>
      <c r="I406" s="8">
        <v>0</v>
      </c>
      <c r="J406" s="8">
        <v>39448.84</v>
      </c>
      <c r="K406" s="0"/>
      <c r="L406" s="0"/>
      <c r="M406" s="8">
        <f>I406-J406</f>
      </c>
      <c r="N406" s="0" t="inlineStr">
        <is>
          <t xml:space="preserve">2025-05</t>
        </is>
      </c>
      <c r="O406" s="0">
        <f>INDEX(Journaux!$E$5:$E$18,MATCH("2025|"&amp;A406,Journaux!$A$5:$A$18,0))</f>
      </c>
      <c r="P406" s="0">
        <f>INDEX(Comptes!$K$5:$K$42,MATCH(E406,Comptes!$A$5:$A$42,0))</f>
      </c>
      <c r="Q406" s="0" t="inlineStr">
        <is>
          <t xml:space="preserve">4</t>
        </is>
      </c>
    </row>
    <row r="407">
      <c r="A407" s="4" t="inlineStr">
        <is>
          <t xml:space="preserve">SA</t>
        </is>
      </c>
      <c r="B407" s="0" t="inlineStr">
        <is>
          <t xml:space="preserve">Salaires</t>
        </is>
      </c>
      <c r="C407" s="0" t="inlineStr">
        <is>
          <t xml:space="preserve">SA00005</t>
        </is>
      </c>
      <c r="D407" s="10">
        <v>45808</v>
      </c>
      <c r="E407" s="4" t="inlineStr">
        <is>
          <t xml:space="preserve">431000</t>
        </is>
      </c>
      <c r="F407" s="0" t="inlineStr">
        <is>
          <t xml:space="preserve">Securite sociale</t>
        </is>
      </c>
      <c r="G407" s="0" t="inlineStr">
        <is>
          <t xml:space="preserve">PAIE202505</t>
        </is>
      </c>
      <c r="H407" s="0" t="inlineStr">
        <is>
          <t xml:space="preserve">Paie 05/2025</t>
        </is>
      </c>
      <c r="I407" s="8">
        <v>0</v>
      </c>
      <c r="J407" s="8">
        <v>32368.27</v>
      </c>
      <c r="K407" s="0"/>
      <c r="L407" s="0"/>
      <c r="M407" s="8">
        <f>I407-J407</f>
      </c>
      <c r="N407" s="0" t="inlineStr">
        <is>
          <t xml:space="preserve">2025-05</t>
        </is>
      </c>
      <c r="O407" s="0">
        <f>INDEX(Journaux!$E$5:$E$18,MATCH("2025|"&amp;A407,Journaux!$A$5:$A$18,0))</f>
      </c>
      <c r="P407" s="0">
        <f>INDEX(Comptes!$K$5:$K$42,MATCH(E407,Comptes!$A$5:$A$42,0))</f>
      </c>
      <c r="Q407" s="0" t="inlineStr">
        <is>
          <t xml:space="preserve">4</t>
        </is>
      </c>
    </row>
    <row r="408">
      <c r="A408" s="4" t="inlineStr">
        <is>
          <t xml:space="preserve">BQ</t>
        </is>
      </c>
      <c r="B408" s="0" t="inlineStr">
        <is>
          <t xml:space="preserve">Banque Fictive</t>
        </is>
      </c>
      <c r="C408" s="0" t="inlineStr">
        <is>
          <t xml:space="preserve">BQ00082</t>
        </is>
      </c>
      <c r="D408" s="10">
        <v>45810</v>
      </c>
      <c r="E408" s="4" t="inlineStr">
        <is>
          <t xml:space="preserve">512000</t>
        </is>
      </c>
      <c r="F408" s="0" t="inlineStr">
        <is>
          <t xml:space="preserve">Banque Fictive</t>
        </is>
      </c>
      <c r="G408" s="0" t="inlineStr">
        <is>
          <t xml:space="preserve">ENC-FA2025-0015</t>
        </is>
      </c>
      <c r="H408" s="0" t="inlineStr">
        <is>
          <t xml:space="preserve">Reglement client Restaurant Le Comptoir FA2025-0015</t>
        </is>
      </c>
      <c r="I408" s="8">
        <v>34705.43</v>
      </c>
      <c r="J408" s="8">
        <v>0</v>
      </c>
      <c r="K408" s="0"/>
      <c r="L408" s="0"/>
      <c r="M408" s="8">
        <f>I408-J408</f>
      </c>
      <c r="N408" s="0" t="inlineStr">
        <is>
          <t xml:space="preserve">2025-06</t>
        </is>
      </c>
      <c r="O408" s="0">
        <f>INDEX(Journaux!$E$5:$E$18,MATCH("2025|"&amp;A408,Journaux!$A$5:$A$18,0))</f>
      </c>
      <c r="P408" s="0">
        <f>INDEX(Comptes!$K$5:$K$42,MATCH(E408,Comptes!$A$5:$A$42,0))</f>
      </c>
      <c r="Q408" s="0" t="inlineStr">
        <is>
          <t xml:space="preserve">5</t>
        </is>
      </c>
    </row>
    <row r="409">
      <c r="A409" s="4" t="inlineStr">
        <is>
          <t xml:space="preserve">BQ</t>
        </is>
      </c>
      <c r="B409" s="0" t="inlineStr">
        <is>
          <t xml:space="preserve">Banque Fictive</t>
        </is>
      </c>
      <c r="C409" s="0" t="inlineStr">
        <is>
          <t xml:space="preserve">BQ00082</t>
        </is>
      </c>
      <c r="D409" s="10">
        <v>45810</v>
      </c>
      <c r="E409" s="4" t="inlineStr">
        <is>
          <t xml:space="preserve">411000</t>
        </is>
      </c>
      <c r="F409" s="0" t="inlineStr">
        <is>
          <t xml:space="preserve">Clients</t>
        </is>
      </c>
      <c r="G409" s="0" t="inlineStr">
        <is>
          <t xml:space="preserve">ENC-FA2025-0015</t>
        </is>
      </c>
      <c r="H409" s="0" t="inlineStr">
        <is>
          <t xml:space="preserve">Reglement client Restaurant Le Comptoir FA2025-0015</t>
        </is>
      </c>
      <c r="I409" s="8">
        <v>0</v>
      </c>
      <c r="J409" s="8">
        <v>34705.43</v>
      </c>
      <c r="K409" s="0" t="inlineStr">
        <is>
          <t xml:space="preserve">AAW</t>
        </is>
      </c>
      <c r="L409" s="0" t="inlineStr">
        <is>
          <t xml:space="preserve">Restaurant Le Comptoir</t>
        </is>
      </c>
      <c r="M409" s="8">
        <f>I409-J409</f>
      </c>
      <c r="N409" s="0" t="inlineStr">
        <is>
          <t xml:space="preserve">2025-06</t>
        </is>
      </c>
      <c r="O409" s="0">
        <f>INDEX(Journaux!$E$5:$E$18,MATCH("2025|"&amp;A409,Journaux!$A$5:$A$18,0))</f>
      </c>
      <c r="P409" s="0">
        <f>INDEX(Comptes!$K$5:$K$42,MATCH(E409,Comptes!$A$5:$A$42,0))</f>
      </c>
      <c r="Q409" s="0" t="inlineStr">
        <is>
          <t xml:space="preserve">4</t>
        </is>
      </c>
      <c r="R409" s="7" t="inlineStr">
        <is>
          <t xml:space="preserve">411000|C005</t>
        </is>
      </c>
    </row>
    <row r="410">
      <c r="A410" s="4" t="inlineStr">
        <is>
          <t xml:space="preserve">BQ</t>
        </is>
      </c>
      <c r="B410" s="0" t="inlineStr">
        <is>
          <t xml:space="preserve">Banque Fictive</t>
        </is>
      </c>
      <c r="C410" s="0" t="inlineStr">
        <is>
          <t xml:space="preserve">BQ00085</t>
        </is>
      </c>
      <c r="D410" s="10">
        <v>45810</v>
      </c>
      <c r="E410" s="4" t="inlineStr">
        <is>
          <t xml:space="preserve">512000</t>
        </is>
      </c>
      <c r="F410" s="0" t="inlineStr">
        <is>
          <t xml:space="preserve">Banque Fictive</t>
        </is>
      </c>
      <c r="G410" s="0" t="inlineStr">
        <is>
          <t xml:space="preserve">ENC-FA2025-0018</t>
        </is>
      </c>
      <c r="H410" s="0" t="inlineStr">
        <is>
          <t xml:space="preserve">Reglement client Coworking Atelier 9 FA2025-0018</t>
        </is>
      </c>
      <c r="I410" s="8">
        <v>19328.17</v>
      </c>
      <c r="J410" s="8">
        <v>0</v>
      </c>
      <c r="K410" s="0"/>
      <c r="L410" s="0"/>
      <c r="M410" s="8">
        <f>I410-J410</f>
      </c>
      <c r="N410" s="0" t="inlineStr">
        <is>
          <t xml:space="preserve">2025-06</t>
        </is>
      </c>
      <c r="O410" s="0">
        <f>INDEX(Journaux!$E$5:$E$18,MATCH("2025|"&amp;A410,Journaux!$A$5:$A$18,0))</f>
      </c>
      <c r="P410" s="0">
        <f>INDEX(Comptes!$K$5:$K$42,MATCH(E410,Comptes!$A$5:$A$42,0))</f>
      </c>
      <c r="Q410" s="0" t="inlineStr">
        <is>
          <t xml:space="preserve">5</t>
        </is>
      </c>
    </row>
    <row r="411">
      <c r="A411" s="4" t="inlineStr">
        <is>
          <t xml:space="preserve">BQ</t>
        </is>
      </c>
      <c r="B411" s="0" t="inlineStr">
        <is>
          <t xml:space="preserve">Banque Fictive</t>
        </is>
      </c>
      <c r="C411" s="0" t="inlineStr">
        <is>
          <t xml:space="preserve">BQ00085</t>
        </is>
      </c>
      <c r="D411" s="10">
        <v>45810</v>
      </c>
      <c r="E411" s="4" t="inlineStr">
        <is>
          <t xml:space="preserve">411000</t>
        </is>
      </c>
      <c r="F411" s="0" t="inlineStr">
        <is>
          <t xml:space="preserve">Clients</t>
        </is>
      </c>
      <c r="G411" s="0" t="inlineStr">
        <is>
          <t xml:space="preserve">ENC-FA2025-0018</t>
        </is>
      </c>
      <c r="H411" s="0" t="inlineStr">
        <is>
          <t xml:space="preserve">Reglement client Coworking Atelier 9 FA2025-0018</t>
        </is>
      </c>
      <c r="I411" s="8">
        <v>0</v>
      </c>
      <c r="J411" s="8">
        <v>19328.17</v>
      </c>
      <c r="K411" s="0" t="inlineStr">
        <is>
          <t xml:space="preserve">AAZ</t>
        </is>
      </c>
      <c r="L411" s="0" t="inlineStr">
        <is>
          <t xml:space="preserve">Coworking Atelier 9</t>
        </is>
      </c>
      <c r="M411" s="8">
        <f>I411-J411</f>
      </c>
      <c r="N411" s="0" t="inlineStr">
        <is>
          <t xml:space="preserve">2025-06</t>
        </is>
      </c>
      <c r="O411" s="0">
        <f>INDEX(Journaux!$E$5:$E$18,MATCH("2025|"&amp;A411,Journaux!$A$5:$A$18,0))</f>
      </c>
      <c r="P411" s="0">
        <f>INDEX(Comptes!$K$5:$K$42,MATCH(E411,Comptes!$A$5:$A$42,0))</f>
      </c>
      <c r="Q411" s="0" t="inlineStr">
        <is>
          <t xml:space="preserve">4</t>
        </is>
      </c>
      <c r="R411" s="7" t="inlineStr">
        <is>
          <t xml:space="preserve">411000|C008</t>
        </is>
      </c>
    </row>
    <row r="412">
      <c r="A412" s="4" t="inlineStr">
        <is>
          <t xml:space="preserve">BQ</t>
        </is>
      </c>
      <c r="B412" s="0" t="inlineStr">
        <is>
          <t xml:space="preserve">Banque Fictive</t>
        </is>
      </c>
      <c r="C412" s="0" t="inlineStr">
        <is>
          <t xml:space="preserve">BQ00149</t>
        </is>
      </c>
      <c r="D412" s="10">
        <v>45812</v>
      </c>
      <c r="E412" s="4" t="inlineStr">
        <is>
          <t xml:space="preserve">401000</t>
        </is>
      </c>
      <c r="F412" s="0" t="inlineStr">
        <is>
          <t xml:space="preserve">Fournisseurs</t>
        </is>
      </c>
      <c r="G412" s="0" t="inlineStr">
        <is>
          <t xml:space="preserve">DEC-F004-202505</t>
        </is>
      </c>
      <c r="H412" s="0" t="inlineStr">
        <is>
          <t xml:space="preserve">Reglement fournisseur SCI Les Halles F004-202505</t>
        </is>
      </c>
      <c r="I412" s="8">
        <v>10200</v>
      </c>
      <c r="J412" s="8">
        <v>0</v>
      </c>
      <c r="K412" s="0" t="inlineStr">
        <is>
          <t xml:space="preserve">ACL</t>
        </is>
      </c>
      <c r="L412" s="0" t="inlineStr">
        <is>
          <t xml:space="preserve">SCI Les Halles</t>
        </is>
      </c>
      <c r="M412" s="8">
        <f>I412-J412</f>
      </c>
      <c r="N412" s="0" t="inlineStr">
        <is>
          <t xml:space="preserve">2025-06</t>
        </is>
      </c>
      <c r="O412" s="0">
        <f>INDEX(Journaux!$E$5:$E$18,MATCH("2025|"&amp;A412,Journaux!$A$5:$A$18,0))</f>
      </c>
      <c r="P412" s="0">
        <f>INDEX(Comptes!$K$5:$K$42,MATCH(E412,Comptes!$A$5:$A$42,0))</f>
      </c>
      <c r="Q412" s="0" t="inlineStr">
        <is>
          <t xml:space="preserve">4</t>
        </is>
      </c>
      <c r="R412" s="7" t="inlineStr">
        <is>
          <t xml:space="preserve">401000|F004</t>
        </is>
      </c>
    </row>
    <row r="413">
      <c r="A413" s="4" t="inlineStr">
        <is>
          <t xml:space="preserve">BQ</t>
        </is>
      </c>
      <c r="B413" s="0" t="inlineStr">
        <is>
          <t xml:space="preserve">Banque Fictive</t>
        </is>
      </c>
      <c r="C413" s="0" t="inlineStr">
        <is>
          <t xml:space="preserve">BQ00149</t>
        </is>
      </c>
      <c r="D413" s="10">
        <v>45812</v>
      </c>
      <c r="E413" s="4" t="inlineStr">
        <is>
          <t xml:space="preserve">512000</t>
        </is>
      </c>
      <c r="F413" s="0" t="inlineStr">
        <is>
          <t xml:space="preserve">Banque Fictive</t>
        </is>
      </c>
      <c r="G413" s="0" t="inlineStr">
        <is>
          <t xml:space="preserve">DEC-F004-202505</t>
        </is>
      </c>
      <c r="H413" s="0" t="inlineStr">
        <is>
          <t xml:space="preserve">Reglement fournisseur SCI Les Halles F004-202505</t>
        </is>
      </c>
      <c r="I413" s="8">
        <v>0</v>
      </c>
      <c r="J413" s="8">
        <v>10200</v>
      </c>
      <c r="K413" s="0"/>
      <c r="L413" s="0"/>
      <c r="M413" s="8">
        <f>I413-J413</f>
      </c>
      <c r="N413" s="0" t="inlineStr">
        <is>
          <t xml:space="preserve">2025-06</t>
        </is>
      </c>
      <c r="O413" s="0">
        <f>INDEX(Journaux!$E$5:$E$18,MATCH("2025|"&amp;A413,Journaux!$A$5:$A$18,0))</f>
      </c>
      <c r="P413" s="0">
        <f>INDEX(Comptes!$K$5:$K$42,MATCH(E413,Comptes!$A$5:$A$42,0))</f>
      </c>
      <c r="Q413" s="0" t="inlineStr">
        <is>
          <t xml:space="preserve">5</t>
        </is>
      </c>
    </row>
    <row r="414">
      <c r="A414" s="4" t="inlineStr">
        <is>
          <t xml:space="preserve">BQ</t>
        </is>
      </c>
      <c r="B414" s="0" t="inlineStr">
        <is>
          <t xml:space="preserve">Banque Fictive</t>
        </is>
      </c>
      <c r="C414" s="0" t="inlineStr">
        <is>
          <t xml:space="preserve">BQ00150</t>
        </is>
      </c>
      <c r="D414" s="10">
        <v>45812</v>
      </c>
      <c r="E414" s="4" t="inlineStr">
        <is>
          <t xml:space="preserve">401000</t>
        </is>
      </c>
      <c r="F414" s="0" t="inlineStr">
        <is>
          <t xml:space="preserve">Fournisseurs</t>
        </is>
      </c>
      <c r="G414" s="0" t="inlineStr">
        <is>
          <t xml:space="preserve">DEC-F005-202505</t>
        </is>
      </c>
      <c r="H414" s="0" t="inlineStr">
        <is>
          <t xml:space="preserve">Reglement fournisseur Energie Plus F005-202505</t>
        </is>
      </c>
      <c r="I414" s="8">
        <v>3430.6</v>
      </c>
      <c r="J414" s="8">
        <v>0</v>
      </c>
      <c r="K414" s="0" t="inlineStr">
        <is>
          <t xml:space="preserve">ACM</t>
        </is>
      </c>
      <c r="L414" s="0" t="inlineStr">
        <is>
          <t xml:space="preserve">Energie Plus</t>
        </is>
      </c>
      <c r="M414" s="8">
        <f>I414-J414</f>
      </c>
      <c r="N414" s="0" t="inlineStr">
        <is>
          <t xml:space="preserve">2025-06</t>
        </is>
      </c>
      <c r="O414" s="0">
        <f>INDEX(Journaux!$E$5:$E$18,MATCH("2025|"&amp;A414,Journaux!$A$5:$A$18,0))</f>
      </c>
      <c r="P414" s="0">
        <f>INDEX(Comptes!$K$5:$K$42,MATCH(E414,Comptes!$A$5:$A$42,0))</f>
      </c>
      <c r="Q414" s="0" t="inlineStr">
        <is>
          <t xml:space="preserve">4</t>
        </is>
      </c>
      <c r="R414" s="7" t="inlineStr">
        <is>
          <t xml:space="preserve">401000|F005</t>
        </is>
      </c>
    </row>
    <row r="415">
      <c r="A415" s="4" t="inlineStr">
        <is>
          <t xml:space="preserve">BQ</t>
        </is>
      </c>
      <c r="B415" s="0" t="inlineStr">
        <is>
          <t xml:space="preserve">Banque Fictive</t>
        </is>
      </c>
      <c r="C415" s="0" t="inlineStr">
        <is>
          <t xml:space="preserve">BQ00150</t>
        </is>
      </c>
      <c r="D415" s="10">
        <v>45812</v>
      </c>
      <c r="E415" s="4" t="inlineStr">
        <is>
          <t xml:space="preserve">512000</t>
        </is>
      </c>
      <c r="F415" s="0" t="inlineStr">
        <is>
          <t xml:space="preserve">Banque Fictive</t>
        </is>
      </c>
      <c r="G415" s="0" t="inlineStr">
        <is>
          <t xml:space="preserve">DEC-F005-202505</t>
        </is>
      </c>
      <c r="H415" s="0" t="inlineStr">
        <is>
          <t xml:space="preserve">Reglement fournisseur Energie Plus F005-202505</t>
        </is>
      </c>
      <c r="I415" s="8">
        <v>0</v>
      </c>
      <c r="J415" s="8">
        <v>3430.6</v>
      </c>
      <c r="K415" s="0"/>
      <c r="L415" s="0"/>
      <c r="M415" s="8">
        <f>I415-J415</f>
      </c>
      <c r="N415" s="0" t="inlineStr">
        <is>
          <t xml:space="preserve">2025-06</t>
        </is>
      </c>
      <c r="O415" s="0">
        <f>INDEX(Journaux!$E$5:$E$18,MATCH("2025|"&amp;A415,Journaux!$A$5:$A$18,0))</f>
      </c>
      <c r="P415" s="0">
        <f>INDEX(Comptes!$K$5:$K$42,MATCH(E415,Comptes!$A$5:$A$42,0))</f>
      </c>
      <c r="Q415" s="0" t="inlineStr">
        <is>
          <t xml:space="preserve">5</t>
        </is>
      </c>
    </row>
    <row r="416">
      <c r="A416" s="4" t="inlineStr">
        <is>
          <t xml:space="preserve">BQ</t>
        </is>
      </c>
      <c r="B416" s="0" t="inlineStr">
        <is>
          <t xml:space="preserve">Banque Fictive</t>
        </is>
      </c>
      <c r="C416" s="0" t="inlineStr">
        <is>
          <t xml:space="preserve">BQ00151</t>
        </is>
      </c>
      <c r="D416" s="10">
        <v>45812</v>
      </c>
      <c r="E416" s="4" t="inlineStr">
        <is>
          <t xml:space="preserve">401000</t>
        </is>
      </c>
      <c r="F416" s="0" t="inlineStr">
        <is>
          <t xml:space="preserve">Fournisseurs</t>
        </is>
      </c>
      <c r="G416" s="0" t="inlineStr">
        <is>
          <t xml:space="preserve">DEC-F008-202505</t>
        </is>
      </c>
      <c r="H416" s="0" t="inlineStr">
        <is>
          <t xml:space="preserve">Reglement fournisseur Telecom Pro F008-202505</t>
        </is>
      </c>
      <c r="I416" s="8">
        <v>576</v>
      </c>
      <c r="J416" s="8">
        <v>0</v>
      </c>
      <c r="K416" s="0" t="inlineStr">
        <is>
          <t xml:space="preserve">ACN</t>
        </is>
      </c>
      <c r="L416" s="0" t="inlineStr">
        <is>
          <t xml:space="preserve">Telecom Pro</t>
        </is>
      </c>
      <c r="M416" s="8">
        <f>I416-J416</f>
      </c>
      <c r="N416" s="0" t="inlineStr">
        <is>
          <t xml:space="preserve">2025-06</t>
        </is>
      </c>
      <c r="O416" s="0">
        <f>INDEX(Journaux!$E$5:$E$18,MATCH("2025|"&amp;A416,Journaux!$A$5:$A$18,0))</f>
      </c>
      <c r="P416" s="0">
        <f>INDEX(Comptes!$K$5:$K$42,MATCH(E416,Comptes!$A$5:$A$42,0))</f>
      </c>
      <c r="Q416" s="0" t="inlineStr">
        <is>
          <t xml:space="preserve">4</t>
        </is>
      </c>
      <c r="R416" s="7" t="inlineStr">
        <is>
          <t xml:space="preserve">401000|F008</t>
        </is>
      </c>
    </row>
    <row r="417">
      <c r="A417" s="4" t="inlineStr">
        <is>
          <t xml:space="preserve">BQ</t>
        </is>
      </c>
      <c r="B417" s="0" t="inlineStr">
        <is>
          <t xml:space="preserve">Banque Fictive</t>
        </is>
      </c>
      <c r="C417" s="0" t="inlineStr">
        <is>
          <t xml:space="preserve">BQ00151</t>
        </is>
      </c>
      <c r="D417" s="10">
        <v>45812</v>
      </c>
      <c r="E417" s="4" t="inlineStr">
        <is>
          <t xml:space="preserve">512000</t>
        </is>
      </c>
      <c r="F417" s="0" t="inlineStr">
        <is>
          <t xml:space="preserve">Banque Fictive</t>
        </is>
      </c>
      <c r="G417" s="0" t="inlineStr">
        <is>
          <t xml:space="preserve">DEC-F008-202505</t>
        </is>
      </c>
      <c r="H417" s="0" t="inlineStr">
        <is>
          <t xml:space="preserve">Reglement fournisseur Telecom Pro F008-202505</t>
        </is>
      </c>
      <c r="I417" s="8">
        <v>0</v>
      </c>
      <c r="J417" s="8">
        <v>576</v>
      </c>
      <c r="K417" s="0"/>
      <c r="L417" s="0"/>
      <c r="M417" s="8">
        <f>I417-J417</f>
      </c>
      <c r="N417" s="0" t="inlineStr">
        <is>
          <t xml:space="preserve">2025-06</t>
        </is>
      </c>
      <c r="O417" s="0">
        <f>INDEX(Journaux!$E$5:$E$18,MATCH("2025|"&amp;A417,Journaux!$A$5:$A$18,0))</f>
      </c>
      <c r="P417" s="0">
        <f>INDEX(Comptes!$K$5:$K$42,MATCH(E417,Comptes!$A$5:$A$42,0))</f>
      </c>
      <c r="Q417" s="0" t="inlineStr">
        <is>
          <t xml:space="preserve">5</t>
        </is>
      </c>
    </row>
    <row r="418">
      <c r="A418" s="4" t="inlineStr">
        <is>
          <t xml:space="preserve">AC</t>
        </is>
      </c>
      <c r="B418" s="0" t="inlineStr">
        <is>
          <t xml:space="preserve">Journal des achats</t>
        </is>
      </c>
      <c r="C418" s="0" t="inlineStr">
        <is>
          <t xml:space="preserve">AC00035</t>
        </is>
      </c>
      <c r="D418" s="10">
        <v>45813</v>
      </c>
      <c r="E418" s="4" t="inlineStr">
        <is>
          <t xml:space="preserve">613200</t>
        </is>
      </c>
      <c r="F418" s="0" t="inlineStr">
        <is>
          <t xml:space="preserve">Locations immobilieres</t>
        </is>
      </c>
      <c r="G418" s="0" t="inlineStr">
        <is>
          <t xml:space="preserve">F004-202506</t>
        </is>
      </c>
      <c r="H418" s="0" t="inlineStr">
        <is>
          <t xml:space="preserve">Facture SCI Les Halles 2025-06</t>
        </is>
      </c>
      <c r="I418" s="8">
        <v>8500</v>
      </c>
      <c r="J418" s="8">
        <v>0</v>
      </c>
      <c r="K418" s="0"/>
      <c r="L418" s="0"/>
      <c r="M418" s="8">
        <f>I418-J418</f>
      </c>
      <c r="N418" s="0" t="inlineStr">
        <is>
          <t xml:space="preserve">2025-06</t>
        </is>
      </c>
      <c r="O418" s="0">
        <f>INDEX(Journaux!$E$5:$E$18,MATCH("2025|"&amp;A418,Journaux!$A$5:$A$18,0))</f>
      </c>
      <c r="P418" s="0">
        <f>INDEX(Comptes!$K$5:$K$42,MATCH(E418,Comptes!$A$5:$A$42,0))</f>
      </c>
      <c r="Q418" s="0" t="inlineStr">
        <is>
          <t xml:space="preserve">6</t>
        </is>
      </c>
    </row>
    <row r="419">
      <c r="A419" s="4" t="inlineStr">
        <is>
          <t xml:space="preserve">AC</t>
        </is>
      </c>
      <c r="B419" s="0" t="inlineStr">
        <is>
          <t xml:space="preserve">Journal des achats</t>
        </is>
      </c>
      <c r="C419" s="0" t="inlineStr">
        <is>
          <t xml:space="preserve">AC00035</t>
        </is>
      </c>
      <c r="D419" s="10">
        <v>45813</v>
      </c>
      <c r="E419" s="4" t="inlineStr">
        <is>
          <t xml:space="preserve">445660</t>
        </is>
      </c>
      <c r="F419" s="0" t="inlineStr">
        <is>
          <t xml:space="preserve">TVA deductible sur ABS</t>
        </is>
      </c>
      <c r="G419" s="0" t="inlineStr">
        <is>
          <t xml:space="preserve">F004-202506</t>
        </is>
      </c>
      <c r="H419" s="0" t="inlineStr">
        <is>
          <t xml:space="preserve">Facture SCI Les Halles 2025-06</t>
        </is>
      </c>
      <c r="I419" s="8">
        <v>1700</v>
      </c>
      <c r="J419" s="8">
        <v>0</v>
      </c>
      <c r="K419" s="0"/>
      <c r="L419" s="0"/>
      <c r="M419" s="8">
        <f>I419-J419</f>
      </c>
      <c r="N419" s="0" t="inlineStr">
        <is>
          <t xml:space="preserve">2025-06</t>
        </is>
      </c>
      <c r="O419" s="0">
        <f>INDEX(Journaux!$E$5:$E$18,MATCH("2025|"&amp;A419,Journaux!$A$5:$A$18,0))</f>
      </c>
      <c r="P419" s="0">
        <f>INDEX(Comptes!$K$5:$K$42,MATCH(E419,Comptes!$A$5:$A$42,0))</f>
      </c>
      <c r="Q419" s="0" t="inlineStr">
        <is>
          <t xml:space="preserve">4</t>
        </is>
      </c>
    </row>
    <row r="420">
      <c r="A420" s="4" t="inlineStr">
        <is>
          <t xml:space="preserve">AC</t>
        </is>
      </c>
      <c r="B420" s="0" t="inlineStr">
        <is>
          <t xml:space="preserve">Journal des achats</t>
        </is>
      </c>
      <c r="C420" s="0" t="inlineStr">
        <is>
          <t xml:space="preserve">AC00035</t>
        </is>
      </c>
      <c r="D420" s="10">
        <v>45813</v>
      </c>
      <c r="E420" s="4" t="inlineStr">
        <is>
          <t xml:space="preserve">401000</t>
        </is>
      </c>
      <c r="F420" s="0" t="inlineStr">
        <is>
          <t xml:space="preserve">Fournisseurs</t>
        </is>
      </c>
      <c r="G420" s="0" t="inlineStr">
        <is>
          <t xml:space="preserve">F004-202506</t>
        </is>
      </c>
      <c r="H420" s="0" t="inlineStr">
        <is>
          <t xml:space="preserve">Facture SCI Les Halles 2025-06</t>
        </is>
      </c>
      <c r="I420" s="8">
        <v>0</v>
      </c>
      <c r="J420" s="8">
        <v>10200</v>
      </c>
      <c r="K420" s="0" t="inlineStr">
        <is>
          <t xml:space="preserve">ACQ</t>
        </is>
      </c>
      <c r="L420" s="0" t="inlineStr">
        <is>
          <t xml:space="preserve">SCI Les Halles</t>
        </is>
      </c>
      <c r="M420" s="8">
        <f>I420-J420</f>
      </c>
      <c r="N420" s="0" t="inlineStr">
        <is>
          <t xml:space="preserve">2025-06</t>
        </is>
      </c>
      <c r="O420" s="0">
        <f>INDEX(Journaux!$E$5:$E$18,MATCH("2025|"&amp;A420,Journaux!$A$5:$A$18,0))</f>
      </c>
      <c r="P420" s="0">
        <f>INDEX(Comptes!$K$5:$K$42,MATCH(E420,Comptes!$A$5:$A$42,0))</f>
      </c>
      <c r="Q420" s="0" t="inlineStr">
        <is>
          <t xml:space="preserve">4</t>
        </is>
      </c>
      <c r="R420" s="7" t="inlineStr">
        <is>
          <t xml:space="preserve">401000|F004</t>
        </is>
      </c>
    </row>
    <row r="421">
      <c r="A421" s="4" t="inlineStr">
        <is>
          <t xml:space="preserve">AC</t>
        </is>
      </c>
      <c r="B421" s="0" t="inlineStr">
        <is>
          <t xml:space="preserve">Journal des achats</t>
        </is>
      </c>
      <c r="C421" s="0" t="inlineStr">
        <is>
          <t xml:space="preserve">AC00036</t>
        </is>
      </c>
      <c r="D421" s="10">
        <v>45813</v>
      </c>
      <c r="E421" s="4" t="inlineStr">
        <is>
          <t xml:space="preserve">606100</t>
        </is>
      </c>
      <c r="F421" s="0" t="inlineStr">
        <is>
          <t xml:space="preserve">Fournitures non stockables energie</t>
        </is>
      </c>
      <c r="G421" s="0" t="inlineStr">
        <is>
          <t xml:space="preserve">F005-202506</t>
        </is>
      </c>
      <c r="H421" s="0" t="inlineStr">
        <is>
          <t xml:space="preserve">Facture Energie Plus 2025-06</t>
        </is>
      </c>
      <c r="I421" s="8">
        <v>2570.43</v>
      </c>
      <c r="J421" s="8">
        <v>0</v>
      </c>
      <c r="K421" s="0"/>
      <c r="L421" s="0"/>
      <c r="M421" s="8">
        <f>I421-J421</f>
      </c>
      <c r="N421" s="0" t="inlineStr">
        <is>
          <t xml:space="preserve">2025-06</t>
        </is>
      </c>
      <c r="O421" s="0">
        <f>INDEX(Journaux!$E$5:$E$18,MATCH("2025|"&amp;A421,Journaux!$A$5:$A$18,0))</f>
      </c>
      <c r="P421" s="0">
        <f>INDEX(Comptes!$K$5:$K$42,MATCH(E421,Comptes!$A$5:$A$42,0))</f>
      </c>
      <c r="Q421" s="0" t="inlineStr">
        <is>
          <t xml:space="preserve">6</t>
        </is>
      </c>
    </row>
    <row r="422">
      <c r="A422" s="4" t="inlineStr">
        <is>
          <t xml:space="preserve">AC</t>
        </is>
      </c>
      <c r="B422" s="0" t="inlineStr">
        <is>
          <t xml:space="preserve">Journal des achats</t>
        </is>
      </c>
      <c r="C422" s="0" t="inlineStr">
        <is>
          <t xml:space="preserve">AC00036</t>
        </is>
      </c>
      <c r="D422" s="10">
        <v>45813</v>
      </c>
      <c r="E422" s="4" t="inlineStr">
        <is>
          <t xml:space="preserve">445660</t>
        </is>
      </c>
      <c r="F422" s="0" t="inlineStr">
        <is>
          <t xml:space="preserve">TVA deductible sur ABS</t>
        </is>
      </c>
      <c r="G422" s="0" t="inlineStr">
        <is>
          <t xml:space="preserve">F005-202506</t>
        </is>
      </c>
      <c r="H422" s="0" t="inlineStr">
        <is>
          <t xml:space="preserve">Facture Energie Plus 2025-06</t>
        </is>
      </c>
      <c r="I422" s="8">
        <v>514.09</v>
      </c>
      <c r="J422" s="8">
        <v>0</v>
      </c>
      <c r="K422" s="0"/>
      <c r="L422" s="0"/>
      <c r="M422" s="8">
        <f>I422-J422</f>
      </c>
      <c r="N422" s="0" t="inlineStr">
        <is>
          <t xml:space="preserve">2025-06</t>
        </is>
      </c>
      <c r="O422" s="0">
        <f>INDEX(Journaux!$E$5:$E$18,MATCH("2025|"&amp;A422,Journaux!$A$5:$A$18,0))</f>
      </c>
      <c r="P422" s="0">
        <f>INDEX(Comptes!$K$5:$K$42,MATCH(E422,Comptes!$A$5:$A$42,0))</f>
      </c>
      <c r="Q422" s="0" t="inlineStr">
        <is>
          <t xml:space="preserve">4</t>
        </is>
      </c>
    </row>
    <row r="423">
      <c r="A423" s="4" t="inlineStr">
        <is>
          <t xml:space="preserve">AC</t>
        </is>
      </c>
      <c r="B423" s="0" t="inlineStr">
        <is>
          <t xml:space="preserve">Journal des achats</t>
        </is>
      </c>
      <c r="C423" s="0" t="inlineStr">
        <is>
          <t xml:space="preserve">AC00036</t>
        </is>
      </c>
      <c r="D423" s="10">
        <v>45813</v>
      </c>
      <c r="E423" s="4" t="inlineStr">
        <is>
          <t xml:space="preserve">401000</t>
        </is>
      </c>
      <c r="F423" s="0" t="inlineStr">
        <is>
          <t xml:space="preserve">Fournisseurs</t>
        </is>
      </c>
      <c r="G423" s="0" t="inlineStr">
        <is>
          <t xml:space="preserve">F005-202506</t>
        </is>
      </c>
      <c r="H423" s="0" t="inlineStr">
        <is>
          <t xml:space="preserve">Facture Energie Plus 2025-06</t>
        </is>
      </c>
      <c r="I423" s="8">
        <v>0</v>
      </c>
      <c r="J423" s="8">
        <v>3084.52</v>
      </c>
      <c r="K423" s="0" t="inlineStr">
        <is>
          <t xml:space="preserve">ACR</t>
        </is>
      </c>
      <c r="L423" s="0" t="inlineStr">
        <is>
          <t xml:space="preserve">Energie Plus</t>
        </is>
      </c>
      <c r="M423" s="8">
        <f>I423-J423</f>
      </c>
      <c r="N423" s="0" t="inlineStr">
        <is>
          <t xml:space="preserve">2025-06</t>
        </is>
      </c>
      <c r="O423" s="0">
        <f>INDEX(Journaux!$E$5:$E$18,MATCH("2025|"&amp;A423,Journaux!$A$5:$A$18,0))</f>
      </c>
      <c r="P423" s="0">
        <f>INDEX(Comptes!$K$5:$K$42,MATCH(E423,Comptes!$A$5:$A$42,0))</f>
      </c>
      <c r="Q423" s="0" t="inlineStr">
        <is>
          <t xml:space="preserve">4</t>
        </is>
      </c>
      <c r="R423" s="7" t="inlineStr">
        <is>
          <t xml:space="preserve">401000|F005</t>
        </is>
      </c>
    </row>
    <row r="424">
      <c r="A424" s="4" t="inlineStr">
        <is>
          <t xml:space="preserve">AC</t>
        </is>
      </c>
      <c r="B424" s="0" t="inlineStr">
        <is>
          <t xml:space="preserve">Journal des achats</t>
        </is>
      </c>
      <c r="C424" s="0" t="inlineStr">
        <is>
          <t xml:space="preserve">AC00037</t>
        </is>
      </c>
      <c r="D424" s="10">
        <v>45813</v>
      </c>
      <c r="E424" s="4" t="inlineStr">
        <is>
          <t xml:space="preserve">626000</t>
        </is>
      </c>
      <c r="F424" s="0" t="inlineStr">
        <is>
          <t xml:space="preserve">Frais postaux et telecommunications</t>
        </is>
      </c>
      <c r="G424" s="0" t="inlineStr">
        <is>
          <t xml:space="preserve">F008-202506</t>
        </is>
      </c>
      <c r="H424" s="0" t="inlineStr">
        <is>
          <t xml:space="preserve">Facture Telecom Pro 2025-06</t>
        </is>
      </c>
      <c r="I424" s="8">
        <v>480</v>
      </c>
      <c r="J424" s="8">
        <v>0</v>
      </c>
      <c r="K424" s="0"/>
      <c r="L424" s="0"/>
      <c r="M424" s="8">
        <f>I424-J424</f>
      </c>
      <c r="N424" s="0" t="inlineStr">
        <is>
          <t xml:space="preserve">2025-06</t>
        </is>
      </c>
      <c r="O424" s="0">
        <f>INDEX(Journaux!$E$5:$E$18,MATCH("2025|"&amp;A424,Journaux!$A$5:$A$18,0))</f>
      </c>
      <c r="P424" s="0">
        <f>INDEX(Comptes!$K$5:$K$42,MATCH(E424,Comptes!$A$5:$A$42,0))</f>
      </c>
      <c r="Q424" s="0" t="inlineStr">
        <is>
          <t xml:space="preserve">6</t>
        </is>
      </c>
    </row>
    <row r="425">
      <c r="A425" s="4" t="inlineStr">
        <is>
          <t xml:space="preserve">AC</t>
        </is>
      </c>
      <c r="B425" s="0" t="inlineStr">
        <is>
          <t xml:space="preserve">Journal des achats</t>
        </is>
      </c>
      <c r="C425" s="0" t="inlineStr">
        <is>
          <t xml:space="preserve">AC00037</t>
        </is>
      </c>
      <c r="D425" s="10">
        <v>45813</v>
      </c>
      <c r="E425" s="4" t="inlineStr">
        <is>
          <t xml:space="preserve">445660</t>
        </is>
      </c>
      <c r="F425" s="0" t="inlineStr">
        <is>
          <t xml:space="preserve">TVA deductible sur ABS</t>
        </is>
      </c>
      <c r="G425" s="0" t="inlineStr">
        <is>
          <t xml:space="preserve">F008-202506</t>
        </is>
      </c>
      <c r="H425" s="0" t="inlineStr">
        <is>
          <t xml:space="preserve">Facture Telecom Pro 2025-06</t>
        </is>
      </c>
      <c r="I425" s="8">
        <v>96</v>
      </c>
      <c r="J425" s="8">
        <v>0</v>
      </c>
      <c r="K425" s="0"/>
      <c r="L425" s="0"/>
      <c r="M425" s="8">
        <f>I425-J425</f>
      </c>
      <c r="N425" s="0" t="inlineStr">
        <is>
          <t xml:space="preserve">2025-06</t>
        </is>
      </c>
      <c r="O425" s="0">
        <f>INDEX(Journaux!$E$5:$E$18,MATCH("2025|"&amp;A425,Journaux!$A$5:$A$18,0))</f>
      </c>
      <c r="P425" s="0">
        <f>INDEX(Comptes!$K$5:$K$42,MATCH(E425,Comptes!$A$5:$A$42,0))</f>
      </c>
      <c r="Q425" s="0" t="inlineStr">
        <is>
          <t xml:space="preserve">4</t>
        </is>
      </c>
    </row>
    <row r="426">
      <c r="A426" s="4" t="inlineStr">
        <is>
          <t xml:space="preserve">AC</t>
        </is>
      </c>
      <c r="B426" s="0" t="inlineStr">
        <is>
          <t xml:space="preserve">Journal des achats</t>
        </is>
      </c>
      <c r="C426" s="0" t="inlineStr">
        <is>
          <t xml:space="preserve">AC00037</t>
        </is>
      </c>
      <c r="D426" s="10">
        <v>45813</v>
      </c>
      <c r="E426" s="4" t="inlineStr">
        <is>
          <t xml:space="preserve">401000</t>
        </is>
      </c>
      <c r="F426" s="0" t="inlineStr">
        <is>
          <t xml:space="preserve">Fournisseurs</t>
        </is>
      </c>
      <c r="G426" s="0" t="inlineStr">
        <is>
          <t xml:space="preserve">F008-202506</t>
        </is>
      </c>
      <c r="H426" s="0" t="inlineStr">
        <is>
          <t xml:space="preserve">Facture Telecom Pro 2025-06</t>
        </is>
      </c>
      <c r="I426" s="8">
        <v>0</v>
      </c>
      <c r="J426" s="8">
        <v>576</v>
      </c>
      <c r="K426" s="0" t="inlineStr">
        <is>
          <t xml:space="preserve">ACS</t>
        </is>
      </c>
      <c r="L426" s="0" t="inlineStr">
        <is>
          <t xml:space="preserve">Telecom Pro</t>
        </is>
      </c>
      <c r="M426" s="8">
        <f>I426-J426</f>
      </c>
      <c r="N426" s="0" t="inlineStr">
        <is>
          <t xml:space="preserve">2025-06</t>
        </is>
      </c>
      <c r="O426" s="0">
        <f>INDEX(Journaux!$E$5:$E$18,MATCH("2025|"&amp;A426,Journaux!$A$5:$A$18,0))</f>
      </c>
      <c r="P426" s="0">
        <f>INDEX(Comptes!$K$5:$K$42,MATCH(E426,Comptes!$A$5:$A$42,0))</f>
      </c>
      <c r="Q426" s="0" t="inlineStr">
        <is>
          <t xml:space="preserve">4</t>
        </is>
      </c>
      <c r="R426" s="7" t="inlineStr">
        <is>
          <t xml:space="preserve">401000|F008</t>
        </is>
      </c>
    </row>
    <row r="427">
      <c r="A427" s="4" t="inlineStr">
        <is>
          <t xml:space="preserve">AC</t>
        </is>
      </c>
      <c r="B427" s="0" t="inlineStr">
        <is>
          <t xml:space="preserve">Journal des achats</t>
        </is>
      </c>
      <c r="C427" s="0" t="inlineStr">
        <is>
          <t xml:space="preserve">AC00038</t>
        </is>
      </c>
      <c r="D427" s="10">
        <v>45813</v>
      </c>
      <c r="E427" s="4" t="inlineStr">
        <is>
          <t xml:space="preserve">622600</t>
        </is>
      </c>
      <c r="F427" s="0" t="inlineStr">
        <is>
          <t xml:space="preserve">Honoraires</t>
        </is>
      </c>
      <c r="G427" s="0" t="inlineStr">
        <is>
          <t xml:space="preserve">F007-202506</t>
        </is>
      </c>
      <c r="H427" s="0" t="inlineStr">
        <is>
          <t xml:space="preserve">Facture Cabinet Comptable Exemple 2025-06</t>
        </is>
      </c>
      <c r="I427" s="8">
        <v>6000</v>
      </c>
      <c r="J427" s="8">
        <v>0</v>
      </c>
      <c r="K427" s="0"/>
      <c r="L427" s="0"/>
      <c r="M427" s="8">
        <f>I427-J427</f>
      </c>
      <c r="N427" s="0" t="inlineStr">
        <is>
          <t xml:space="preserve">2025-06</t>
        </is>
      </c>
      <c r="O427" s="0">
        <f>INDEX(Journaux!$E$5:$E$18,MATCH("2025|"&amp;A427,Journaux!$A$5:$A$18,0))</f>
      </c>
      <c r="P427" s="0">
        <f>INDEX(Comptes!$K$5:$K$42,MATCH(E427,Comptes!$A$5:$A$42,0))</f>
      </c>
      <c r="Q427" s="0" t="inlineStr">
        <is>
          <t xml:space="preserve">6</t>
        </is>
      </c>
    </row>
    <row r="428">
      <c r="A428" s="4" t="inlineStr">
        <is>
          <t xml:space="preserve">AC</t>
        </is>
      </c>
      <c r="B428" s="0" t="inlineStr">
        <is>
          <t xml:space="preserve">Journal des achats</t>
        </is>
      </c>
      <c r="C428" s="0" t="inlineStr">
        <is>
          <t xml:space="preserve">AC00038</t>
        </is>
      </c>
      <c r="D428" s="10">
        <v>45813</v>
      </c>
      <c r="E428" s="4" t="inlineStr">
        <is>
          <t xml:space="preserve">445660</t>
        </is>
      </c>
      <c r="F428" s="0" t="inlineStr">
        <is>
          <t xml:space="preserve">TVA deductible sur ABS</t>
        </is>
      </c>
      <c r="G428" s="0" t="inlineStr">
        <is>
          <t xml:space="preserve">F007-202506</t>
        </is>
      </c>
      <c r="H428" s="0" t="inlineStr">
        <is>
          <t xml:space="preserve">Facture Cabinet Comptable Exemple 2025-06</t>
        </is>
      </c>
      <c r="I428" s="8">
        <v>1200</v>
      </c>
      <c r="J428" s="8">
        <v>0</v>
      </c>
      <c r="K428" s="0"/>
      <c r="L428" s="0"/>
      <c r="M428" s="8">
        <f>I428-J428</f>
      </c>
      <c r="N428" s="0" t="inlineStr">
        <is>
          <t xml:space="preserve">2025-06</t>
        </is>
      </c>
      <c r="O428" s="0">
        <f>INDEX(Journaux!$E$5:$E$18,MATCH("2025|"&amp;A428,Journaux!$A$5:$A$18,0))</f>
      </c>
      <c r="P428" s="0">
        <f>INDEX(Comptes!$K$5:$K$42,MATCH(E428,Comptes!$A$5:$A$42,0))</f>
      </c>
      <c r="Q428" s="0" t="inlineStr">
        <is>
          <t xml:space="preserve">4</t>
        </is>
      </c>
    </row>
    <row r="429">
      <c r="A429" s="4" t="inlineStr">
        <is>
          <t xml:space="preserve">AC</t>
        </is>
      </c>
      <c r="B429" s="0" t="inlineStr">
        <is>
          <t xml:space="preserve">Journal des achats</t>
        </is>
      </c>
      <c r="C429" s="0" t="inlineStr">
        <is>
          <t xml:space="preserve">AC00038</t>
        </is>
      </c>
      <c r="D429" s="10">
        <v>45813</v>
      </c>
      <c r="E429" s="4" t="inlineStr">
        <is>
          <t xml:space="preserve">401000</t>
        </is>
      </c>
      <c r="F429" s="0" t="inlineStr">
        <is>
          <t xml:space="preserve">Fournisseurs</t>
        </is>
      </c>
      <c r="G429" s="0" t="inlineStr">
        <is>
          <t xml:space="preserve">F007-202506</t>
        </is>
      </c>
      <c r="H429" s="0" t="inlineStr">
        <is>
          <t xml:space="preserve">Facture Cabinet Comptable Exemple 2025-06</t>
        </is>
      </c>
      <c r="I429" s="8">
        <v>0</v>
      </c>
      <c r="J429" s="8">
        <v>7200</v>
      </c>
      <c r="K429" s="0" t="inlineStr">
        <is>
          <t xml:space="preserve">ACT</t>
        </is>
      </c>
      <c r="L429" s="0" t="inlineStr">
        <is>
          <t xml:space="preserve">Cabinet Comptable Exemple</t>
        </is>
      </c>
      <c r="M429" s="8">
        <f>I429-J429</f>
      </c>
      <c r="N429" s="0" t="inlineStr">
        <is>
          <t xml:space="preserve">2025-06</t>
        </is>
      </c>
      <c r="O429" s="0">
        <f>INDEX(Journaux!$E$5:$E$18,MATCH("2025|"&amp;A429,Journaux!$A$5:$A$18,0))</f>
      </c>
      <c r="P429" s="0">
        <f>INDEX(Comptes!$K$5:$K$42,MATCH(E429,Comptes!$A$5:$A$42,0))</f>
      </c>
      <c r="Q429" s="0" t="inlineStr">
        <is>
          <t xml:space="preserve">4</t>
        </is>
      </c>
      <c r="R429" s="7" t="inlineStr">
        <is>
          <t xml:space="preserve">401000|F007</t>
        </is>
      </c>
    </row>
    <row r="430">
      <c r="A430" s="4" t="inlineStr">
        <is>
          <t xml:space="preserve">VT</t>
        </is>
      </c>
      <c r="B430" s="0" t="inlineStr">
        <is>
          <t xml:space="preserve">Journal des ventes</t>
        </is>
      </c>
      <c r="C430" s="0" t="inlineStr">
        <is>
          <t xml:space="preserve">VT00024</t>
        </is>
      </c>
      <c r="D430" s="10">
        <v>45813</v>
      </c>
      <c r="E430" s="4" t="inlineStr">
        <is>
          <t xml:space="preserve">411000</t>
        </is>
      </c>
      <c r="F430" s="0" t="inlineStr">
        <is>
          <t xml:space="preserve">Clients</t>
        </is>
      </c>
      <c r="G430" s="0" t="inlineStr">
        <is>
          <t xml:space="preserve">FA2025-0024</t>
        </is>
      </c>
      <c r="H430" s="0" t="inlineStr">
        <is>
          <t xml:space="preserve">Facture FA2025-0024 Coworking Atelier 9</t>
        </is>
      </c>
      <c r="I430" s="8">
        <v>34265.09</v>
      </c>
      <c r="J430" s="8">
        <v>0</v>
      </c>
      <c r="K430" s="0" t="inlineStr">
        <is>
          <t xml:space="preserve">AAF</t>
        </is>
      </c>
      <c r="L430" s="0" t="inlineStr">
        <is>
          <t xml:space="preserve">Coworking Atelier 9</t>
        </is>
      </c>
      <c r="M430" s="8">
        <f>I430-J430</f>
      </c>
      <c r="N430" s="0" t="inlineStr">
        <is>
          <t xml:space="preserve">2025-06</t>
        </is>
      </c>
      <c r="O430" s="0">
        <f>INDEX(Journaux!$E$5:$E$18,MATCH("2025|"&amp;A430,Journaux!$A$5:$A$18,0))</f>
      </c>
      <c r="P430" s="0">
        <f>INDEX(Comptes!$K$5:$K$42,MATCH(E430,Comptes!$A$5:$A$42,0))</f>
      </c>
      <c r="Q430" s="0" t="inlineStr">
        <is>
          <t xml:space="preserve">4</t>
        </is>
      </c>
      <c r="R430" s="7" t="inlineStr">
        <is>
          <t xml:space="preserve">411000|C008</t>
        </is>
      </c>
    </row>
    <row r="431">
      <c r="A431" s="4" t="inlineStr">
        <is>
          <t xml:space="preserve">VT</t>
        </is>
      </c>
      <c r="B431" s="0" t="inlineStr">
        <is>
          <t xml:space="preserve">Journal des ventes</t>
        </is>
      </c>
      <c r="C431" s="0" t="inlineStr">
        <is>
          <t xml:space="preserve">VT00024</t>
        </is>
      </c>
      <c r="D431" s="10">
        <v>45813</v>
      </c>
      <c r="E431" s="4" t="inlineStr">
        <is>
          <t xml:space="preserve">701000</t>
        </is>
      </c>
      <c r="F431" s="0" t="inlineStr">
        <is>
          <t xml:space="preserve">Ventes de produits finis</t>
        </is>
      </c>
      <c r="G431" s="0" t="inlineStr">
        <is>
          <t xml:space="preserve">FA2025-0024</t>
        </is>
      </c>
      <c r="H431" s="0" t="inlineStr">
        <is>
          <t xml:space="preserve">Facture FA2025-0024 Coworking Atelier 9</t>
        </is>
      </c>
      <c r="I431" s="8">
        <v>0</v>
      </c>
      <c r="J431" s="8">
        <v>28554.24</v>
      </c>
      <c r="K431" s="0"/>
      <c r="L431" s="0"/>
      <c r="M431" s="8">
        <f>I431-J431</f>
      </c>
      <c r="N431" s="0" t="inlineStr">
        <is>
          <t xml:space="preserve">2025-06</t>
        </is>
      </c>
      <c r="O431" s="0">
        <f>INDEX(Journaux!$E$5:$E$18,MATCH("2025|"&amp;A431,Journaux!$A$5:$A$18,0))</f>
      </c>
      <c r="P431" s="0">
        <f>INDEX(Comptes!$K$5:$K$42,MATCH(E431,Comptes!$A$5:$A$42,0))</f>
      </c>
      <c r="Q431" s="0" t="inlineStr">
        <is>
          <t xml:space="preserve">7</t>
        </is>
      </c>
    </row>
    <row r="432">
      <c r="A432" s="4" t="inlineStr">
        <is>
          <t xml:space="preserve">VT</t>
        </is>
      </c>
      <c r="B432" s="0" t="inlineStr">
        <is>
          <t xml:space="preserve">Journal des ventes</t>
        </is>
      </c>
      <c r="C432" s="0" t="inlineStr">
        <is>
          <t xml:space="preserve">VT00024</t>
        </is>
      </c>
      <c r="D432" s="10">
        <v>45813</v>
      </c>
      <c r="E432" s="4" t="inlineStr">
        <is>
          <t xml:space="preserve">445710</t>
        </is>
      </c>
      <c r="F432" s="0" t="inlineStr">
        <is>
          <t xml:space="preserve">TVA collectee</t>
        </is>
      </c>
      <c r="G432" s="0" t="inlineStr">
        <is>
          <t xml:space="preserve">FA2025-0024</t>
        </is>
      </c>
      <c r="H432" s="0" t="inlineStr">
        <is>
          <t xml:space="preserve">Facture FA2025-0024 Coworking Atelier 9</t>
        </is>
      </c>
      <c r="I432" s="8">
        <v>0</v>
      </c>
      <c r="J432" s="8">
        <v>5710.85</v>
      </c>
      <c r="K432" s="0"/>
      <c r="L432" s="0"/>
      <c r="M432" s="8">
        <f>I432-J432</f>
      </c>
      <c r="N432" s="0" t="inlineStr">
        <is>
          <t xml:space="preserve">2025-06</t>
        </is>
      </c>
      <c r="O432" s="0">
        <f>INDEX(Journaux!$E$5:$E$18,MATCH("2025|"&amp;A432,Journaux!$A$5:$A$18,0))</f>
      </c>
      <c r="P432" s="0">
        <f>INDEX(Comptes!$K$5:$K$42,MATCH(E432,Comptes!$A$5:$A$42,0))</f>
      </c>
      <c r="Q432" s="0" t="inlineStr">
        <is>
          <t xml:space="preserve">4</t>
        </is>
      </c>
    </row>
    <row r="433">
      <c r="A433" s="4" t="inlineStr">
        <is>
          <t xml:space="preserve">BQ</t>
        </is>
      </c>
      <c r="B433" s="0" t="inlineStr">
        <is>
          <t xml:space="preserve">Banque Fictive</t>
        </is>
      </c>
      <c r="C433" s="0" t="inlineStr">
        <is>
          <t xml:space="preserve">BQ00017</t>
        </is>
      </c>
      <c r="D433" s="10">
        <v>45818</v>
      </c>
      <c r="E433" s="4" t="inlineStr">
        <is>
          <t xml:space="preserve">164000</t>
        </is>
      </c>
      <c r="F433" s="0" t="inlineStr">
        <is>
          <t xml:space="preserve">Emprunts aupres des etablissements de credit</t>
        </is>
      </c>
      <c r="G433" s="0" t="inlineStr">
        <is>
          <t xml:space="preserve">ECH202506</t>
        </is>
      </c>
      <c r="H433" s="0" t="inlineStr">
        <is>
          <t xml:space="preserve">Echeance emprunt 06/2025</t>
        </is>
      </c>
      <c r="I433" s="8">
        <v>2000</v>
      </c>
      <c r="J433" s="8">
        <v>0</v>
      </c>
      <c r="K433" s="0"/>
      <c r="L433" s="0"/>
      <c r="M433" s="8">
        <f>I433-J433</f>
      </c>
      <c r="N433" s="0" t="inlineStr">
        <is>
          <t xml:space="preserve">2025-06</t>
        </is>
      </c>
      <c r="O433" s="0">
        <f>INDEX(Journaux!$E$5:$E$18,MATCH("2025|"&amp;A433,Journaux!$A$5:$A$18,0))</f>
      </c>
      <c r="P433" s="0">
        <f>INDEX(Comptes!$K$5:$K$42,MATCH(E433,Comptes!$A$5:$A$42,0))</f>
      </c>
      <c r="Q433" s="0" t="inlineStr">
        <is>
          <t xml:space="preserve">1</t>
        </is>
      </c>
    </row>
    <row r="434">
      <c r="A434" s="4" t="inlineStr">
        <is>
          <t xml:space="preserve">BQ</t>
        </is>
      </c>
      <c r="B434" s="0" t="inlineStr">
        <is>
          <t xml:space="preserve">Banque Fictive</t>
        </is>
      </c>
      <c r="C434" s="0" t="inlineStr">
        <is>
          <t xml:space="preserve">BQ00017</t>
        </is>
      </c>
      <c r="D434" s="10">
        <v>45818</v>
      </c>
      <c r="E434" s="4" t="inlineStr">
        <is>
          <t xml:space="preserve">661100</t>
        </is>
      </c>
      <c r="F434" s="0" t="inlineStr">
        <is>
          <t xml:space="preserve">Interets des emprunts</t>
        </is>
      </c>
      <c r="G434" s="0" t="inlineStr">
        <is>
          <t xml:space="preserve">ECH202506</t>
        </is>
      </c>
      <c r="H434" s="0" t="inlineStr">
        <is>
          <t xml:space="preserve">Echeance emprunt 06/2025</t>
        </is>
      </c>
      <c r="I434" s="8">
        <v>186.67</v>
      </c>
      <c r="J434" s="8">
        <v>0</v>
      </c>
      <c r="K434" s="0"/>
      <c r="L434" s="0"/>
      <c r="M434" s="8">
        <f>I434-J434</f>
      </c>
      <c r="N434" s="0" t="inlineStr">
        <is>
          <t xml:space="preserve">2025-06</t>
        </is>
      </c>
      <c r="O434" s="0">
        <f>INDEX(Journaux!$E$5:$E$18,MATCH("2025|"&amp;A434,Journaux!$A$5:$A$18,0))</f>
      </c>
      <c r="P434" s="0">
        <f>INDEX(Comptes!$K$5:$K$42,MATCH(E434,Comptes!$A$5:$A$42,0))</f>
      </c>
      <c r="Q434" s="0" t="inlineStr">
        <is>
          <t xml:space="preserve">6</t>
        </is>
      </c>
    </row>
    <row r="435">
      <c r="A435" s="4" t="inlineStr">
        <is>
          <t xml:space="preserve">BQ</t>
        </is>
      </c>
      <c r="B435" s="0" t="inlineStr">
        <is>
          <t xml:space="preserve">Banque Fictive</t>
        </is>
      </c>
      <c r="C435" s="0" t="inlineStr">
        <is>
          <t xml:space="preserve">BQ00017</t>
        </is>
      </c>
      <c r="D435" s="10">
        <v>45818</v>
      </c>
      <c r="E435" s="4" t="inlineStr">
        <is>
          <t xml:space="preserve">512000</t>
        </is>
      </c>
      <c r="F435" s="0" t="inlineStr">
        <is>
          <t xml:space="preserve">Banque Fictive</t>
        </is>
      </c>
      <c r="G435" s="0" t="inlineStr">
        <is>
          <t xml:space="preserve">ECH202506</t>
        </is>
      </c>
      <c r="H435" s="0" t="inlineStr">
        <is>
          <t xml:space="preserve">Echeance emprunt 06/2025</t>
        </is>
      </c>
      <c r="I435" s="8">
        <v>0</v>
      </c>
      <c r="J435" s="8">
        <v>2186.67</v>
      </c>
      <c r="K435" s="0"/>
      <c r="L435" s="0"/>
      <c r="M435" s="8">
        <f>I435-J435</f>
      </c>
      <c r="N435" s="0" t="inlineStr">
        <is>
          <t xml:space="preserve">2025-06</t>
        </is>
      </c>
      <c r="O435" s="0">
        <f>INDEX(Journaux!$E$5:$E$18,MATCH("2025|"&amp;A435,Journaux!$A$5:$A$18,0))</f>
      </c>
      <c r="P435" s="0">
        <f>INDEX(Comptes!$K$5:$K$42,MATCH(E435,Comptes!$A$5:$A$42,0))</f>
      </c>
      <c r="Q435" s="0" t="inlineStr">
        <is>
          <t xml:space="preserve">5</t>
        </is>
      </c>
    </row>
    <row r="436">
      <c r="A436" s="4" t="inlineStr">
        <is>
          <t xml:space="preserve">BQ</t>
        </is>
      </c>
      <c r="B436" s="0" t="inlineStr">
        <is>
          <t xml:space="preserve">Banque Fictive</t>
        </is>
      </c>
      <c r="C436" s="0" t="inlineStr">
        <is>
          <t xml:space="preserve">BQ00059</t>
        </is>
      </c>
      <c r="D436" s="10">
        <v>45820</v>
      </c>
      <c r="E436" s="4" t="inlineStr">
        <is>
          <t xml:space="preserve">512000</t>
        </is>
      </c>
      <c r="F436" s="0" t="inlineStr">
        <is>
          <t xml:space="preserve">Banque Fictive</t>
        </is>
      </c>
      <c r="G436" s="0" t="inlineStr">
        <is>
          <t xml:space="preserve">CCA2025-06</t>
        </is>
      </c>
      <c r="H436" s="0" t="inlineStr">
        <is>
          <t xml:space="preserve">Apport en compte courant d'associe</t>
        </is>
      </c>
      <c r="I436" s="8">
        <v>80000</v>
      </c>
      <c r="J436" s="8">
        <v>0</v>
      </c>
      <c r="K436" s="0"/>
      <c r="L436" s="0"/>
      <c r="M436" s="8">
        <f>I436-J436</f>
      </c>
      <c r="N436" s="0" t="inlineStr">
        <is>
          <t xml:space="preserve">2025-06</t>
        </is>
      </c>
      <c r="O436" s="0">
        <f>INDEX(Journaux!$E$5:$E$18,MATCH("2025|"&amp;A436,Journaux!$A$5:$A$18,0))</f>
      </c>
      <c r="P436" s="0">
        <f>INDEX(Comptes!$K$5:$K$42,MATCH(E436,Comptes!$A$5:$A$42,0))</f>
      </c>
      <c r="Q436" s="0" t="inlineStr">
        <is>
          <t xml:space="preserve">5</t>
        </is>
      </c>
    </row>
    <row r="437">
      <c r="A437" s="4" t="inlineStr">
        <is>
          <t xml:space="preserve">BQ</t>
        </is>
      </c>
      <c r="B437" s="0" t="inlineStr">
        <is>
          <t xml:space="preserve">Banque Fictive</t>
        </is>
      </c>
      <c r="C437" s="0" t="inlineStr">
        <is>
          <t xml:space="preserve">BQ00059</t>
        </is>
      </c>
      <c r="D437" s="10">
        <v>45820</v>
      </c>
      <c r="E437" s="4" t="inlineStr">
        <is>
          <t xml:space="preserve">455100</t>
        </is>
      </c>
      <c r="F437" s="0" t="inlineStr">
        <is>
          <t xml:space="preserve">Compte courant d'associe</t>
        </is>
      </c>
      <c r="G437" s="0" t="inlineStr">
        <is>
          <t xml:space="preserve">CCA2025-06</t>
        </is>
      </c>
      <c r="H437" s="0" t="inlineStr">
        <is>
          <t xml:space="preserve">Apport en compte courant d'associe</t>
        </is>
      </c>
      <c r="I437" s="8">
        <v>0</v>
      </c>
      <c r="J437" s="8">
        <v>80000</v>
      </c>
      <c r="K437" s="0"/>
      <c r="L437" s="0"/>
      <c r="M437" s="8">
        <f>I437-J437</f>
      </c>
      <c r="N437" s="0" t="inlineStr">
        <is>
          <t xml:space="preserve">2025-06</t>
        </is>
      </c>
      <c r="O437" s="0">
        <f>INDEX(Journaux!$E$5:$E$18,MATCH("2025|"&amp;A437,Journaux!$A$5:$A$18,0))</f>
      </c>
      <c r="P437" s="0">
        <f>INDEX(Comptes!$K$5:$K$42,MATCH(E437,Comptes!$A$5:$A$42,0))</f>
      </c>
      <c r="Q437" s="0" t="inlineStr">
        <is>
          <t xml:space="preserve">4</t>
        </is>
      </c>
    </row>
    <row r="438">
      <c r="A438" s="4" t="inlineStr">
        <is>
          <t xml:space="preserve">VT</t>
        </is>
      </c>
      <c r="B438" s="0" t="inlineStr">
        <is>
          <t xml:space="preserve">Journal des ventes</t>
        </is>
      </c>
      <c r="C438" s="0" t="inlineStr">
        <is>
          <t xml:space="preserve">VT00025</t>
        </is>
      </c>
      <c r="D438" s="10">
        <v>45820</v>
      </c>
      <c r="E438" s="4" t="inlineStr">
        <is>
          <t xml:space="preserve">411000</t>
        </is>
      </c>
      <c r="F438" s="0" t="inlineStr">
        <is>
          <t xml:space="preserve">Clients</t>
        </is>
      </c>
      <c r="G438" s="0" t="inlineStr">
        <is>
          <t xml:space="preserve">FA2025-0025</t>
        </is>
      </c>
      <c r="H438" s="0" t="inlineStr">
        <is>
          <t xml:space="preserve">Facture FA2025-0025 Coworking Atelier 9</t>
        </is>
      </c>
      <c r="I438" s="8">
        <v>22533.72</v>
      </c>
      <c r="J438" s="8">
        <v>0</v>
      </c>
      <c r="K438" s="0" t="inlineStr">
        <is>
          <t xml:space="preserve">AAG</t>
        </is>
      </c>
      <c r="L438" s="0" t="inlineStr">
        <is>
          <t xml:space="preserve">Coworking Atelier 9</t>
        </is>
      </c>
      <c r="M438" s="8">
        <f>I438-J438</f>
      </c>
      <c r="N438" s="0" t="inlineStr">
        <is>
          <t xml:space="preserve">2025-06</t>
        </is>
      </c>
      <c r="O438" s="0">
        <f>INDEX(Journaux!$E$5:$E$18,MATCH("2025|"&amp;A438,Journaux!$A$5:$A$18,0))</f>
      </c>
      <c r="P438" s="0">
        <f>INDEX(Comptes!$K$5:$K$42,MATCH(E438,Comptes!$A$5:$A$42,0))</f>
      </c>
      <c r="Q438" s="0" t="inlineStr">
        <is>
          <t xml:space="preserve">4</t>
        </is>
      </c>
      <c r="R438" s="7" t="inlineStr">
        <is>
          <t xml:space="preserve">411000|C008</t>
        </is>
      </c>
    </row>
    <row r="439">
      <c r="A439" s="4" t="inlineStr">
        <is>
          <t xml:space="preserve">VT</t>
        </is>
      </c>
      <c r="B439" s="0" t="inlineStr">
        <is>
          <t xml:space="preserve">Journal des ventes</t>
        </is>
      </c>
      <c r="C439" s="0" t="inlineStr">
        <is>
          <t xml:space="preserve">VT00025</t>
        </is>
      </c>
      <c r="D439" s="10">
        <v>45820</v>
      </c>
      <c r="E439" s="4" t="inlineStr">
        <is>
          <t xml:space="preserve">701000</t>
        </is>
      </c>
      <c r="F439" s="0" t="inlineStr">
        <is>
          <t xml:space="preserve">Ventes de produits finis</t>
        </is>
      </c>
      <c r="G439" s="0" t="inlineStr">
        <is>
          <t xml:space="preserve">FA2025-0025</t>
        </is>
      </c>
      <c r="H439" s="0" t="inlineStr">
        <is>
          <t xml:space="preserve">Facture FA2025-0025 Coworking Atelier 9</t>
        </is>
      </c>
      <c r="I439" s="8">
        <v>0</v>
      </c>
      <c r="J439" s="8">
        <v>18778.1</v>
      </c>
      <c r="K439" s="0"/>
      <c r="L439" s="0"/>
      <c r="M439" s="8">
        <f>I439-J439</f>
      </c>
      <c r="N439" s="0" t="inlineStr">
        <is>
          <t xml:space="preserve">2025-06</t>
        </is>
      </c>
      <c r="O439" s="0">
        <f>INDEX(Journaux!$E$5:$E$18,MATCH("2025|"&amp;A439,Journaux!$A$5:$A$18,0))</f>
      </c>
      <c r="P439" s="0">
        <f>INDEX(Comptes!$K$5:$K$42,MATCH(E439,Comptes!$A$5:$A$42,0))</f>
      </c>
      <c r="Q439" s="0" t="inlineStr">
        <is>
          <t xml:space="preserve">7</t>
        </is>
      </c>
    </row>
    <row r="440">
      <c r="A440" s="4" t="inlineStr">
        <is>
          <t xml:space="preserve">VT</t>
        </is>
      </c>
      <c r="B440" s="0" t="inlineStr">
        <is>
          <t xml:space="preserve">Journal des ventes</t>
        </is>
      </c>
      <c r="C440" s="0" t="inlineStr">
        <is>
          <t xml:space="preserve">VT00025</t>
        </is>
      </c>
      <c r="D440" s="10">
        <v>45820</v>
      </c>
      <c r="E440" s="4" t="inlineStr">
        <is>
          <t xml:space="preserve">445710</t>
        </is>
      </c>
      <c r="F440" s="0" t="inlineStr">
        <is>
          <t xml:space="preserve">TVA collectee</t>
        </is>
      </c>
      <c r="G440" s="0" t="inlineStr">
        <is>
          <t xml:space="preserve">FA2025-0025</t>
        </is>
      </c>
      <c r="H440" s="0" t="inlineStr">
        <is>
          <t xml:space="preserve">Facture FA2025-0025 Coworking Atelier 9</t>
        </is>
      </c>
      <c r="I440" s="8">
        <v>0</v>
      </c>
      <c r="J440" s="8">
        <v>3755.62</v>
      </c>
      <c r="K440" s="0"/>
      <c r="L440" s="0"/>
      <c r="M440" s="8">
        <f>I440-J440</f>
      </c>
      <c r="N440" s="0" t="inlineStr">
        <is>
          <t xml:space="preserve">2025-06</t>
        </is>
      </c>
      <c r="O440" s="0">
        <f>INDEX(Journaux!$E$5:$E$18,MATCH("2025|"&amp;A440,Journaux!$A$5:$A$18,0))</f>
      </c>
      <c r="P440" s="0">
        <f>INDEX(Comptes!$K$5:$K$42,MATCH(E440,Comptes!$A$5:$A$42,0))</f>
      </c>
      <c r="Q440" s="0" t="inlineStr">
        <is>
          <t xml:space="preserve">4</t>
        </is>
      </c>
    </row>
    <row r="441">
      <c r="A441" s="4" t="inlineStr">
        <is>
          <t xml:space="preserve">AC</t>
        </is>
      </c>
      <c r="B441" s="0" t="inlineStr">
        <is>
          <t xml:space="preserve">Journal des achats</t>
        </is>
      </c>
      <c r="C441" s="0" t="inlineStr">
        <is>
          <t xml:space="preserve">AC00033</t>
        </is>
      </c>
      <c r="D441" s="10">
        <v>45821</v>
      </c>
      <c r="E441" s="4" t="inlineStr">
        <is>
          <t xml:space="preserve">601000</t>
        </is>
      </c>
      <c r="F441" s="0" t="inlineStr">
        <is>
          <t xml:space="preserve">Achats de matieres premieres</t>
        </is>
      </c>
      <c r="G441" s="0" t="inlineStr">
        <is>
          <t xml:space="preserve">F003-2025061</t>
        </is>
      </c>
      <c r="H441" s="0" t="inlineStr">
        <is>
          <t xml:space="preserve">Facture Vernis et Finitions F003-2025061</t>
        </is>
      </c>
      <c r="I441" s="8">
        <v>27361.25</v>
      </c>
      <c r="J441" s="8">
        <v>0</v>
      </c>
      <c r="K441" s="0"/>
      <c r="L441" s="0"/>
      <c r="M441" s="8">
        <f>I441-J441</f>
      </c>
      <c r="N441" s="0" t="inlineStr">
        <is>
          <t xml:space="preserve">2025-06</t>
        </is>
      </c>
      <c r="O441" s="0">
        <f>INDEX(Journaux!$E$5:$E$18,MATCH("2025|"&amp;A441,Journaux!$A$5:$A$18,0))</f>
      </c>
      <c r="P441" s="0">
        <f>INDEX(Comptes!$K$5:$K$42,MATCH(E441,Comptes!$A$5:$A$42,0))</f>
      </c>
      <c r="Q441" s="0" t="inlineStr">
        <is>
          <t xml:space="preserve">6</t>
        </is>
      </c>
    </row>
    <row r="442">
      <c r="A442" s="4" t="inlineStr">
        <is>
          <t xml:space="preserve">AC</t>
        </is>
      </c>
      <c r="B442" s="0" t="inlineStr">
        <is>
          <t xml:space="preserve">Journal des achats</t>
        </is>
      </c>
      <c r="C442" s="0" t="inlineStr">
        <is>
          <t xml:space="preserve">AC00033</t>
        </is>
      </c>
      <c r="D442" s="10">
        <v>45821</v>
      </c>
      <c r="E442" s="4" t="inlineStr">
        <is>
          <t xml:space="preserve">445660</t>
        </is>
      </c>
      <c r="F442" s="0" t="inlineStr">
        <is>
          <t xml:space="preserve">TVA deductible sur ABS</t>
        </is>
      </c>
      <c r="G442" s="0" t="inlineStr">
        <is>
          <t xml:space="preserve">F003-2025061</t>
        </is>
      </c>
      <c r="H442" s="0" t="inlineStr">
        <is>
          <t xml:space="preserve">Facture Vernis et Finitions F003-2025061</t>
        </is>
      </c>
      <c r="I442" s="8">
        <v>5472.25</v>
      </c>
      <c r="J442" s="8">
        <v>0</v>
      </c>
      <c r="K442" s="0"/>
      <c r="L442" s="0"/>
      <c r="M442" s="8">
        <f>I442-J442</f>
      </c>
      <c r="N442" s="0" t="inlineStr">
        <is>
          <t xml:space="preserve">2025-06</t>
        </is>
      </c>
      <c r="O442" s="0">
        <f>INDEX(Journaux!$E$5:$E$18,MATCH("2025|"&amp;A442,Journaux!$A$5:$A$18,0))</f>
      </c>
      <c r="P442" s="0">
        <f>INDEX(Comptes!$K$5:$K$42,MATCH(E442,Comptes!$A$5:$A$42,0))</f>
      </c>
      <c r="Q442" s="0" t="inlineStr">
        <is>
          <t xml:space="preserve">4</t>
        </is>
      </c>
    </row>
    <row r="443">
      <c r="A443" s="4" t="inlineStr">
        <is>
          <t xml:space="preserve">AC</t>
        </is>
      </c>
      <c r="B443" s="0" t="inlineStr">
        <is>
          <t xml:space="preserve">Journal des achats</t>
        </is>
      </c>
      <c r="C443" s="0" t="inlineStr">
        <is>
          <t xml:space="preserve">AC00033</t>
        </is>
      </c>
      <c r="D443" s="10">
        <v>45821</v>
      </c>
      <c r="E443" s="4" t="inlineStr">
        <is>
          <t xml:space="preserve">401000</t>
        </is>
      </c>
      <c r="F443" s="0" t="inlineStr">
        <is>
          <t xml:space="preserve">Fournisseurs</t>
        </is>
      </c>
      <c r="G443" s="0" t="inlineStr">
        <is>
          <t xml:space="preserve">F003-2025061</t>
        </is>
      </c>
      <c r="H443" s="0" t="inlineStr">
        <is>
          <t xml:space="preserve">Facture Vernis et Finitions F003-2025061</t>
        </is>
      </c>
      <c r="I443" s="8">
        <v>0</v>
      </c>
      <c r="J443" s="8">
        <v>32833.5</v>
      </c>
      <c r="K443" s="0" t="inlineStr">
        <is>
          <t xml:space="preserve">ACO</t>
        </is>
      </c>
      <c r="L443" s="0" t="inlineStr">
        <is>
          <t xml:space="preserve">Vernis et Finitions</t>
        </is>
      </c>
      <c r="M443" s="8">
        <f>I443-J443</f>
      </c>
      <c r="N443" s="0" t="inlineStr">
        <is>
          <t xml:space="preserve">2025-06</t>
        </is>
      </c>
      <c r="O443" s="0">
        <f>INDEX(Journaux!$E$5:$E$18,MATCH("2025|"&amp;A443,Journaux!$A$5:$A$18,0))</f>
      </c>
      <c r="P443" s="0">
        <f>INDEX(Comptes!$K$5:$K$42,MATCH(E443,Comptes!$A$5:$A$42,0))</f>
      </c>
      <c r="Q443" s="0" t="inlineStr">
        <is>
          <t xml:space="preserve">4</t>
        </is>
      </c>
      <c r="R443" s="7" t="inlineStr">
        <is>
          <t xml:space="preserve">401000|F003</t>
        </is>
      </c>
    </row>
    <row r="444">
      <c r="A444" s="4" t="inlineStr">
        <is>
          <t xml:space="preserve">BQ</t>
        </is>
      </c>
      <c r="B444" s="0" t="inlineStr">
        <is>
          <t xml:space="preserve">Banque Fictive</t>
        </is>
      </c>
      <c r="C444" s="0" t="inlineStr">
        <is>
          <t xml:space="preserve">BQ00048</t>
        </is>
      </c>
      <c r="D444" s="10">
        <v>45823</v>
      </c>
      <c r="E444" s="4" t="inlineStr">
        <is>
          <t xml:space="preserve">431000</t>
        </is>
      </c>
      <c r="F444" s="0" t="inlineStr">
        <is>
          <t xml:space="preserve">Securite sociale</t>
        </is>
      </c>
      <c r="G444" s="0" t="inlineStr">
        <is>
          <t xml:space="preserve">URSSAF202505</t>
        </is>
      </c>
      <c r="H444" s="0" t="inlineStr">
        <is>
          <t xml:space="preserve">Reglement URSSAF 05/2025</t>
        </is>
      </c>
      <c r="I444" s="8">
        <v>32368.27</v>
      </c>
      <c r="J444" s="8">
        <v>0</v>
      </c>
      <c r="K444" s="0"/>
      <c r="L444" s="0"/>
      <c r="M444" s="8">
        <f>I444-J444</f>
      </c>
      <c r="N444" s="0" t="inlineStr">
        <is>
          <t xml:space="preserve">2025-06</t>
        </is>
      </c>
      <c r="O444" s="0">
        <f>INDEX(Journaux!$E$5:$E$18,MATCH("2025|"&amp;A444,Journaux!$A$5:$A$18,0))</f>
      </c>
      <c r="P444" s="0">
        <f>INDEX(Comptes!$K$5:$K$42,MATCH(E444,Comptes!$A$5:$A$42,0))</f>
      </c>
      <c r="Q444" s="0" t="inlineStr">
        <is>
          <t xml:space="preserve">4</t>
        </is>
      </c>
    </row>
    <row r="445">
      <c r="A445" s="4" t="inlineStr">
        <is>
          <t xml:space="preserve">BQ</t>
        </is>
      </c>
      <c r="B445" s="0" t="inlineStr">
        <is>
          <t xml:space="preserve">Banque Fictive</t>
        </is>
      </c>
      <c r="C445" s="0" t="inlineStr">
        <is>
          <t xml:space="preserve">BQ00048</t>
        </is>
      </c>
      <c r="D445" s="10">
        <v>45823</v>
      </c>
      <c r="E445" s="4" t="inlineStr">
        <is>
          <t xml:space="preserve">512000</t>
        </is>
      </c>
      <c r="F445" s="0" t="inlineStr">
        <is>
          <t xml:space="preserve">Banque Fictive</t>
        </is>
      </c>
      <c r="G445" s="0" t="inlineStr">
        <is>
          <t xml:space="preserve">URSSAF202505</t>
        </is>
      </c>
      <c r="H445" s="0" t="inlineStr">
        <is>
          <t xml:space="preserve">Reglement URSSAF 05/2025</t>
        </is>
      </c>
      <c r="I445" s="8">
        <v>0</v>
      </c>
      <c r="J445" s="8">
        <v>32368.27</v>
      </c>
      <c r="K445" s="0"/>
      <c r="L445" s="0"/>
      <c r="M445" s="8">
        <f>I445-J445</f>
      </c>
      <c r="N445" s="0" t="inlineStr">
        <is>
          <t xml:space="preserve">2025-06</t>
        </is>
      </c>
      <c r="O445" s="0">
        <f>INDEX(Journaux!$E$5:$E$18,MATCH("2025|"&amp;A445,Journaux!$A$5:$A$18,0))</f>
      </c>
      <c r="P445" s="0">
        <f>INDEX(Comptes!$K$5:$K$42,MATCH(E445,Comptes!$A$5:$A$42,0))</f>
      </c>
      <c r="Q445" s="0" t="inlineStr">
        <is>
          <t xml:space="preserve">5</t>
        </is>
      </c>
    </row>
    <row r="446">
      <c r="A446" s="4" t="inlineStr">
        <is>
          <t xml:space="preserve">AC</t>
        </is>
      </c>
      <c r="B446" s="0" t="inlineStr">
        <is>
          <t xml:space="preserve">Journal des achats</t>
        </is>
      </c>
      <c r="C446" s="0" t="inlineStr">
        <is>
          <t xml:space="preserve">AC00034</t>
        </is>
      </c>
      <c r="D446" s="10">
        <v>45824</v>
      </c>
      <c r="E446" s="4" t="inlineStr">
        <is>
          <t xml:space="preserve">601000</t>
        </is>
      </c>
      <c r="F446" s="0" t="inlineStr">
        <is>
          <t xml:space="preserve">Achats de matieres premieres</t>
        </is>
      </c>
      <c r="G446" s="0" t="inlineStr">
        <is>
          <t xml:space="preserve">F001-2025062</t>
        </is>
      </c>
      <c r="H446" s="0" t="inlineStr">
        <is>
          <t xml:space="preserve">Facture Scierie du Nord F001-2025062</t>
        </is>
      </c>
      <c r="I446" s="8">
        <v>30213.75</v>
      </c>
      <c r="J446" s="8">
        <v>0</v>
      </c>
      <c r="K446" s="0"/>
      <c r="L446" s="0"/>
      <c r="M446" s="8">
        <f>I446-J446</f>
      </c>
      <c r="N446" s="0" t="inlineStr">
        <is>
          <t xml:space="preserve">2025-06</t>
        </is>
      </c>
      <c r="O446" s="0">
        <f>INDEX(Journaux!$E$5:$E$18,MATCH("2025|"&amp;A446,Journaux!$A$5:$A$18,0))</f>
      </c>
      <c r="P446" s="0">
        <f>INDEX(Comptes!$K$5:$K$42,MATCH(E446,Comptes!$A$5:$A$42,0))</f>
      </c>
      <c r="Q446" s="0" t="inlineStr">
        <is>
          <t xml:space="preserve">6</t>
        </is>
      </c>
    </row>
    <row r="447">
      <c r="A447" s="4" t="inlineStr">
        <is>
          <t xml:space="preserve">AC</t>
        </is>
      </c>
      <c r="B447" s="0" t="inlineStr">
        <is>
          <t xml:space="preserve">Journal des achats</t>
        </is>
      </c>
      <c r="C447" s="0" t="inlineStr">
        <is>
          <t xml:space="preserve">AC00034</t>
        </is>
      </c>
      <c r="D447" s="10">
        <v>45824</v>
      </c>
      <c r="E447" s="4" t="inlineStr">
        <is>
          <t xml:space="preserve">445660</t>
        </is>
      </c>
      <c r="F447" s="0" t="inlineStr">
        <is>
          <t xml:space="preserve">TVA deductible sur ABS</t>
        </is>
      </c>
      <c r="G447" s="0" t="inlineStr">
        <is>
          <t xml:space="preserve">F001-2025062</t>
        </is>
      </c>
      <c r="H447" s="0" t="inlineStr">
        <is>
          <t xml:space="preserve">Facture Scierie du Nord F001-2025062</t>
        </is>
      </c>
      <c r="I447" s="8">
        <v>6042.75</v>
      </c>
      <c r="J447" s="8">
        <v>0</v>
      </c>
      <c r="K447" s="0"/>
      <c r="L447" s="0"/>
      <c r="M447" s="8">
        <f>I447-J447</f>
      </c>
      <c r="N447" s="0" t="inlineStr">
        <is>
          <t xml:space="preserve">2025-06</t>
        </is>
      </c>
      <c r="O447" s="0">
        <f>INDEX(Journaux!$E$5:$E$18,MATCH("2025|"&amp;A447,Journaux!$A$5:$A$18,0))</f>
      </c>
      <c r="P447" s="0">
        <f>INDEX(Comptes!$K$5:$K$42,MATCH(E447,Comptes!$A$5:$A$42,0))</f>
      </c>
      <c r="Q447" s="0" t="inlineStr">
        <is>
          <t xml:space="preserve">4</t>
        </is>
      </c>
    </row>
    <row r="448">
      <c r="A448" s="4" t="inlineStr">
        <is>
          <t xml:space="preserve">AC</t>
        </is>
      </c>
      <c r="B448" s="0" t="inlineStr">
        <is>
          <t xml:space="preserve">Journal des achats</t>
        </is>
      </c>
      <c r="C448" s="0" t="inlineStr">
        <is>
          <t xml:space="preserve">AC00034</t>
        </is>
      </c>
      <c r="D448" s="10">
        <v>45824</v>
      </c>
      <c r="E448" s="4" t="inlineStr">
        <is>
          <t xml:space="preserve">401000</t>
        </is>
      </c>
      <c r="F448" s="0" t="inlineStr">
        <is>
          <t xml:space="preserve">Fournisseurs</t>
        </is>
      </c>
      <c r="G448" s="0" t="inlineStr">
        <is>
          <t xml:space="preserve">F001-2025062</t>
        </is>
      </c>
      <c r="H448" s="0" t="inlineStr">
        <is>
          <t xml:space="preserve">Facture Scierie du Nord F001-2025062</t>
        </is>
      </c>
      <c r="I448" s="8">
        <v>0</v>
      </c>
      <c r="J448" s="8">
        <v>36256.5</v>
      </c>
      <c r="K448" s="0" t="inlineStr">
        <is>
          <t xml:space="preserve">ACP</t>
        </is>
      </c>
      <c r="L448" s="0" t="inlineStr">
        <is>
          <t xml:space="preserve">Scierie du Nord</t>
        </is>
      </c>
      <c r="M448" s="8">
        <f>I448-J448</f>
      </c>
      <c r="N448" s="0" t="inlineStr">
        <is>
          <t xml:space="preserve">2025-06</t>
        </is>
      </c>
      <c r="O448" s="0">
        <f>INDEX(Journaux!$E$5:$E$18,MATCH("2025|"&amp;A448,Journaux!$A$5:$A$18,0))</f>
      </c>
      <c r="P448" s="0">
        <f>INDEX(Comptes!$K$5:$K$42,MATCH(E448,Comptes!$A$5:$A$42,0))</f>
      </c>
      <c r="Q448" s="0" t="inlineStr">
        <is>
          <t xml:space="preserve">4</t>
        </is>
      </c>
      <c r="R448" s="7" t="inlineStr">
        <is>
          <t xml:space="preserve">401000|F001</t>
        </is>
      </c>
    </row>
    <row r="449">
      <c r="A449" s="4" t="inlineStr">
        <is>
          <t xml:space="preserve">BQ</t>
        </is>
      </c>
      <c r="B449" s="0" t="inlineStr">
        <is>
          <t xml:space="preserve">Banque Fictive</t>
        </is>
      </c>
      <c r="C449" s="0" t="inlineStr">
        <is>
          <t xml:space="preserve">BQ00142</t>
        </is>
      </c>
      <c r="D449" s="10">
        <v>45824</v>
      </c>
      <c r="E449" s="4" t="inlineStr">
        <is>
          <t xml:space="preserve">401000</t>
        </is>
      </c>
      <c r="F449" s="0" t="inlineStr">
        <is>
          <t xml:space="preserve">Fournisseurs</t>
        </is>
      </c>
      <c r="G449" s="0" t="inlineStr">
        <is>
          <t xml:space="preserve">DEC-F001-2025043</t>
        </is>
      </c>
      <c r="H449" s="0" t="inlineStr">
        <is>
          <t xml:space="preserve">Reglement fournisseur Scierie du Nord F001-2025043</t>
        </is>
      </c>
      <c r="I449" s="8">
        <v>17716.94</v>
      </c>
      <c r="J449" s="8">
        <v>0</v>
      </c>
      <c r="K449" s="0" t="inlineStr">
        <is>
          <t xml:space="preserve">ACE</t>
        </is>
      </c>
      <c r="L449" s="0" t="inlineStr">
        <is>
          <t xml:space="preserve">Scierie du Nord</t>
        </is>
      </c>
      <c r="M449" s="8">
        <f>I449-J449</f>
      </c>
      <c r="N449" s="0" t="inlineStr">
        <is>
          <t xml:space="preserve">2025-06</t>
        </is>
      </c>
      <c r="O449" s="0">
        <f>INDEX(Journaux!$E$5:$E$18,MATCH("2025|"&amp;A449,Journaux!$A$5:$A$18,0))</f>
      </c>
      <c r="P449" s="0">
        <f>INDEX(Comptes!$K$5:$K$42,MATCH(E449,Comptes!$A$5:$A$42,0))</f>
      </c>
      <c r="Q449" s="0" t="inlineStr">
        <is>
          <t xml:space="preserve">4</t>
        </is>
      </c>
      <c r="R449" s="7" t="inlineStr">
        <is>
          <t xml:space="preserve">401000|F001</t>
        </is>
      </c>
    </row>
    <row r="450">
      <c r="A450" s="4" t="inlineStr">
        <is>
          <t xml:space="preserve">BQ</t>
        </is>
      </c>
      <c r="B450" s="0" t="inlineStr">
        <is>
          <t xml:space="preserve">Banque Fictive</t>
        </is>
      </c>
      <c r="C450" s="0" t="inlineStr">
        <is>
          <t xml:space="preserve">BQ00142</t>
        </is>
      </c>
      <c r="D450" s="10">
        <v>45824</v>
      </c>
      <c r="E450" s="4" t="inlineStr">
        <is>
          <t xml:space="preserve">512000</t>
        </is>
      </c>
      <c r="F450" s="0" t="inlineStr">
        <is>
          <t xml:space="preserve">Banque Fictive</t>
        </is>
      </c>
      <c r="G450" s="0" t="inlineStr">
        <is>
          <t xml:space="preserve">DEC-F001-2025043</t>
        </is>
      </c>
      <c r="H450" s="0" t="inlineStr">
        <is>
          <t xml:space="preserve">Reglement fournisseur Scierie du Nord F001-2025043</t>
        </is>
      </c>
      <c r="I450" s="8">
        <v>0</v>
      </c>
      <c r="J450" s="8">
        <v>17716.94</v>
      </c>
      <c r="K450" s="0"/>
      <c r="L450" s="0"/>
      <c r="M450" s="8">
        <f>I450-J450</f>
      </c>
      <c r="N450" s="0" t="inlineStr">
        <is>
          <t xml:space="preserve">2025-06</t>
        </is>
      </c>
      <c r="O450" s="0">
        <f>INDEX(Journaux!$E$5:$E$18,MATCH("2025|"&amp;A450,Journaux!$A$5:$A$18,0))</f>
      </c>
      <c r="P450" s="0">
        <f>INDEX(Comptes!$K$5:$K$42,MATCH(E450,Comptes!$A$5:$A$42,0))</f>
      </c>
      <c r="Q450" s="0" t="inlineStr">
        <is>
          <t xml:space="preserve">5</t>
        </is>
      </c>
    </row>
    <row r="451">
      <c r="A451" s="4" t="inlineStr">
        <is>
          <t xml:space="preserve">BQ</t>
        </is>
      </c>
      <c r="B451" s="0" t="inlineStr">
        <is>
          <t xml:space="preserve">Banque Fictive</t>
        </is>
      </c>
      <c r="C451" s="0" t="inlineStr">
        <is>
          <t xml:space="preserve">BQ00049</t>
        </is>
      </c>
      <c r="D451" s="10">
        <v>45828</v>
      </c>
      <c r="E451" s="4" t="inlineStr">
        <is>
          <t xml:space="preserve">445510</t>
        </is>
      </c>
      <c r="F451" s="0" t="inlineStr">
        <is>
          <t xml:space="preserve">TVA a decaisser</t>
        </is>
      </c>
      <c r="G451" s="0" t="inlineStr">
        <is>
          <t xml:space="preserve">TVA202505</t>
        </is>
      </c>
      <c r="H451" s="0" t="inlineStr">
        <is>
          <t xml:space="preserve">Reglement TVA 05/2025</t>
        </is>
      </c>
      <c r="I451" s="8">
        <v>10617.23</v>
      </c>
      <c r="J451" s="8">
        <v>0</v>
      </c>
      <c r="K451" s="0"/>
      <c r="L451" s="0"/>
      <c r="M451" s="8">
        <f>I451-J451</f>
      </c>
      <c r="N451" s="0" t="inlineStr">
        <is>
          <t xml:space="preserve">2025-06</t>
        </is>
      </c>
      <c r="O451" s="0">
        <f>INDEX(Journaux!$E$5:$E$18,MATCH("2025|"&amp;A451,Journaux!$A$5:$A$18,0))</f>
      </c>
      <c r="P451" s="0">
        <f>INDEX(Comptes!$K$5:$K$42,MATCH(E451,Comptes!$A$5:$A$42,0))</f>
      </c>
      <c r="Q451" s="0" t="inlineStr">
        <is>
          <t xml:space="preserve">4</t>
        </is>
      </c>
    </row>
    <row r="452">
      <c r="A452" s="4" t="inlineStr">
        <is>
          <t xml:space="preserve">BQ</t>
        </is>
      </c>
      <c r="B452" s="0" t="inlineStr">
        <is>
          <t xml:space="preserve">Banque Fictive</t>
        </is>
      </c>
      <c r="C452" s="0" t="inlineStr">
        <is>
          <t xml:space="preserve">BQ00049</t>
        </is>
      </c>
      <c r="D452" s="10">
        <v>45828</v>
      </c>
      <c r="E452" s="4" t="inlineStr">
        <is>
          <t xml:space="preserve">512000</t>
        </is>
      </c>
      <c r="F452" s="0" t="inlineStr">
        <is>
          <t xml:space="preserve">Banque Fictive</t>
        </is>
      </c>
      <c r="G452" s="0" t="inlineStr">
        <is>
          <t xml:space="preserve">TVA202505</t>
        </is>
      </c>
      <c r="H452" s="0" t="inlineStr">
        <is>
          <t xml:space="preserve">Reglement TVA 05/2025</t>
        </is>
      </c>
      <c r="I452" s="8">
        <v>0</v>
      </c>
      <c r="J452" s="8">
        <v>10617.23</v>
      </c>
      <c r="K452" s="0"/>
      <c r="L452" s="0"/>
      <c r="M452" s="8">
        <f>I452-J452</f>
      </c>
      <c r="N452" s="0" t="inlineStr">
        <is>
          <t xml:space="preserve">2025-06</t>
        </is>
      </c>
      <c r="O452" s="0">
        <f>INDEX(Journaux!$E$5:$E$18,MATCH("2025|"&amp;A452,Journaux!$A$5:$A$18,0))</f>
      </c>
      <c r="P452" s="0">
        <f>INDEX(Comptes!$K$5:$K$42,MATCH(E452,Comptes!$A$5:$A$42,0))</f>
      </c>
      <c r="Q452" s="0" t="inlineStr">
        <is>
          <t xml:space="preserve">5</t>
        </is>
      </c>
    </row>
    <row r="453">
      <c r="A453" s="4" t="inlineStr">
        <is>
          <t xml:space="preserve">VT</t>
        </is>
      </c>
      <c r="B453" s="0" t="inlineStr">
        <is>
          <t xml:space="preserve">Journal des ventes</t>
        </is>
      </c>
      <c r="C453" s="0" t="inlineStr">
        <is>
          <t xml:space="preserve">VT00027</t>
        </is>
      </c>
      <c r="D453" s="10">
        <v>45831</v>
      </c>
      <c r="E453" s="4" t="inlineStr">
        <is>
          <t xml:space="preserve">411000</t>
        </is>
      </c>
      <c r="F453" s="0" t="inlineStr">
        <is>
          <t xml:space="preserve">Clients</t>
        </is>
      </c>
      <c r="G453" s="0" t="inlineStr">
        <is>
          <t xml:space="preserve">FA2025-0027</t>
        </is>
      </c>
      <c r="H453" s="0" t="inlineStr">
        <is>
          <t xml:space="preserve">Facture FA2025-0027 Cabinet Varenne Associes</t>
        </is>
      </c>
      <c r="I453" s="8">
        <v>29168.32</v>
      </c>
      <c r="J453" s="8">
        <v>0</v>
      </c>
      <c r="K453" s="0" t="inlineStr">
        <is>
          <t xml:space="preserve">AAI</t>
        </is>
      </c>
      <c r="L453" s="0" t="inlineStr">
        <is>
          <t xml:space="preserve">Cabinet Varenne Associes</t>
        </is>
      </c>
      <c r="M453" s="8">
        <f>I453-J453</f>
      </c>
      <c r="N453" s="0" t="inlineStr">
        <is>
          <t xml:space="preserve">2025-06</t>
        </is>
      </c>
      <c r="O453" s="0">
        <f>INDEX(Journaux!$E$5:$E$18,MATCH("2025|"&amp;A453,Journaux!$A$5:$A$18,0))</f>
      </c>
      <c r="P453" s="0">
        <f>INDEX(Comptes!$K$5:$K$42,MATCH(E453,Comptes!$A$5:$A$42,0))</f>
      </c>
      <c r="Q453" s="0" t="inlineStr">
        <is>
          <t xml:space="preserve">4</t>
        </is>
      </c>
      <c r="R453" s="7" t="inlineStr">
        <is>
          <t xml:space="preserve">411000|C004</t>
        </is>
      </c>
    </row>
    <row r="454">
      <c r="A454" s="4" t="inlineStr">
        <is>
          <t xml:space="preserve">VT</t>
        </is>
      </c>
      <c r="B454" s="0" t="inlineStr">
        <is>
          <t xml:space="preserve">Journal des ventes</t>
        </is>
      </c>
      <c r="C454" s="0" t="inlineStr">
        <is>
          <t xml:space="preserve">VT00027</t>
        </is>
      </c>
      <c r="D454" s="10">
        <v>45831</v>
      </c>
      <c r="E454" s="4" t="inlineStr">
        <is>
          <t xml:space="preserve">701000</t>
        </is>
      </c>
      <c r="F454" s="0" t="inlineStr">
        <is>
          <t xml:space="preserve">Ventes de produits finis</t>
        </is>
      </c>
      <c r="G454" s="0" t="inlineStr">
        <is>
          <t xml:space="preserve">FA2025-0027</t>
        </is>
      </c>
      <c r="H454" s="0" t="inlineStr">
        <is>
          <t xml:space="preserve">Facture FA2025-0027 Cabinet Varenne Associes</t>
        </is>
      </c>
      <c r="I454" s="8">
        <v>0</v>
      </c>
      <c r="J454" s="8">
        <v>24306.93</v>
      </c>
      <c r="K454" s="0"/>
      <c r="L454" s="0"/>
      <c r="M454" s="8">
        <f>I454-J454</f>
      </c>
      <c r="N454" s="0" t="inlineStr">
        <is>
          <t xml:space="preserve">2025-06</t>
        </is>
      </c>
      <c r="O454" s="0">
        <f>INDEX(Journaux!$E$5:$E$18,MATCH("2025|"&amp;A454,Journaux!$A$5:$A$18,0))</f>
      </c>
      <c r="P454" s="0">
        <f>INDEX(Comptes!$K$5:$K$42,MATCH(E454,Comptes!$A$5:$A$42,0))</f>
      </c>
      <c r="Q454" s="0" t="inlineStr">
        <is>
          <t xml:space="preserve">7</t>
        </is>
      </c>
    </row>
    <row r="455">
      <c r="A455" s="4" t="inlineStr">
        <is>
          <t xml:space="preserve">VT</t>
        </is>
      </c>
      <c r="B455" s="0" t="inlineStr">
        <is>
          <t xml:space="preserve">Journal des ventes</t>
        </is>
      </c>
      <c r="C455" s="0" t="inlineStr">
        <is>
          <t xml:space="preserve">VT00027</t>
        </is>
      </c>
      <c r="D455" s="10">
        <v>45831</v>
      </c>
      <c r="E455" s="4" t="inlineStr">
        <is>
          <t xml:space="preserve">445710</t>
        </is>
      </c>
      <c r="F455" s="0" t="inlineStr">
        <is>
          <t xml:space="preserve">TVA collectee</t>
        </is>
      </c>
      <c r="G455" s="0" t="inlineStr">
        <is>
          <t xml:space="preserve">FA2025-0027</t>
        </is>
      </c>
      <c r="H455" s="0" t="inlineStr">
        <is>
          <t xml:space="preserve">Facture FA2025-0027 Cabinet Varenne Associes</t>
        </is>
      </c>
      <c r="I455" s="8">
        <v>0</v>
      </c>
      <c r="J455" s="8">
        <v>4861.39</v>
      </c>
      <c r="K455" s="0"/>
      <c r="L455" s="0"/>
      <c r="M455" s="8">
        <f>I455-J455</f>
      </c>
      <c r="N455" s="0" t="inlineStr">
        <is>
          <t xml:space="preserve">2025-06</t>
        </is>
      </c>
      <c r="O455" s="0">
        <f>INDEX(Journaux!$E$5:$E$18,MATCH("2025|"&amp;A455,Journaux!$A$5:$A$18,0))</f>
      </c>
      <c r="P455" s="0">
        <f>INDEX(Comptes!$K$5:$K$42,MATCH(E455,Comptes!$A$5:$A$42,0))</f>
      </c>
      <c r="Q455" s="0" t="inlineStr">
        <is>
          <t xml:space="preserve">4</t>
        </is>
      </c>
    </row>
    <row r="456">
      <c r="A456" s="4" t="inlineStr">
        <is>
          <t xml:space="preserve">BQ</t>
        </is>
      </c>
      <c r="B456" s="0" t="inlineStr">
        <is>
          <t xml:space="preserve">Banque Fictive</t>
        </is>
      </c>
      <c r="C456" s="0" t="inlineStr">
        <is>
          <t xml:space="preserve">BQ00086</t>
        </is>
      </c>
      <c r="D456" s="10">
        <v>45832</v>
      </c>
      <c r="E456" s="4" t="inlineStr">
        <is>
          <t xml:space="preserve">512000</t>
        </is>
      </c>
      <c r="F456" s="0" t="inlineStr">
        <is>
          <t xml:space="preserve">Banque Fictive</t>
        </is>
      </c>
      <c r="G456" s="0" t="inlineStr">
        <is>
          <t xml:space="preserve">ENC-FA2025-0019</t>
        </is>
      </c>
      <c r="H456" s="0" t="inlineStr">
        <is>
          <t xml:space="preserve">Reglement client Cabinet Varenne Associes FA2025-0019</t>
        </is>
      </c>
      <c r="I456" s="8">
        <v>20590.09</v>
      </c>
      <c r="J456" s="8">
        <v>0</v>
      </c>
      <c r="K456" s="0"/>
      <c r="L456" s="0"/>
      <c r="M456" s="8">
        <f>I456-J456</f>
      </c>
      <c r="N456" s="0" t="inlineStr">
        <is>
          <t xml:space="preserve">2025-06</t>
        </is>
      </c>
      <c r="O456" s="0">
        <f>INDEX(Journaux!$E$5:$E$18,MATCH("2025|"&amp;A456,Journaux!$A$5:$A$18,0))</f>
      </c>
      <c r="P456" s="0">
        <f>INDEX(Comptes!$K$5:$K$42,MATCH(E456,Comptes!$A$5:$A$42,0))</f>
      </c>
      <c r="Q456" s="0" t="inlineStr">
        <is>
          <t xml:space="preserve">5</t>
        </is>
      </c>
    </row>
    <row r="457">
      <c r="A457" s="4" t="inlineStr">
        <is>
          <t xml:space="preserve">BQ</t>
        </is>
      </c>
      <c r="B457" s="0" t="inlineStr">
        <is>
          <t xml:space="preserve">Banque Fictive</t>
        </is>
      </c>
      <c r="C457" s="0" t="inlineStr">
        <is>
          <t xml:space="preserve">BQ00086</t>
        </is>
      </c>
      <c r="D457" s="10">
        <v>45832</v>
      </c>
      <c r="E457" s="4" t="inlineStr">
        <is>
          <t xml:space="preserve">411000</t>
        </is>
      </c>
      <c r="F457" s="0" t="inlineStr">
        <is>
          <t xml:space="preserve">Clients</t>
        </is>
      </c>
      <c r="G457" s="0" t="inlineStr">
        <is>
          <t xml:space="preserve">ENC-FA2025-0019</t>
        </is>
      </c>
      <c r="H457" s="0" t="inlineStr">
        <is>
          <t xml:space="preserve">Reglement client Cabinet Varenne Associes FA2025-0019</t>
        </is>
      </c>
      <c r="I457" s="8">
        <v>0</v>
      </c>
      <c r="J457" s="8">
        <v>20590.09</v>
      </c>
      <c r="K457" s="0" t="inlineStr">
        <is>
          <t xml:space="preserve">AAA</t>
        </is>
      </c>
      <c r="L457" s="0" t="inlineStr">
        <is>
          <t xml:space="preserve">Cabinet Varenne Associes</t>
        </is>
      </c>
      <c r="M457" s="8">
        <f>I457-J457</f>
      </c>
      <c r="N457" s="0" t="inlineStr">
        <is>
          <t xml:space="preserve">2025-06</t>
        </is>
      </c>
      <c r="O457" s="0">
        <f>INDEX(Journaux!$E$5:$E$18,MATCH("2025|"&amp;A457,Journaux!$A$5:$A$18,0))</f>
      </c>
      <c r="P457" s="0">
        <f>INDEX(Comptes!$K$5:$K$42,MATCH(E457,Comptes!$A$5:$A$42,0))</f>
      </c>
      <c r="Q457" s="0" t="inlineStr">
        <is>
          <t xml:space="preserve">4</t>
        </is>
      </c>
      <c r="R457" s="7" t="inlineStr">
        <is>
          <t xml:space="preserve">411000|C004</t>
        </is>
      </c>
    </row>
    <row r="458">
      <c r="A458" s="4" t="inlineStr">
        <is>
          <t xml:space="preserve">VT</t>
        </is>
      </c>
      <c r="B458" s="0" t="inlineStr">
        <is>
          <t xml:space="preserve">Journal des ventes</t>
        </is>
      </c>
      <c r="C458" s="0" t="inlineStr">
        <is>
          <t xml:space="preserve">VT00028</t>
        </is>
      </c>
      <c r="D458" s="10">
        <v>45833</v>
      </c>
      <c r="E458" s="4" t="inlineStr">
        <is>
          <t xml:space="preserve">411000</t>
        </is>
      </c>
      <c r="F458" s="0" t="inlineStr">
        <is>
          <t xml:space="preserve">Clients</t>
        </is>
      </c>
      <c r="G458" s="0" t="inlineStr">
        <is>
          <t xml:space="preserve">FA2025-0028</t>
        </is>
      </c>
      <c r="H458" s="0" t="inlineStr">
        <is>
          <t xml:space="preserve">Facture FA2025-0028 Boutique Hetre et Chene</t>
        </is>
      </c>
      <c r="I458" s="8">
        <v>38156.26</v>
      </c>
      <c r="J458" s="8">
        <v>0</v>
      </c>
      <c r="K458" s="0" t="inlineStr">
        <is>
          <t xml:space="preserve">AAJ</t>
        </is>
      </c>
      <c r="L458" s="0" t="inlineStr">
        <is>
          <t xml:space="preserve">Boutique Hetre et Chene</t>
        </is>
      </c>
      <c r="M458" s="8">
        <f>I458-J458</f>
      </c>
      <c r="N458" s="0" t="inlineStr">
        <is>
          <t xml:space="preserve">2025-06</t>
        </is>
      </c>
      <c r="O458" s="0">
        <f>INDEX(Journaux!$E$5:$E$18,MATCH("2025|"&amp;A458,Journaux!$A$5:$A$18,0))</f>
      </c>
      <c r="P458" s="0">
        <f>INDEX(Comptes!$K$5:$K$42,MATCH(E458,Comptes!$A$5:$A$42,0))</f>
      </c>
      <c r="Q458" s="0" t="inlineStr">
        <is>
          <t xml:space="preserve">4</t>
        </is>
      </c>
      <c r="R458" s="7" t="inlineStr">
        <is>
          <t xml:space="preserve">411000|C007</t>
        </is>
      </c>
    </row>
    <row r="459">
      <c r="A459" s="4" t="inlineStr">
        <is>
          <t xml:space="preserve">VT</t>
        </is>
      </c>
      <c r="B459" s="0" t="inlineStr">
        <is>
          <t xml:space="preserve">Journal des ventes</t>
        </is>
      </c>
      <c r="C459" s="0" t="inlineStr">
        <is>
          <t xml:space="preserve">VT00028</t>
        </is>
      </c>
      <c r="D459" s="10">
        <v>45833</v>
      </c>
      <c r="E459" s="4" t="inlineStr">
        <is>
          <t xml:space="preserve">701000</t>
        </is>
      </c>
      <c r="F459" s="0" t="inlineStr">
        <is>
          <t xml:space="preserve">Ventes de produits finis</t>
        </is>
      </c>
      <c r="G459" s="0" t="inlineStr">
        <is>
          <t xml:space="preserve">FA2025-0028</t>
        </is>
      </c>
      <c r="H459" s="0" t="inlineStr">
        <is>
          <t xml:space="preserve">Facture FA2025-0028 Boutique Hetre et Chene</t>
        </is>
      </c>
      <c r="I459" s="8">
        <v>0</v>
      </c>
      <c r="J459" s="8">
        <v>31796.88</v>
      </c>
      <c r="K459" s="0"/>
      <c r="L459" s="0"/>
      <c r="M459" s="8">
        <f>I459-J459</f>
      </c>
      <c r="N459" s="0" t="inlineStr">
        <is>
          <t xml:space="preserve">2025-06</t>
        </is>
      </c>
      <c r="O459" s="0">
        <f>INDEX(Journaux!$E$5:$E$18,MATCH("2025|"&amp;A459,Journaux!$A$5:$A$18,0))</f>
      </c>
      <c r="P459" s="0">
        <f>INDEX(Comptes!$K$5:$K$42,MATCH(E459,Comptes!$A$5:$A$42,0))</f>
      </c>
      <c r="Q459" s="0" t="inlineStr">
        <is>
          <t xml:space="preserve">7</t>
        </is>
      </c>
    </row>
    <row r="460">
      <c r="A460" s="4" t="inlineStr">
        <is>
          <t xml:space="preserve">VT</t>
        </is>
      </c>
      <c r="B460" s="0" t="inlineStr">
        <is>
          <t xml:space="preserve">Journal des ventes</t>
        </is>
      </c>
      <c r="C460" s="0" t="inlineStr">
        <is>
          <t xml:space="preserve">VT00028</t>
        </is>
      </c>
      <c r="D460" s="10">
        <v>45833</v>
      </c>
      <c r="E460" s="4" t="inlineStr">
        <is>
          <t xml:space="preserve">445710</t>
        </is>
      </c>
      <c r="F460" s="0" t="inlineStr">
        <is>
          <t xml:space="preserve">TVA collectee</t>
        </is>
      </c>
      <c r="G460" s="0" t="inlineStr">
        <is>
          <t xml:space="preserve">FA2025-0028</t>
        </is>
      </c>
      <c r="H460" s="0" t="inlineStr">
        <is>
          <t xml:space="preserve">Facture FA2025-0028 Boutique Hetre et Chene</t>
        </is>
      </c>
      <c r="I460" s="8">
        <v>0</v>
      </c>
      <c r="J460" s="8">
        <v>6359.38</v>
      </c>
      <c r="K460" s="0"/>
      <c r="L460" s="0"/>
      <c r="M460" s="8">
        <f>I460-J460</f>
      </c>
      <c r="N460" s="0" t="inlineStr">
        <is>
          <t xml:space="preserve">2025-06</t>
        </is>
      </c>
      <c r="O460" s="0">
        <f>INDEX(Journaux!$E$5:$E$18,MATCH("2025|"&amp;A460,Journaux!$A$5:$A$18,0))</f>
      </c>
      <c r="P460" s="0">
        <f>INDEX(Comptes!$K$5:$K$42,MATCH(E460,Comptes!$A$5:$A$42,0))</f>
      </c>
      <c r="Q460" s="0" t="inlineStr">
        <is>
          <t xml:space="preserve">4</t>
        </is>
      </c>
    </row>
    <row r="461">
      <c r="A461" s="4" t="inlineStr">
        <is>
          <t xml:space="preserve">BQ</t>
        </is>
      </c>
      <c r="B461" s="0" t="inlineStr">
        <is>
          <t xml:space="preserve">Banque Fictive</t>
        </is>
      </c>
      <c r="C461" s="0" t="inlineStr">
        <is>
          <t xml:space="preserve">BQ00016</t>
        </is>
      </c>
      <c r="D461" s="10">
        <v>45838</v>
      </c>
      <c r="E461" s="4" t="inlineStr">
        <is>
          <t xml:space="preserve">421000</t>
        </is>
      </c>
      <c r="F461" s="0" t="inlineStr">
        <is>
          <t xml:space="preserve">Personnel remunerations dues</t>
        </is>
      </c>
      <c r="G461" s="0" t="inlineStr">
        <is>
          <t xml:space="preserve">VIRSAL202506</t>
        </is>
      </c>
      <c r="H461" s="0" t="inlineStr">
        <is>
          <t xml:space="preserve">Virement salaires 06/2025</t>
        </is>
      </c>
      <c r="I461" s="8">
        <v>39725.95</v>
      </c>
      <c r="J461" s="8">
        <v>0</v>
      </c>
      <c r="K461" s="0"/>
      <c r="L461" s="0"/>
      <c r="M461" s="8">
        <f>I461-J461</f>
      </c>
      <c r="N461" s="0" t="inlineStr">
        <is>
          <t xml:space="preserve">2025-06</t>
        </is>
      </c>
      <c r="O461" s="0">
        <f>INDEX(Journaux!$E$5:$E$18,MATCH("2025|"&amp;A461,Journaux!$A$5:$A$18,0))</f>
      </c>
      <c r="P461" s="0">
        <f>INDEX(Comptes!$K$5:$K$42,MATCH(E461,Comptes!$A$5:$A$42,0))</f>
      </c>
      <c r="Q461" s="0" t="inlineStr">
        <is>
          <t xml:space="preserve">4</t>
        </is>
      </c>
    </row>
    <row r="462">
      <c r="A462" s="4" t="inlineStr">
        <is>
          <t xml:space="preserve">BQ</t>
        </is>
      </c>
      <c r="B462" s="0" t="inlineStr">
        <is>
          <t xml:space="preserve">Banque Fictive</t>
        </is>
      </c>
      <c r="C462" s="0" t="inlineStr">
        <is>
          <t xml:space="preserve">BQ00016</t>
        </is>
      </c>
      <c r="D462" s="10">
        <v>45838</v>
      </c>
      <c r="E462" s="4" t="inlineStr">
        <is>
          <t xml:space="preserve">512000</t>
        </is>
      </c>
      <c r="F462" s="0" t="inlineStr">
        <is>
          <t xml:space="preserve">Banque Fictive</t>
        </is>
      </c>
      <c r="G462" s="0" t="inlineStr">
        <is>
          <t xml:space="preserve">VIRSAL202506</t>
        </is>
      </c>
      <c r="H462" s="0" t="inlineStr">
        <is>
          <t xml:space="preserve">Virement salaires 06/2025</t>
        </is>
      </c>
      <c r="I462" s="8">
        <v>0</v>
      </c>
      <c r="J462" s="8">
        <v>39725.95</v>
      </c>
      <c r="K462" s="0"/>
      <c r="L462" s="0"/>
      <c r="M462" s="8">
        <f>I462-J462</f>
      </c>
      <c r="N462" s="0" t="inlineStr">
        <is>
          <t xml:space="preserve">2025-06</t>
        </is>
      </c>
      <c r="O462" s="0">
        <f>INDEX(Journaux!$E$5:$E$18,MATCH("2025|"&amp;A462,Journaux!$A$5:$A$18,0))</f>
      </c>
      <c r="P462" s="0">
        <f>INDEX(Comptes!$K$5:$K$42,MATCH(E462,Comptes!$A$5:$A$42,0))</f>
      </c>
      <c r="Q462" s="0" t="inlineStr">
        <is>
          <t xml:space="preserve">5</t>
        </is>
      </c>
    </row>
    <row r="463">
      <c r="A463" s="4" t="inlineStr">
        <is>
          <t xml:space="preserve">BQ</t>
        </is>
      </c>
      <c r="B463" s="0" t="inlineStr">
        <is>
          <t xml:space="preserve">Banque Fictive</t>
        </is>
      </c>
      <c r="C463" s="0" t="inlineStr">
        <is>
          <t xml:space="preserve">BQ00018</t>
        </is>
      </c>
      <c r="D463" s="10">
        <v>45838</v>
      </c>
      <c r="E463" s="4" t="inlineStr">
        <is>
          <t xml:space="preserve">627000</t>
        </is>
      </c>
      <c r="F463" s="0" t="inlineStr">
        <is>
          <t xml:space="preserve">Services bancaires</t>
        </is>
      </c>
      <c r="G463" s="0" t="inlineStr">
        <is>
          <t xml:space="preserve">FRB202506</t>
        </is>
      </c>
      <c r="H463" s="0" t="inlineStr">
        <is>
          <t xml:space="preserve">Frais bancaires 06/2025</t>
        </is>
      </c>
      <c r="I463" s="8">
        <v>85</v>
      </c>
      <c r="J463" s="8">
        <v>0</v>
      </c>
      <c r="K463" s="0"/>
      <c r="L463" s="0"/>
      <c r="M463" s="8">
        <f>I463-J463</f>
      </c>
      <c r="N463" s="0" t="inlineStr">
        <is>
          <t xml:space="preserve">2025-06</t>
        </is>
      </c>
      <c r="O463" s="0">
        <f>INDEX(Journaux!$E$5:$E$18,MATCH("2025|"&amp;A463,Journaux!$A$5:$A$18,0))</f>
      </c>
      <c r="P463" s="0">
        <f>INDEX(Comptes!$K$5:$K$42,MATCH(E463,Comptes!$A$5:$A$42,0))</f>
      </c>
      <c r="Q463" s="0" t="inlineStr">
        <is>
          <t xml:space="preserve">6</t>
        </is>
      </c>
    </row>
    <row r="464">
      <c r="A464" s="4" t="inlineStr">
        <is>
          <t xml:space="preserve">BQ</t>
        </is>
      </c>
      <c r="B464" s="0" t="inlineStr">
        <is>
          <t xml:space="preserve">Banque Fictive</t>
        </is>
      </c>
      <c r="C464" s="0" t="inlineStr">
        <is>
          <t xml:space="preserve">BQ00018</t>
        </is>
      </c>
      <c r="D464" s="10">
        <v>45838</v>
      </c>
      <c r="E464" s="4" t="inlineStr">
        <is>
          <t xml:space="preserve">512000</t>
        </is>
      </c>
      <c r="F464" s="0" t="inlineStr">
        <is>
          <t xml:space="preserve">Banque Fictive</t>
        </is>
      </c>
      <c r="G464" s="0" t="inlineStr">
        <is>
          <t xml:space="preserve">FRB202506</t>
        </is>
      </c>
      <c r="H464" s="0" t="inlineStr">
        <is>
          <t xml:space="preserve">Frais bancaires 06/2025</t>
        </is>
      </c>
      <c r="I464" s="8">
        <v>0</v>
      </c>
      <c r="J464" s="8">
        <v>85</v>
      </c>
      <c r="K464" s="0"/>
      <c r="L464" s="0"/>
      <c r="M464" s="8">
        <f>I464-J464</f>
      </c>
      <c r="N464" s="0" t="inlineStr">
        <is>
          <t xml:space="preserve">2025-06</t>
        </is>
      </c>
      <c r="O464" s="0">
        <f>INDEX(Journaux!$E$5:$E$18,MATCH("2025|"&amp;A464,Journaux!$A$5:$A$18,0))</f>
      </c>
      <c r="P464" s="0">
        <f>INDEX(Comptes!$K$5:$K$42,MATCH(E464,Comptes!$A$5:$A$42,0))</f>
      </c>
      <c r="Q464" s="0" t="inlineStr">
        <is>
          <t xml:space="preserve">5</t>
        </is>
      </c>
    </row>
    <row r="465">
      <c r="A465" s="4" t="inlineStr">
        <is>
          <t xml:space="preserve">OD</t>
        </is>
      </c>
      <c r="B465" s="0" t="inlineStr">
        <is>
          <t xml:space="preserve">Operations diverses</t>
        </is>
      </c>
      <c r="C465" s="0" t="inlineStr">
        <is>
          <t xml:space="preserve">OD00006</t>
        </is>
      </c>
      <c r="D465" s="10">
        <v>45838</v>
      </c>
      <c r="E465" s="4" t="inlineStr">
        <is>
          <t xml:space="preserve">445710</t>
        </is>
      </c>
      <c r="F465" s="0" t="inlineStr">
        <is>
          <t xml:space="preserve">TVA collectee</t>
        </is>
      </c>
      <c r="G465" s="0" t="inlineStr">
        <is>
          <t xml:space="preserve">CA3-202506</t>
        </is>
      </c>
      <c r="H465" s="0" t="inlineStr">
        <is>
          <t xml:space="preserve">Declaration TVA 06/2025</t>
        </is>
      </c>
      <c r="I465" s="8">
        <v>24500.01</v>
      </c>
      <c r="J465" s="8">
        <v>0</v>
      </c>
      <c r="K465" s="0"/>
      <c r="L465" s="0"/>
      <c r="M465" s="8">
        <f>I465-J465</f>
      </c>
      <c r="N465" s="0" t="inlineStr">
        <is>
          <t xml:space="preserve">2025-06</t>
        </is>
      </c>
      <c r="O465" s="0">
        <f>INDEX(Journaux!$E$5:$E$18,MATCH("2025|"&amp;A465,Journaux!$A$5:$A$18,0))</f>
      </c>
      <c r="P465" s="0">
        <f>INDEX(Comptes!$K$5:$K$42,MATCH(E465,Comptes!$A$5:$A$42,0))</f>
      </c>
      <c r="Q465" s="0" t="inlineStr">
        <is>
          <t xml:space="preserve">4</t>
        </is>
      </c>
    </row>
    <row r="466">
      <c r="A466" s="4" t="inlineStr">
        <is>
          <t xml:space="preserve">OD</t>
        </is>
      </c>
      <c r="B466" s="0" t="inlineStr">
        <is>
          <t xml:space="preserve">Operations diverses</t>
        </is>
      </c>
      <c r="C466" s="0" t="inlineStr">
        <is>
          <t xml:space="preserve">OD00006</t>
        </is>
      </c>
      <c r="D466" s="10">
        <v>45838</v>
      </c>
      <c r="E466" s="4" t="inlineStr">
        <is>
          <t xml:space="preserve">445660</t>
        </is>
      </c>
      <c r="F466" s="0" t="inlineStr">
        <is>
          <t xml:space="preserve">TVA deductible sur ABS</t>
        </is>
      </c>
      <c r="G466" s="0" t="inlineStr">
        <is>
          <t xml:space="preserve">CA3-202506</t>
        </is>
      </c>
      <c r="H466" s="0" t="inlineStr">
        <is>
          <t xml:space="preserve">Declaration TVA 06/2025</t>
        </is>
      </c>
      <c r="I466" s="8">
        <v>0</v>
      </c>
      <c r="J466" s="8">
        <v>15025.09</v>
      </c>
      <c r="K466" s="0"/>
      <c r="L466" s="0"/>
      <c r="M466" s="8">
        <f>I466-J466</f>
      </c>
      <c r="N466" s="0" t="inlineStr">
        <is>
          <t xml:space="preserve">2025-06</t>
        </is>
      </c>
      <c r="O466" s="0">
        <f>INDEX(Journaux!$E$5:$E$18,MATCH("2025|"&amp;A466,Journaux!$A$5:$A$18,0))</f>
      </c>
      <c r="P466" s="0">
        <f>INDEX(Comptes!$K$5:$K$42,MATCH(E466,Comptes!$A$5:$A$42,0))</f>
      </c>
      <c r="Q466" s="0" t="inlineStr">
        <is>
          <t xml:space="preserve">4</t>
        </is>
      </c>
    </row>
    <row r="467">
      <c r="A467" s="4" t="inlineStr">
        <is>
          <t xml:space="preserve">OD</t>
        </is>
      </c>
      <c r="B467" s="0" t="inlineStr">
        <is>
          <t xml:space="preserve">Operations diverses</t>
        </is>
      </c>
      <c r="C467" s="0" t="inlineStr">
        <is>
          <t xml:space="preserve">OD00006</t>
        </is>
      </c>
      <c r="D467" s="10">
        <v>45838</v>
      </c>
      <c r="E467" s="4" t="inlineStr">
        <is>
          <t xml:space="preserve">445510</t>
        </is>
      </c>
      <c r="F467" s="0" t="inlineStr">
        <is>
          <t xml:space="preserve">TVA a decaisser</t>
        </is>
      </c>
      <c r="G467" s="0" t="inlineStr">
        <is>
          <t xml:space="preserve">CA3-202506</t>
        </is>
      </c>
      <c r="H467" s="0" t="inlineStr">
        <is>
          <t xml:space="preserve">Declaration TVA 06/2025</t>
        </is>
      </c>
      <c r="I467" s="8">
        <v>0</v>
      </c>
      <c r="J467" s="8">
        <v>9474.92</v>
      </c>
      <c r="K467" s="0"/>
      <c r="L467" s="0"/>
      <c r="M467" s="8">
        <f>I467-J467</f>
      </c>
      <c r="N467" s="0" t="inlineStr">
        <is>
          <t xml:space="preserve">2025-06</t>
        </is>
      </c>
      <c r="O467" s="0">
        <f>INDEX(Journaux!$E$5:$E$18,MATCH("2025|"&amp;A467,Journaux!$A$5:$A$18,0))</f>
      </c>
      <c r="P467" s="0">
        <f>INDEX(Comptes!$K$5:$K$42,MATCH(E467,Comptes!$A$5:$A$42,0))</f>
      </c>
      <c r="Q467" s="0" t="inlineStr">
        <is>
          <t xml:space="preserve">4</t>
        </is>
      </c>
    </row>
    <row r="468">
      <c r="A468" s="4" t="inlineStr">
        <is>
          <t xml:space="preserve">OD</t>
        </is>
      </c>
      <c r="B468" s="0" t="inlineStr">
        <is>
          <t xml:space="preserve">Operations diverses</t>
        </is>
      </c>
      <c r="C468" s="0" t="inlineStr">
        <is>
          <t xml:space="preserve">OD00013</t>
        </is>
      </c>
      <c r="D468" s="10">
        <v>45838</v>
      </c>
      <c r="E468" s="4" t="inlineStr">
        <is>
          <t xml:space="preserve">120000</t>
        </is>
      </c>
      <c r="F468" s="0" t="inlineStr">
        <is>
          <t xml:space="preserve">Resultat de l'exercice</t>
        </is>
      </c>
      <c r="G468" s="0" t="inlineStr">
        <is>
          <t xml:space="preserve">AGO2024</t>
        </is>
      </c>
      <c r="H468" s="0" t="inlineStr">
        <is>
          <t xml:space="preserve">Affectation du resultat 2024</t>
        </is>
      </c>
      <c r="I468" s="8">
        <v>51379.86</v>
      </c>
      <c r="J468" s="8">
        <v>0</v>
      </c>
      <c r="K468" s="0"/>
      <c r="L468" s="0"/>
      <c r="M468" s="8">
        <f>I468-J468</f>
      </c>
      <c r="N468" s="0" t="inlineStr">
        <is>
          <t xml:space="preserve">2025-06</t>
        </is>
      </c>
      <c r="O468" s="0">
        <f>INDEX(Journaux!$E$5:$E$18,MATCH("2025|"&amp;A468,Journaux!$A$5:$A$18,0))</f>
      </c>
      <c r="P468" s="0">
        <f>INDEX(Comptes!$K$5:$K$42,MATCH(E468,Comptes!$A$5:$A$42,0))</f>
      </c>
      <c r="Q468" s="0" t="inlineStr">
        <is>
          <t xml:space="preserve">1</t>
        </is>
      </c>
    </row>
    <row r="469">
      <c r="A469" s="4" t="inlineStr">
        <is>
          <t xml:space="preserve">OD</t>
        </is>
      </c>
      <c r="B469" s="0" t="inlineStr">
        <is>
          <t xml:space="preserve">Operations diverses</t>
        </is>
      </c>
      <c r="C469" s="0" t="inlineStr">
        <is>
          <t xml:space="preserve">OD00013</t>
        </is>
      </c>
      <c r="D469" s="10">
        <v>45838</v>
      </c>
      <c r="E469" s="4" t="inlineStr">
        <is>
          <t xml:space="preserve">110000</t>
        </is>
      </c>
      <c r="F469" s="0" t="inlineStr">
        <is>
          <t xml:space="preserve">Report a nouveau</t>
        </is>
      </c>
      <c r="G469" s="0" t="inlineStr">
        <is>
          <t xml:space="preserve">AGO2024</t>
        </is>
      </c>
      <c r="H469" s="0" t="inlineStr">
        <is>
          <t xml:space="preserve">Affectation du resultat 2024</t>
        </is>
      </c>
      <c r="I469" s="8">
        <v>0</v>
      </c>
      <c r="J469" s="8">
        <v>51379.86</v>
      </c>
      <c r="K469" s="0"/>
      <c r="L469" s="0"/>
      <c r="M469" s="8">
        <f>I469-J469</f>
      </c>
      <c r="N469" s="0" t="inlineStr">
        <is>
          <t xml:space="preserve">2025-06</t>
        </is>
      </c>
      <c r="O469" s="0">
        <f>INDEX(Journaux!$E$5:$E$18,MATCH("2025|"&amp;A469,Journaux!$A$5:$A$18,0))</f>
      </c>
      <c r="P469" s="0">
        <f>INDEX(Comptes!$K$5:$K$42,MATCH(E469,Comptes!$A$5:$A$42,0))</f>
      </c>
      <c r="Q469" s="0" t="inlineStr">
        <is>
          <t xml:space="preserve">1</t>
        </is>
      </c>
    </row>
    <row r="470">
      <c r="A470" s="4" t="inlineStr">
        <is>
          <t xml:space="preserve">SA</t>
        </is>
      </c>
      <c r="B470" s="0" t="inlineStr">
        <is>
          <t xml:space="preserve">Salaires</t>
        </is>
      </c>
      <c r="C470" s="0" t="inlineStr">
        <is>
          <t xml:space="preserve">SA00006</t>
        </is>
      </c>
      <c r="D470" s="10">
        <v>45838</v>
      </c>
      <c r="E470" s="4" t="inlineStr">
        <is>
          <t xml:space="preserve">641000</t>
        </is>
      </c>
      <c r="F470" s="0" t="inlineStr">
        <is>
          <t xml:space="preserve">Remunerations du personnel</t>
        </is>
      </c>
      <c r="G470" s="0" t="inlineStr">
        <is>
          <t xml:space="preserve">PAIE202506</t>
        </is>
      </c>
      <c r="H470" s="0" t="inlineStr">
        <is>
          <t xml:space="preserve">Paie 06/2025</t>
        </is>
      </c>
      <c r="I470" s="8">
        <v>50930.71</v>
      </c>
      <c r="J470" s="8">
        <v>0</v>
      </c>
      <c r="K470" s="0"/>
      <c r="L470" s="0"/>
      <c r="M470" s="8">
        <f>I470-J470</f>
      </c>
      <c r="N470" s="0" t="inlineStr">
        <is>
          <t xml:space="preserve">2025-06</t>
        </is>
      </c>
      <c r="O470" s="0">
        <f>INDEX(Journaux!$E$5:$E$18,MATCH("2025|"&amp;A470,Journaux!$A$5:$A$18,0))</f>
      </c>
      <c r="P470" s="0">
        <f>INDEX(Comptes!$K$5:$K$42,MATCH(E470,Comptes!$A$5:$A$42,0))</f>
      </c>
      <c r="Q470" s="0" t="inlineStr">
        <is>
          <t xml:space="preserve">6</t>
        </is>
      </c>
    </row>
    <row r="471">
      <c r="A471" s="4" t="inlineStr">
        <is>
          <t xml:space="preserve">SA</t>
        </is>
      </c>
      <c r="B471" s="0" t="inlineStr">
        <is>
          <t xml:space="preserve">Salaires</t>
        </is>
      </c>
      <c r="C471" s="0" t="inlineStr">
        <is>
          <t xml:space="preserve">SA00006</t>
        </is>
      </c>
      <c r="D471" s="10">
        <v>45838</v>
      </c>
      <c r="E471" s="4" t="inlineStr">
        <is>
          <t xml:space="preserve">645100</t>
        </is>
      </c>
      <c r="F471" s="0" t="inlineStr">
        <is>
          <t xml:space="preserve">Cotisations URSSAF</t>
        </is>
      </c>
      <c r="G471" s="0" t="inlineStr">
        <is>
          <t xml:space="preserve">PAIE202506</t>
        </is>
      </c>
      <c r="H471" s="0" t="inlineStr">
        <is>
          <t xml:space="preserve">Paie 06/2025</t>
        </is>
      </c>
      <c r="I471" s="8">
        <v>21390.9</v>
      </c>
      <c r="J471" s="8">
        <v>0</v>
      </c>
      <c r="K471" s="0"/>
      <c r="L471" s="0"/>
      <c r="M471" s="8">
        <f>I471-J471</f>
      </c>
      <c r="N471" s="0" t="inlineStr">
        <is>
          <t xml:space="preserve">2025-06</t>
        </is>
      </c>
      <c r="O471" s="0">
        <f>INDEX(Journaux!$E$5:$E$18,MATCH("2025|"&amp;A471,Journaux!$A$5:$A$18,0))</f>
      </c>
      <c r="P471" s="0">
        <f>INDEX(Comptes!$K$5:$K$42,MATCH(E471,Comptes!$A$5:$A$42,0))</f>
      </c>
      <c r="Q471" s="0" t="inlineStr">
        <is>
          <t xml:space="preserve">6</t>
        </is>
      </c>
    </row>
    <row r="472">
      <c r="A472" s="4" t="inlineStr">
        <is>
          <t xml:space="preserve">SA</t>
        </is>
      </c>
      <c r="B472" s="0" t="inlineStr">
        <is>
          <t xml:space="preserve">Salaires</t>
        </is>
      </c>
      <c r="C472" s="0" t="inlineStr">
        <is>
          <t xml:space="preserve">SA00006</t>
        </is>
      </c>
      <c r="D472" s="10">
        <v>45838</v>
      </c>
      <c r="E472" s="4" t="inlineStr">
        <is>
          <t xml:space="preserve">421000</t>
        </is>
      </c>
      <c r="F472" s="0" t="inlineStr">
        <is>
          <t xml:space="preserve">Personnel remunerations dues</t>
        </is>
      </c>
      <c r="G472" s="0" t="inlineStr">
        <is>
          <t xml:space="preserve">PAIE202506</t>
        </is>
      </c>
      <c r="H472" s="0" t="inlineStr">
        <is>
          <t xml:space="preserve">Paie 06/2025</t>
        </is>
      </c>
      <c r="I472" s="8">
        <v>0</v>
      </c>
      <c r="J472" s="8">
        <v>39725.95</v>
      </c>
      <c r="K472" s="0"/>
      <c r="L472" s="0"/>
      <c r="M472" s="8">
        <f>I472-J472</f>
      </c>
      <c r="N472" s="0" t="inlineStr">
        <is>
          <t xml:space="preserve">2025-06</t>
        </is>
      </c>
      <c r="O472" s="0">
        <f>INDEX(Journaux!$E$5:$E$18,MATCH("2025|"&amp;A472,Journaux!$A$5:$A$18,0))</f>
      </c>
      <c r="P472" s="0">
        <f>INDEX(Comptes!$K$5:$K$42,MATCH(E472,Comptes!$A$5:$A$42,0))</f>
      </c>
      <c r="Q472" s="0" t="inlineStr">
        <is>
          <t xml:space="preserve">4</t>
        </is>
      </c>
    </row>
    <row r="473">
      <c r="A473" s="4" t="inlineStr">
        <is>
          <t xml:space="preserve">SA</t>
        </is>
      </c>
      <c r="B473" s="0" t="inlineStr">
        <is>
          <t xml:space="preserve">Salaires</t>
        </is>
      </c>
      <c r="C473" s="0" t="inlineStr">
        <is>
          <t xml:space="preserve">SA00006</t>
        </is>
      </c>
      <c r="D473" s="10">
        <v>45838</v>
      </c>
      <c r="E473" s="4" t="inlineStr">
        <is>
          <t xml:space="preserve">431000</t>
        </is>
      </c>
      <c r="F473" s="0" t="inlineStr">
        <is>
          <t xml:space="preserve">Securite sociale</t>
        </is>
      </c>
      <c r="G473" s="0" t="inlineStr">
        <is>
          <t xml:space="preserve">PAIE202506</t>
        </is>
      </c>
      <c r="H473" s="0" t="inlineStr">
        <is>
          <t xml:space="preserve">Paie 06/2025</t>
        </is>
      </c>
      <c r="I473" s="8">
        <v>0</v>
      </c>
      <c r="J473" s="8">
        <v>32595.66</v>
      </c>
      <c r="K473" s="0"/>
      <c r="L473" s="0"/>
      <c r="M473" s="8">
        <f>I473-J473</f>
      </c>
      <c r="N473" s="0" t="inlineStr">
        <is>
          <t xml:space="preserve">2025-06</t>
        </is>
      </c>
      <c r="O473" s="0">
        <f>INDEX(Journaux!$E$5:$E$18,MATCH("2025|"&amp;A473,Journaux!$A$5:$A$18,0))</f>
      </c>
      <c r="P473" s="0">
        <f>INDEX(Comptes!$K$5:$K$42,MATCH(E473,Comptes!$A$5:$A$42,0))</f>
      </c>
      <c r="Q473" s="0" t="inlineStr">
        <is>
          <t xml:space="preserve">4</t>
        </is>
      </c>
    </row>
    <row r="474">
      <c r="A474" s="4" t="inlineStr">
        <is>
          <t xml:space="preserve">VT</t>
        </is>
      </c>
      <c r="B474" s="0" t="inlineStr">
        <is>
          <t xml:space="preserve">Journal des ventes</t>
        </is>
      </c>
      <c r="C474" s="0" t="inlineStr">
        <is>
          <t xml:space="preserve">VT00026</t>
        </is>
      </c>
      <c r="D474" s="10">
        <v>45838</v>
      </c>
      <c r="E474" s="4" t="inlineStr">
        <is>
          <t xml:space="preserve">411000</t>
        </is>
      </c>
      <c r="F474" s="0" t="inlineStr">
        <is>
          <t xml:space="preserve">Clients</t>
        </is>
      </c>
      <c r="G474" s="0" t="inlineStr">
        <is>
          <t xml:space="preserve">FA2025-0026</t>
        </is>
      </c>
      <c r="H474" s="0" t="inlineStr">
        <is>
          <t xml:space="preserve">Facture FA2025-0026 Boutique Hetre et Chene</t>
        </is>
      </c>
      <c r="I474" s="8">
        <v>22876.62</v>
      </c>
      <c r="J474" s="8">
        <v>0</v>
      </c>
      <c r="K474" s="0" t="inlineStr">
        <is>
          <t xml:space="preserve">AAH</t>
        </is>
      </c>
      <c r="L474" s="0" t="inlineStr">
        <is>
          <t xml:space="preserve">Boutique Hetre et Chene</t>
        </is>
      </c>
      <c r="M474" s="8">
        <f>I474-J474</f>
      </c>
      <c r="N474" s="0" t="inlineStr">
        <is>
          <t xml:space="preserve">2025-06</t>
        </is>
      </c>
      <c r="O474" s="0">
        <f>INDEX(Journaux!$E$5:$E$18,MATCH("2025|"&amp;A474,Journaux!$A$5:$A$18,0))</f>
      </c>
      <c r="P474" s="0">
        <f>INDEX(Comptes!$K$5:$K$42,MATCH(E474,Comptes!$A$5:$A$42,0))</f>
      </c>
      <c r="Q474" s="0" t="inlineStr">
        <is>
          <t xml:space="preserve">4</t>
        </is>
      </c>
      <c r="R474" s="7" t="inlineStr">
        <is>
          <t xml:space="preserve">411000|C007</t>
        </is>
      </c>
    </row>
    <row r="475">
      <c r="A475" s="4" t="inlineStr">
        <is>
          <t xml:space="preserve">VT</t>
        </is>
      </c>
      <c r="B475" s="0" t="inlineStr">
        <is>
          <t xml:space="preserve">Journal des ventes</t>
        </is>
      </c>
      <c r="C475" s="0" t="inlineStr">
        <is>
          <t xml:space="preserve">VT00026</t>
        </is>
      </c>
      <c r="D475" s="10">
        <v>45838</v>
      </c>
      <c r="E475" s="4" t="inlineStr">
        <is>
          <t xml:space="preserve">701000</t>
        </is>
      </c>
      <c r="F475" s="0" t="inlineStr">
        <is>
          <t xml:space="preserve">Ventes de produits finis</t>
        </is>
      </c>
      <c r="G475" s="0" t="inlineStr">
        <is>
          <t xml:space="preserve">FA2025-0026</t>
        </is>
      </c>
      <c r="H475" s="0" t="inlineStr">
        <is>
          <t xml:space="preserve">Facture FA2025-0026 Boutique Hetre et Chene</t>
        </is>
      </c>
      <c r="I475" s="8">
        <v>0</v>
      </c>
      <c r="J475" s="8">
        <v>19063.85</v>
      </c>
      <c r="K475" s="0"/>
      <c r="L475" s="0"/>
      <c r="M475" s="8">
        <f>I475-J475</f>
      </c>
      <c r="N475" s="0" t="inlineStr">
        <is>
          <t xml:space="preserve">2025-06</t>
        </is>
      </c>
      <c r="O475" s="0">
        <f>INDEX(Journaux!$E$5:$E$18,MATCH("2025|"&amp;A475,Journaux!$A$5:$A$18,0))</f>
      </c>
      <c r="P475" s="0">
        <f>INDEX(Comptes!$K$5:$K$42,MATCH(E475,Comptes!$A$5:$A$42,0))</f>
      </c>
      <c r="Q475" s="0" t="inlineStr">
        <is>
          <t xml:space="preserve">7</t>
        </is>
      </c>
    </row>
    <row r="476">
      <c r="A476" s="4" t="inlineStr">
        <is>
          <t xml:space="preserve">VT</t>
        </is>
      </c>
      <c r="B476" s="0" t="inlineStr">
        <is>
          <t xml:space="preserve">Journal des ventes</t>
        </is>
      </c>
      <c r="C476" s="0" t="inlineStr">
        <is>
          <t xml:space="preserve">VT00026</t>
        </is>
      </c>
      <c r="D476" s="10">
        <v>45838</v>
      </c>
      <c r="E476" s="4" t="inlineStr">
        <is>
          <t xml:space="preserve">445710</t>
        </is>
      </c>
      <c r="F476" s="0" t="inlineStr">
        <is>
          <t xml:space="preserve">TVA collectee</t>
        </is>
      </c>
      <c r="G476" s="0" t="inlineStr">
        <is>
          <t xml:space="preserve">FA2025-0026</t>
        </is>
      </c>
      <c r="H476" s="0" t="inlineStr">
        <is>
          <t xml:space="preserve">Facture FA2025-0026 Boutique Hetre et Chene</t>
        </is>
      </c>
      <c r="I476" s="8">
        <v>0</v>
      </c>
      <c r="J476" s="8">
        <v>3812.77</v>
      </c>
      <c r="K476" s="0"/>
      <c r="L476" s="0"/>
      <c r="M476" s="8">
        <f>I476-J476</f>
      </c>
      <c r="N476" s="0" t="inlineStr">
        <is>
          <t xml:space="preserve">2025-06</t>
        </is>
      </c>
      <c r="O476" s="0">
        <f>INDEX(Journaux!$E$5:$E$18,MATCH("2025|"&amp;A476,Journaux!$A$5:$A$18,0))</f>
      </c>
      <c r="P476" s="0">
        <f>INDEX(Comptes!$K$5:$K$42,MATCH(E476,Comptes!$A$5:$A$42,0))</f>
      </c>
      <c r="Q476" s="0" t="inlineStr">
        <is>
          <t xml:space="preserve">4</t>
        </is>
      </c>
    </row>
    <row r="477">
      <c r="A477" s="4" t="inlineStr">
        <is>
          <t xml:space="preserve">BQ</t>
        </is>
      </c>
      <c r="B477" s="0" t="inlineStr">
        <is>
          <t xml:space="preserve">Banque Fictive</t>
        </is>
      </c>
      <c r="C477" s="0" t="inlineStr">
        <is>
          <t xml:space="preserve">BQ00140</t>
        </is>
      </c>
      <c r="D477" s="10">
        <v>45841</v>
      </c>
      <c r="E477" s="4" t="inlineStr">
        <is>
          <t xml:space="preserve">401000</t>
        </is>
      </c>
      <c r="F477" s="0" t="inlineStr">
        <is>
          <t xml:space="preserve">Fournisseurs</t>
        </is>
      </c>
      <c r="G477" s="0" t="inlineStr">
        <is>
          <t xml:space="preserve">DEC-F001-2025041</t>
        </is>
      </c>
      <c r="H477" s="0" t="inlineStr">
        <is>
          <t xml:space="preserve">Reglement fournisseur Scierie du Nord F001-2025041</t>
        </is>
      </c>
      <c r="I477" s="8">
        <v>23171.46</v>
      </c>
      <c r="J477" s="8">
        <v>0</v>
      </c>
      <c r="K477" s="0" t="inlineStr">
        <is>
          <t xml:space="preserve">ACC</t>
        </is>
      </c>
      <c r="L477" s="0" t="inlineStr">
        <is>
          <t xml:space="preserve">Scierie du Nord</t>
        </is>
      </c>
      <c r="M477" s="8">
        <f>I477-J477</f>
      </c>
      <c r="N477" s="0" t="inlineStr">
        <is>
          <t xml:space="preserve">2025-07</t>
        </is>
      </c>
      <c r="O477" s="0">
        <f>INDEX(Journaux!$E$5:$E$18,MATCH("2025|"&amp;A477,Journaux!$A$5:$A$18,0))</f>
      </c>
      <c r="P477" s="0">
        <f>INDEX(Comptes!$K$5:$K$42,MATCH(E477,Comptes!$A$5:$A$42,0))</f>
      </c>
      <c r="Q477" s="0" t="inlineStr">
        <is>
          <t xml:space="preserve">4</t>
        </is>
      </c>
      <c r="R477" s="7" t="inlineStr">
        <is>
          <t xml:space="preserve">401000|F001</t>
        </is>
      </c>
    </row>
    <row r="478">
      <c r="A478" s="4" t="inlineStr">
        <is>
          <t xml:space="preserve">BQ</t>
        </is>
      </c>
      <c r="B478" s="0" t="inlineStr">
        <is>
          <t xml:space="preserve">Banque Fictive</t>
        </is>
      </c>
      <c r="C478" s="0" t="inlineStr">
        <is>
          <t xml:space="preserve">BQ00140</t>
        </is>
      </c>
      <c r="D478" s="10">
        <v>45841</v>
      </c>
      <c r="E478" s="4" t="inlineStr">
        <is>
          <t xml:space="preserve">512000</t>
        </is>
      </c>
      <c r="F478" s="0" t="inlineStr">
        <is>
          <t xml:space="preserve">Banque Fictive</t>
        </is>
      </c>
      <c r="G478" s="0" t="inlineStr">
        <is>
          <t xml:space="preserve">DEC-F001-2025041</t>
        </is>
      </c>
      <c r="H478" s="0" t="inlineStr">
        <is>
          <t xml:space="preserve">Reglement fournisseur Scierie du Nord F001-2025041</t>
        </is>
      </c>
      <c r="I478" s="8">
        <v>0</v>
      </c>
      <c r="J478" s="8">
        <v>23171.46</v>
      </c>
      <c r="K478" s="0"/>
      <c r="L478" s="0"/>
      <c r="M478" s="8">
        <f>I478-J478</f>
      </c>
      <c r="N478" s="0" t="inlineStr">
        <is>
          <t xml:space="preserve">2025-07</t>
        </is>
      </c>
      <c r="O478" s="0">
        <f>INDEX(Journaux!$E$5:$E$18,MATCH("2025|"&amp;A478,Journaux!$A$5:$A$18,0))</f>
      </c>
      <c r="P478" s="0">
        <f>INDEX(Comptes!$K$5:$K$42,MATCH(E478,Comptes!$A$5:$A$42,0))</f>
      </c>
      <c r="Q478" s="0" t="inlineStr">
        <is>
          <t xml:space="preserve">5</t>
        </is>
      </c>
    </row>
    <row r="479">
      <c r="A479" s="4" t="inlineStr">
        <is>
          <t xml:space="preserve">AC</t>
        </is>
      </c>
      <c r="B479" s="0" t="inlineStr">
        <is>
          <t xml:space="preserve">Journal des achats</t>
        </is>
      </c>
      <c r="C479" s="0" t="inlineStr">
        <is>
          <t xml:space="preserve">AC00040</t>
        </is>
      </c>
      <c r="D479" s="10">
        <v>45842</v>
      </c>
      <c r="E479" s="4" t="inlineStr">
        <is>
          <t xml:space="preserve">601000</t>
        </is>
      </c>
      <c r="F479" s="0" t="inlineStr">
        <is>
          <t xml:space="preserve">Achats de matieres premieres</t>
        </is>
      </c>
      <c r="G479" s="0" t="inlineStr">
        <is>
          <t xml:space="preserve">F003-2025072</t>
        </is>
      </c>
      <c r="H479" s="0" t="inlineStr">
        <is>
          <t xml:space="preserve">Facture Vernis et Finitions F003-2025072</t>
        </is>
      </c>
      <c r="I479" s="8">
        <v>13993.26</v>
      </c>
      <c r="J479" s="8">
        <v>0</v>
      </c>
      <c r="K479" s="0"/>
      <c r="L479" s="0"/>
      <c r="M479" s="8">
        <f>I479-J479</f>
      </c>
      <c r="N479" s="0" t="inlineStr">
        <is>
          <t xml:space="preserve">2025-07</t>
        </is>
      </c>
      <c r="O479" s="0">
        <f>INDEX(Journaux!$E$5:$E$18,MATCH("2025|"&amp;A479,Journaux!$A$5:$A$18,0))</f>
      </c>
      <c r="P479" s="0">
        <f>INDEX(Comptes!$K$5:$K$42,MATCH(E479,Comptes!$A$5:$A$42,0))</f>
      </c>
      <c r="Q479" s="0" t="inlineStr">
        <is>
          <t xml:space="preserve">6</t>
        </is>
      </c>
    </row>
    <row r="480">
      <c r="A480" s="4" t="inlineStr">
        <is>
          <t xml:space="preserve">AC</t>
        </is>
      </c>
      <c r="B480" s="0" t="inlineStr">
        <is>
          <t xml:space="preserve">Journal des achats</t>
        </is>
      </c>
      <c r="C480" s="0" t="inlineStr">
        <is>
          <t xml:space="preserve">AC00040</t>
        </is>
      </c>
      <c r="D480" s="10">
        <v>45842</v>
      </c>
      <c r="E480" s="4" t="inlineStr">
        <is>
          <t xml:space="preserve">445660</t>
        </is>
      </c>
      <c r="F480" s="0" t="inlineStr">
        <is>
          <t xml:space="preserve">TVA deductible sur ABS</t>
        </is>
      </c>
      <c r="G480" s="0" t="inlineStr">
        <is>
          <t xml:space="preserve">F003-2025072</t>
        </is>
      </c>
      <c r="H480" s="0" t="inlineStr">
        <is>
          <t xml:space="preserve">Facture Vernis et Finitions F003-2025072</t>
        </is>
      </c>
      <c r="I480" s="8">
        <v>2798.65</v>
      </c>
      <c r="J480" s="8">
        <v>0</v>
      </c>
      <c r="K480" s="0"/>
      <c r="L480" s="0"/>
      <c r="M480" s="8">
        <f>I480-J480</f>
      </c>
      <c r="N480" s="0" t="inlineStr">
        <is>
          <t xml:space="preserve">2025-07</t>
        </is>
      </c>
      <c r="O480" s="0">
        <f>INDEX(Journaux!$E$5:$E$18,MATCH("2025|"&amp;A480,Journaux!$A$5:$A$18,0))</f>
      </c>
      <c r="P480" s="0">
        <f>INDEX(Comptes!$K$5:$K$42,MATCH(E480,Comptes!$A$5:$A$42,0))</f>
      </c>
      <c r="Q480" s="0" t="inlineStr">
        <is>
          <t xml:space="preserve">4</t>
        </is>
      </c>
    </row>
    <row r="481">
      <c r="A481" s="4" t="inlineStr">
        <is>
          <t xml:space="preserve">AC</t>
        </is>
      </c>
      <c r="B481" s="0" t="inlineStr">
        <is>
          <t xml:space="preserve">Journal des achats</t>
        </is>
      </c>
      <c r="C481" s="0" t="inlineStr">
        <is>
          <t xml:space="preserve">AC00040</t>
        </is>
      </c>
      <c r="D481" s="10">
        <v>45842</v>
      </c>
      <c r="E481" s="4" t="inlineStr">
        <is>
          <t xml:space="preserve">401000</t>
        </is>
      </c>
      <c r="F481" s="0" t="inlineStr">
        <is>
          <t xml:space="preserve">Fournisseurs</t>
        </is>
      </c>
      <c r="G481" s="0" t="inlineStr">
        <is>
          <t xml:space="preserve">F003-2025072</t>
        </is>
      </c>
      <c r="H481" s="0" t="inlineStr">
        <is>
          <t xml:space="preserve">Facture Vernis et Finitions F003-2025072</t>
        </is>
      </c>
      <c r="I481" s="8">
        <v>0</v>
      </c>
      <c r="J481" s="8">
        <v>16791.91</v>
      </c>
      <c r="K481" s="0" t="inlineStr">
        <is>
          <t xml:space="preserve">ACV</t>
        </is>
      </c>
      <c r="L481" s="0" t="inlineStr">
        <is>
          <t xml:space="preserve">Vernis et Finitions</t>
        </is>
      </c>
      <c r="M481" s="8">
        <f>I481-J481</f>
      </c>
      <c r="N481" s="0" t="inlineStr">
        <is>
          <t xml:space="preserve">2025-07</t>
        </is>
      </c>
      <c r="O481" s="0">
        <f>INDEX(Journaux!$E$5:$E$18,MATCH("2025|"&amp;A481,Journaux!$A$5:$A$18,0))</f>
      </c>
      <c r="P481" s="0">
        <f>INDEX(Comptes!$K$5:$K$42,MATCH(E481,Comptes!$A$5:$A$42,0))</f>
      </c>
      <c r="Q481" s="0" t="inlineStr">
        <is>
          <t xml:space="preserve">4</t>
        </is>
      </c>
      <c r="R481" s="7" t="inlineStr">
        <is>
          <t xml:space="preserve">401000|F003</t>
        </is>
      </c>
    </row>
    <row r="482">
      <c r="A482" s="4" t="inlineStr">
        <is>
          <t xml:space="preserve">AC</t>
        </is>
      </c>
      <c r="B482" s="0" t="inlineStr">
        <is>
          <t xml:space="preserve">Journal des achats</t>
        </is>
      </c>
      <c r="C482" s="0" t="inlineStr">
        <is>
          <t xml:space="preserve">AC00042</t>
        </is>
      </c>
      <c r="D482" s="10">
        <v>45843</v>
      </c>
      <c r="E482" s="4" t="inlineStr">
        <is>
          <t xml:space="preserve">613200</t>
        </is>
      </c>
      <c r="F482" s="0" t="inlineStr">
        <is>
          <t xml:space="preserve">Locations immobilieres</t>
        </is>
      </c>
      <c r="G482" s="0" t="inlineStr">
        <is>
          <t xml:space="preserve">F004-202507</t>
        </is>
      </c>
      <c r="H482" s="0" t="inlineStr">
        <is>
          <t xml:space="preserve">Facture SCI Les Halles 2025-07</t>
        </is>
      </c>
      <c r="I482" s="8">
        <v>8500</v>
      </c>
      <c r="J482" s="8">
        <v>0</v>
      </c>
      <c r="K482" s="0"/>
      <c r="L482" s="0"/>
      <c r="M482" s="8">
        <f>I482-J482</f>
      </c>
      <c r="N482" s="0" t="inlineStr">
        <is>
          <t xml:space="preserve">2025-07</t>
        </is>
      </c>
      <c r="O482" s="0">
        <f>INDEX(Journaux!$E$5:$E$18,MATCH("2025|"&amp;A482,Journaux!$A$5:$A$18,0))</f>
      </c>
      <c r="P482" s="0">
        <f>INDEX(Comptes!$K$5:$K$42,MATCH(E482,Comptes!$A$5:$A$42,0))</f>
      </c>
      <c r="Q482" s="0" t="inlineStr">
        <is>
          <t xml:space="preserve">6</t>
        </is>
      </c>
    </row>
    <row r="483">
      <c r="A483" s="4" t="inlineStr">
        <is>
          <t xml:space="preserve">AC</t>
        </is>
      </c>
      <c r="B483" s="0" t="inlineStr">
        <is>
          <t xml:space="preserve">Journal des achats</t>
        </is>
      </c>
      <c r="C483" s="0" t="inlineStr">
        <is>
          <t xml:space="preserve">AC00042</t>
        </is>
      </c>
      <c r="D483" s="10">
        <v>45843</v>
      </c>
      <c r="E483" s="4" t="inlineStr">
        <is>
          <t xml:space="preserve">445660</t>
        </is>
      </c>
      <c r="F483" s="0" t="inlineStr">
        <is>
          <t xml:space="preserve">TVA deductible sur ABS</t>
        </is>
      </c>
      <c r="G483" s="0" t="inlineStr">
        <is>
          <t xml:space="preserve">F004-202507</t>
        </is>
      </c>
      <c r="H483" s="0" t="inlineStr">
        <is>
          <t xml:space="preserve">Facture SCI Les Halles 2025-07</t>
        </is>
      </c>
      <c r="I483" s="8">
        <v>1700</v>
      </c>
      <c r="J483" s="8">
        <v>0</v>
      </c>
      <c r="K483" s="0"/>
      <c r="L483" s="0"/>
      <c r="M483" s="8">
        <f>I483-J483</f>
      </c>
      <c r="N483" s="0" t="inlineStr">
        <is>
          <t xml:space="preserve">2025-07</t>
        </is>
      </c>
      <c r="O483" s="0">
        <f>INDEX(Journaux!$E$5:$E$18,MATCH("2025|"&amp;A483,Journaux!$A$5:$A$18,0))</f>
      </c>
      <c r="P483" s="0">
        <f>INDEX(Comptes!$K$5:$K$42,MATCH(E483,Comptes!$A$5:$A$42,0))</f>
      </c>
      <c r="Q483" s="0" t="inlineStr">
        <is>
          <t xml:space="preserve">4</t>
        </is>
      </c>
    </row>
    <row r="484">
      <c r="A484" s="4" t="inlineStr">
        <is>
          <t xml:space="preserve">AC</t>
        </is>
      </c>
      <c r="B484" s="0" t="inlineStr">
        <is>
          <t xml:space="preserve">Journal des achats</t>
        </is>
      </c>
      <c r="C484" s="0" t="inlineStr">
        <is>
          <t xml:space="preserve">AC00042</t>
        </is>
      </c>
      <c r="D484" s="10">
        <v>45843</v>
      </c>
      <c r="E484" s="4" t="inlineStr">
        <is>
          <t xml:space="preserve">401000</t>
        </is>
      </c>
      <c r="F484" s="0" t="inlineStr">
        <is>
          <t xml:space="preserve">Fournisseurs</t>
        </is>
      </c>
      <c r="G484" s="0" t="inlineStr">
        <is>
          <t xml:space="preserve">F004-202507</t>
        </is>
      </c>
      <c r="H484" s="0" t="inlineStr">
        <is>
          <t xml:space="preserve">Facture SCI Les Halles 2025-07</t>
        </is>
      </c>
      <c r="I484" s="8">
        <v>0</v>
      </c>
      <c r="J484" s="8">
        <v>10200</v>
      </c>
      <c r="K484" s="0" t="inlineStr">
        <is>
          <t xml:space="preserve">ACX</t>
        </is>
      </c>
      <c r="L484" s="0" t="inlineStr">
        <is>
          <t xml:space="preserve">SCI Les Halles</t>
        </is>
      </c>
      <c r="M484" s="8">
        <f>I484-J484</f>
      </c>
      <c r="N484" s="0" t="inlineStr">
        <is>
          <t xml:space="preserve">2025-07</t>
        </is>
      </c>
      <c r="O484" s="0">
        <f>INDEX(Journaux!$E$5:$E$18,MATCH("2025|"&amp;A484,Journaux!$A$5:$A$18,0))</f>
      </c>
      <c r="P484" s="0">
        <f>INDEX(Comptes!$K$5:$K$42,MATCH(E484,Comptes!$A$5:$A$42,0))</f>
      </c>
      <c r="Q484" s="0" t="inlineStr">
        <is>
          <t xml:space="preserve">4</t>
        </is>
      </c>
      <c r="R484" s="7" t="inlineStr">
        <is>
          <t xml:space="preserve">401000|F004</t>
        </is>
      </c>
    </row>
    <row r="485">
      <c r="A485" s="4" t="inlineStr">
        <is>
          <t xml:space="preserve">AC</t>
        </is>
      </c>
      <c r="B485" s="0" t="inlineStr">
        <is>
          <t xml:space="preserve">Journal des achats</t>
        </is>
      </c>
      <c r="C485" s="0" t="inlineStr">
        <is>
          <t xml:space="preserve">AC00043</t>
        </is>
      </c>
      <c r="D485" s="10">
        <v>45843</v>
      </c>
      <c r="E485" s="4" t="inlineStr">
        <is>
          <t xml:space="preserve">606100</t>
        </is>
      </c>
      <c r="F485" s="0" t="inlineStr">
        <is>
          <t xml:space="preserve">Fournitures non stockables energie</t>
        </is>
      </c>
      <c r="G485" s="0" t="inlineStr">
        <is>
          <t xml:space="preserve">F005-202507</t>
        </is>
      </c>
      <c r="H485" s="0" t="inlineStr">
        <is>
          <t xml:space="preserve">Facture Energie Plus 2025-07</t>
        </is>
      </c>
      <c r="I485" s="8">
        <v>3336.9</v>
      </c>
      <c r="J485" s="8">
        <v>0</v>
      </c>
      <c r="K485" s="0"/>
      <c r="L485" s="0"/>
      <c r="M485" s="8">
        <f>I485-J485</f>
      </c>
      <c r="N485" s="0" t="inlineStr">
        <is>
          <t xml:space="preserve">2025-07</t>
        </is>
      </c>
      <c r="O485" s="0">
        <f>INDEX(Journaux!$E$5:$E$18,MATCH("2025|"&amp;A485,Journaux!$A$5:$A$18,0))</f>
      </c>
      <c r="P485" s="0">
        <f>INDEX(Comptes!$K$5:$K$42,MATCH(E485,Comptes!$A$5:$A$42,0))</f>
      </c>
      <c r="Q485" s="0" t="inlineStr">
        <is>
          <t xml:space="preserve">6</t>
        </is>
      </c>
    </row>
    <row r="486">
      <c r="A486" s="4" t="inlineStr">
        <is>
          <t xml:space="preserve">AC</t>
        </is>
      </c>
      <c r="B486" s="0" t="inlineStr">
        <is>
          <t xml:space="preserve">Journal des achats</t>
        </is>
      </c>
      <c r="C486" s="0" t="inlineStr">
        <is>
          <t xml:space="preserve">AC00043</t>
        </is>
      </c>
      <c r="D486" s="10">
        <v>45843</v>
      </c>
      <c r="E486" s="4" t="inlineStr">
        <is>
          <t xml:space="preserve">445660</t>
        </is>
      </c>
      <c r="F486" s="0" t="inlineStr">
        <is>
          <t xml:space="preserve">TVA deductible sur ABS</t>
        </is>
      </c>
      <c r="G486" s="0" t="inlineStr">
        <is>
          <t xml:space="preserve">F005-202507</t>
        </is>
      </c>
      <c r="H486" s="0" t="inlineStr">
        <is>
          <t xml:space="preserve">Facture Energie Plus 2025-07</t>
        </is>
      </c>
      <c r="I486" s="8">
        <v>667.38</v>
      </c>
      <c r="J486" s="8">
        <v>0</v>
      </c>
      <c r="K486" s="0"/>
      <c r="L486" s="0"/>
      <c r="M486" s="8">
        <f>I486-J486</f>
      </c>
      <c r="N486" s="0" t="inlineStr">
        <is>
          <t xml:space="preserve">2025-07</t>
        </is>
      </c>
      <c r="O486" s="0">
        <f>INDEX(Journaux!$E$5:$E$18,MATCH("2025|"&amp;A486,Journaux!$A$5:$A$18,0))</f>
      </c>
      <c r="P486" s="0">
        <f>INDEX(Comptes!$K$5:$K$42,MATCH(E486,Comptes!$A$5:$A$42,0))</f>
      </c>
      <c r="Q486" s="0" t="inlineStr">
        <is>
          <t xml:space="preserve">4</t>
        </is>
      </c>
    </row>
    <row r="487">
      <c r="A487" s="4" t="inlineStr">
        <is>
          <t xml:space="preserve">AC</t>
        </is>
      </c>
      <c r="B487" s="0" t="inlineStr">
        <is>
          <t xml:space="preserve">Journal des achats</t>
        </is>
      </c>
      <c r="C487" s="0" t="inlineStr">
        <is>
          <t xml:space="preserve">AC00043</t>
        </is>
      </c>
      <c r="D487" s="10">
        <v>45843</v>
      </c>
      <c r="E487" s="4" t="inlineStr">
        <is>
          <t xml:space="preserve">401000</t>
        </is>
      </c>
      <c r="F487" s="0" t="inlineStr">
        <is>
          <t xml:space="preserve">Fournisseurs</t>
        </is>
      </c>
      <c r="G487" s="0" t="inlineStr">
        <is>
          <t xml:space="preserve">F005-202507</t>
        </is>
      </c>
      <c r="H487" s="0" t="inlineStr">
        <is>
          <t xml:space="preserve">Facture Energie Plus 2025-07</t>
        </is>
      </c>
      <c r="I487" s="8">
        <v>0</v>
      </c>
      <c r="J487" s="8">
        <v>4004.28</v>
      </c>
      <c r="K487" s="0" t="inlineStr">
        <is>
          <t xml:space="preserve">ACY</t>
        </is>
      </c>
      <c r="L487" s="0" t="inlineStr">
        <is>
          <t xml:space="preserve">Energie Plus</t>
        </is>
      </c>
      <c r="M487" s="8">
        <f>I487-J487</f>
      </c>
      <c r="N487" s="0" t="inlineStr">
        <is>
          <t xml:space="preserve">2025-07</t>
        </is>
      </c>
      <c r="O487" s="0">
        <f>INDEX(Journaux!$E$5:$E$18,MATCH("2025|"&amp;A487,Journaux!$A$5:$A$18,0))</f>
      </c>
      <c r="P487" s="0">
        <f>INDEX(Comptes!$K$5:$K$42,MATCH(E487,Comptes!$A$5:$A$42,0))</f>
      </c>
      <c r="Q487" s="0" t="inlineStr">
        <is>
          <t xml:space="preserve">4</t>
        </is>
      </c>
      <c r="R487" s="7" t="inlineStr">
        <is>
          <t xml:space="preserve">401000|F005</t>
        </is>
      </c>
    </row>
    <row r="488">
      <c r="A488" s="4" t="inlineStr">
        <is>
          <t xml:space="preserve">AC</t>
        </is>
      </c>
      <c r="B488" s="0" t="inlineStr">
        <is>
          <t xml:space="preserve">Journal des achats</t>
        </is>
      </c>
      <c r="C488" s="0" t="inlineStr">
        <is>
          <t xml:space="preserve">AC00044</t>
        </is>
      </c>
      <c r="D488" s="10">
        <v>45843</v>
      </c>
      <c r="E488" s="4" t="inlineStr">
        <is>
          <t xml:space="preserve">626000</t>
        </is>
      </c>
      <c r="F488" s="0" t="inlineStr">
        <is>
          <t xml:space="preserve">Frais postaux et telecommunications</t>
        </is>
      </c>
      <c r="G488" s="0" t="inlineStr">
        <is>
          <t xml:space="preserve">F008-202507</t>
        </is>
      </c>
      <c r="H488" s="0" t="inlineStr">
        <is>
          <t xml:space="preserve">Facture Telecom Pro 2025-07</t>
        </is>
      </c>
      <c r="I488" s="8">
        <v>480</v>
      </c>
      <c r="J488" s="8">
        <v>0</v>
      </c>
      <c r="K488" s="0"/>
      <c r="L488" s="0"/>
      <c r="M488" s="8">
        <f>I488-J488</f>
      </c>
      <c r="N488" s="0" t="inlineStr">
        <is>
          <t xml:space="preserve">2025-07</t>
        </is>
      </c>
      <c r="O488" s="0">
        <f>INDEX(Journaux!$E$5:$E$18,MATCH("2025|"&amp;A488,Journaux!$A$5:$A$18,0))</f>
      </c>
      <c r="P488" s="0">
        <f>INDEX(Comptes!$K$5:$K$42,MATCH(E488,Comptes!$A$5:$A$42,0))</f>
      </c>
      <c r="Q488" s="0" t="inlineStr">
        <is>
          <t xml:space="preserve">6</t>
        </is>
      </c>
    </row>
    <row r="489">
      <c r="A489" s="4" t="inlineStr">
        <is>
          <t xml:space="preserve">AC</t>
        </is>
      </c>
      <c r="B489" s="0" t="inlineStr">
        <is>
          <t xml:space="preserve">Journal des achats</t>
        </is>
      </c>
      <c r="C489" s="0" t="inlineStr">
        <is>
          <t xml:space="preserve">AC00044</t>
        </is>
      </c>
      <c r="D489" s="10">
        <v>45843</v>
      </c>
      <c r="E489" s="4" t="inlineStr">
        <is>
          <t xml:space="preserve">445660</t>
        </is>
      </c>
      <c r="F489" s="0" t="inlineStr">
        <is>
          <t xml:space="preserve">TVA deductible sur ABS</t>
        </is>
      </c>
      <c r="G489" s="0" t="inlineStr">
        <is>
          <t xml:space="preserve">F008-202507</t>
        </is>
      </c>
      <c r="H489" s="0" t="inlineStr">
        <is>
          <t xml:space="preserve">Facture Telecom Pro 2025-07</t>
        </is>
      </c>
      <c r="I489" s="8">
        <v>96</v>
      </c>
      <c r="J489" s="8">
        <v>0</v>
      </c>
      <c r="K489" s="0"/>
      <c r="L489" s="0"/>
      <c r="M489" s="8">
        <f>I489-J489</f>
      </c>
      <c r="N489" s="0" t="inlineStr">
        <is>
          <t xml:space="preserve">2025-07</t>
        </is>
      </c>
      <c r="O489" s="0">
        <f>INDEX(Journaux!$E$5:$E$18,MATCH("2025|"&amp;A489,Journaux!$A$5:$A$18,0))</f>
      </c>
      <c r="P489" s="0">
        <f>INDEX(Comptes!$K$5:$K$42,MATCH(E489,Comptes!$A$5:$A$42,0))</f>
      </c>
      <c r="Q489" s="0" t="inlineStr">
        <is>
          <t xml:space="preserve">4</t>
        </is>
      </c>
    </row>
    <row r="490">
      <c r="A490" s="4" t="inlineStr">
        <is>
          <t xml:space="preserve">AC</t>
        </is>
      </c>
      <c r="B490" s="0" t="inlineStr">
        <is>
          <t xml:space="preserve">Journal des achats</t>
        </is>
      </c>
      <c r="C490" s="0" t="inlineStr">
        <is>
          <t xml:space="preserve">AC00044</t>
        </is>
      </c>
      <c r="D490" s="10">
        <v>45843</v>
      </c>
      <c r="E490" s="4" t="inlineStr">
        <is>
          <t xml:space="preserve">401000</t>
        </is>
      </c>
      <c r="F490" s="0" t="inlineStr">
        <is>
          <t xml:space="preserve">Fournisseurs</t>
        </is>
      </c>
      <c r="G490" s="0" t="inlineStr">
        <is>
          <t xml:space="preserve">F008-202507</t>
        </is>
      </c>
      <c r="H490" s="0" t="inlineStr">
        <is>
          <t xml:space="preserve">Facture Telecom Pro 2025-07</t>
        </is>
      </c>
      <c r="I490" s="8">
        <v>0</v>
      </c>
      <c r="J490" s="8">
        <v>576</v>
      </c>
      <c r="K490" s="0" t="inlineStr">
        <is>
          <t xml:space="preserve">ACZ</t>
        </is>
      </c>
      <c r="L490" s="0" t="inlineStr">
        <is>
          <t xml:space="preserve">Telecom Pro</t>
        </is>
      </c>
      <c r="M490" s="8">
        <f>I490-J490</f>
      </c>
      <c r="N490" s="0" t="inlineStr">
        <is>
          <t xml:space="preserve">2025-07</t>
        </is>
      </c>
      <c r="O490" s="0">
        <f>INDEX(Journaux!$E$5:$E$18,MATCH("2025|"&amp;A490,Journaux!$A$5:$A$18,0))</f>
      </c>
      <c r="P490" s="0">
        <f>INDEX(Comptes!$K$5:$K$42,MATCH(E490,Comptes!$A$5:$A$42,0))</f>
      </c>
      <c r="Q490" s="0" t="inlineStr">
        <is>
          <t xml:space="preserve">4</t>
        </is>
      </c>
      <c r="R490" s="7" t="inlineStr">
        <is>
          <t xml:space="preserve">401000|F008</t>
        </is>
      </c>
    </row>
    <row r="491">
      <c r="A491" s="4" t="inlineStr">
        <is>
          <t xml:space="preserve">AC</t>
        </is>
      </c>
      <c r="B491" s="0" t="inlineStr">
        <is>
          <t xml:space="preserve">Journal des achats</t>
        </is>
      </c>
      <c r="C491" s="0" t="inlineStr">
        <is>
          <t xml:space="preserve">AC00045</t>
        </is>
      </c>
      <c r="D491" s="10">
        <v>45843</v>
      </c>
      <c r="E491" s="4" t="inlineStr">
        <is>
          <t xml:space="preserve">616000</t>
        </is>
      </c>
      <c r="F491" s="0" t="inlineStr">
        <is>
          <t xml:space="preserve">Primes d'assurance</t>
        </is>
      </c>
      <c r="G491" s="0" t="inlineStr">
        <is>
          <t xml:space="preserve">F006-202507</t>
        </is>
      </c>
      <c r="H491" s="0" t="inlineStr">
        <is>
          <t xml:space="preserve">Facture Assurances Mutuelles Exemple 2025-07</t>
        </is>
      </c>
      <c r="I491" s="8">
        <v>3000</v>
      </c>
      <c r="J491" s="8">
        <v>0</v>
      </c>
      <c r="K491" s="0"/>
      <c r="L491" s="0"/>
      <c r="M491" s="8">
        <f>I491-J491</f>
      </c>
      <c r="N491" s="0" t="inlineStr">
        <is>
          <t xml:space="preserve">2025-07</t>
        </is>
      </c>
      <c r="O491" s="0">
        <f>INDEX(Journaux!$E$5:$E$18,MATCH("2025|"&amp;A491,Journaux!$A$5:$A$18,0))</f>
      </c>
      <c r="P491" s="0">
        <f>INDEX(Comptes!$K$5:$K$42,MATCH(E491,Comptes!$A$5:$A$42,0))</f>
      </c>
      <c r="Q491" s="0" t="inlineStr">
        <is>
          <t xml:space="preserve">6</t>
        </is>
      </c>
    </row>
    <row r="492">
      <c r="A492" s="4" t="inlineStr">
        <is>
          <t xml:space="preserve">AC</t>
        </is>
      </c>
      <c r="B492" s="0" t="inlineStr">
        <is>
          <t xml:space="preserve">Journal des achats</t>
        </is>
      </c>
      <c r="C492" s="0" t="inlineStr">
        <is>
          <t xml:space="preserve">AC00045</t>
        </is>
      </c>
      <c r="D492" s="10">
        <v>45843</v>
      </c>
      <c r="E492" s="4" t="inlineStr">
        <is>
          <t xml:space="preserve">401000</t>
        </is>
      </c>
      <c r="F492" s="0" t="inlineStr">
        <is>
          <t xml:space="preserve">Fournisseurs</t>
        </is>
      </c>
      <c r="G492" s="0" t="inlineStr">
        <is>
          <t xml:space="preserve">F006-202507</t>
        </is>
      </c>
      <c r="H492" s="0" t="inlineStr">
        <is>
          <t xml:space="preserve">Facture Assurances Mutuelles Exemple 2025-07</t>
        </is>
      </c>
      <c r="I492" s="8">
        <v>0</v>
      </c>
      <c r="J492" s="8">
        <v>3000</v>
      </c>
      <c r="K492" s="0" t="inlineStr">
        <is>
          <t xml:space="preserve">ADA</t>
        </is>
      </c>
      <c r="L492" s="0" t="inlineStr">
        <is>
          <t xml:space="preserve">Assurances Mutuelles Exemple</t>
        </is>
      </c>
      <c r="M492" s="8">
        <f>I492-J492</f>
      </c>
      <c r="N492" s="0" t="inlineStr">
        <is>
          <t xml:space="preserve">2025-07</t>
        </is>
      </c>
      <c r="O492" s="0">
        <f>INDEX(Journaux!$E$5:$E$18,MATCH("2025|"&amp;A492,Journaux!$A$5:$A$18,0))</f>
      </c>
      <c r="P492" s="0">
        <f>INDEX(Comptes!$K$5:$K$42,MATCH(E492,Comptes!$A$5:$A$42,0))</f>
      </c>
      <c r="Q492" s="0" t="inlineStr">
        <is>
          <t xml:space="preserve">4</t>
        </is>
      </c>
      <c r="R492" s="7" t="inlineStr">
        <is>
          <t xml:space="preserve">401000|F006</t>
        </is>
      </c>
    </row>
    <row r="493">
      <c r="A493" s="4" t="inlineStr">
        <is>
          <t xml:space="preserve">BQ</t>
        </is>
      </c>
      <c r="B493" s="0" t="inlineStr">
        <is>
          <t xml:space="preserve">Banque Fictive</t>
        </is>
      </c>
      <c r="C493" s="0" t="inlineStr">
        <is>
          <t xml:space="preserve">BQ00087</t>
        </is>
      </c>
      <c r="D493" s="10">
        <v>45845</v>
      </c>
      <c r="E493" s="4" t="inlineStr">
        <is>
          <t xml:space="preserve">512000</t>
        </is>
      </c>
      <c r="F493" s="0" t="inlineStr">
        <is>
          <t xml:space="preserve">Banque Fictive</t>
        </is>
      </c>
      <c r="G493" s="0" t="inlineStr">
        <is>
          <t xml:space="preserve">ENC-FA2025-0020</t>
        </is>
      </c>
      <c r="H493" s="0" t="inlineStr">
        <is>
          <t xml:space="preserve">Reglement client Agence Mobilis FA2025-0020</t>
        </is>
      </c>
      <c r="I493" s="8">
        <v>39405.02</v>
      </c>
      <c r="J493" s="8">
        <v>0</v>
      </c>
      <c r="K493" s="0"/>
      <c r="L493" s="0"/>
      <c r="M493" s="8">
        <f>I493-J493</f>
      </c>
      <c r="N493" s="0" t="inlineStr">
        <is>
          <t xml:space="preserve">2025-07</t>
        </is>
      </c>
      <c r="O493" s="0">
        <f>INDEX(Journaux!$E$5:$E$18,MATCH("2025|"&amp;A493,Journaux!$A$5:$A$18,0))</f>
      </c>
      <c r="P493" s="0">
        <f>INDEX(Comptes!$K$5:$K$42,MATCH(E493,Comptes!$A$5:$A$42,0))</f>
      </c>
      <c r="Q493" s="0" t="inlineStr">
        <is>
          <t xml:space="preserve">5</t>
        </is>
      </c>
    </row>
    <row r="494">
      <c r="A494" s="4" t="inlineStr">
        <is>
          <t xml:space="preserve">BQ</t>
        </is>
      </c>
      <c r="B494" s="0" t="inlineStr">
        <is>
          <t xml:space="preserve">Banque Fictive</t>
        </is>
      </c>
      <c r="C494" s="0" t="inlineStr">
        <is>
          <t xml:space="preserve">BQ00087</t>
        </is>
      </c>
      <c r="D494" s="10">
        <v>45845</v>
      </c>
      <c r="E494" s="4" t="inlineStr">
        <is>
          <t xml:space="preserve">411000</t>
        </is>
      </c>
      <c r="F494" s="0" t="inlineStr">
        <is>
          <t xml:space="preserve">Clients</t>
        </is>
      </c>
      <c r="G494" s="0" t="inlineStr">
        <is>
          <t xml:space="preserve">ENC-FA2025-0020</t>
        </is>
      </c>
      <c r="H494" s="0" t="inlineStr">
        <is>
          <t xml:space="preserve">Reglement client Agence Mobilis FA2025-0020</t>
        </is>
      </c>
      <c r="I494" s="8">
        <v>0</v>
      </c>
      <c r="J494" s="8">
        <v>39405.02</v>
      </c>
      <c r="K494" s="0" t="inlineStr">
        <is>
          <t xml:space="preserve">AAB</t>
        </is>
      </c>
      <c r="L494" s="0" t="inlineStr">
        <is>
          <t xml:space="preserve">Agence Mobilis</t>
        </is>
      </c>
      <c r="M494" s="8">
        <f>I494-J494</f>
      </c>
      <c r="N494" s="0" t="inlineStr">
        <is>
          <t xml:space="preserve">2025-07</t>
        </is>
      </c>
      <c r="O494" s="0">
        <f>INDEX(Journaux!$E$5:$E$18,MATCH("2025|"&amp;A494,Journaux!$A$5:$A$18,0))</f>
      </c>
      <c r="P494" s="0">
        <f>INDEX(Comptes!$K$5:$K$42,MATCH(E494,Comptes!$A$5:$A$42,0))</f>
      </c>
      <c r="Q494" s="0" t="inlineStr">
        <is>
          <t xml:space="preserve">4</t>
        </is>
      </c>
      <c r="R494" s="7" t="inlineStr">
        <is>
          <t xml:space="preserve">411000|C002</t>
        </is>
      </c>
    </row>
    <row r="495">
      <c r="A495" s="4" t="inlineStr">
        <is>
          <t xml:space="preserve">BQ</t>
        </is>
      </c>
      <c r="B495" s="0" t="inlineStr">
        <is>
          <t xml:space="preserve">Banque Fictive</t>
        </is>
      </c>
      <c r="C495" s="0" t="inlineStr">
        <is>
          <t xml:space="preserve">BQ00154</t>
        </is>
      </c>
      <c r="D495" s="10">
        <v>45845</v>
      </c>
      <c r="E495" s="4" t="inlineStr">
        <is>
          <t xml:space="preserve">401000</t>
        </is>
      </c>
      <c r="F495" s="0" t="inlineStr">
        <is>
          <t xml:space="preserve">Fournisseurs</t>
        </is>
      </c>
      <c r="G495" s="0" t="inlineStr">
        <is>
          <t xml:space="preserve">DEC-F004-202506</t>
        </is>
      </c>
      <c r="H495" s="0" t="inlineStr">
        <is>
          <t xml:space="preserve">Reglement fournisseur SCI Les Halles F004-202506</t>
        </is>
      </c>
      <c r="I495" s="8">
        <v>10200</v>
      </c>
      <c r="J495" s="8">
        <v>0</v>
      </c>
      <c r="K495" s="0" t="inlineStr">
        <is>
          <t xml:space="preserve">ACQ</t>
        </is>
      </c>
      <c r="L495" s="0" t="inlineStr">
        <is>
          <t xml:space="preserve">SCI Les Halles</t>
        </is>
      </c>
      <c r="M495" s="8">
        <f>I495-J495</f>
      </c>
      <c r="N495" s="0" t="inlineStr">
        <is>
          <t xml:space="preserve">2025-07</t>
        </is>
      </c>
      <c r="O495" s="0">
        <f>INDEX(Journaux!$E$5:$E$18,MATCH("2025|"&amp;A495,Journaux!$A$5:$A$18,0))</f>
      </c>
      <c r="P495" s="0">
        <f>INDEX(Comptes!$K$5:$K$42,MATCH(E495,Comptes!$A$5:$A$42,0))</f>
      </c>
      <c r="Q495" s="0" t="inlineStr">
        <is>
          <t xml:space="preserve">4</t>
        </is>
      </c>
      <c r="R495" s="7" t="inlineStr">
        <is>
          <t xml:space="preserve">401000|F004</t>
        </is>
      </c>
    </row>
    <row r="496">
      <c r="A496" s="4" t="inlineStr">
        <is>
          <t xml:space="preserve">BQ</t>
        </is>
      </c>
      <c r="B496" s="0" t="inlineStr">
        <is>
          <t xml:space="preserve">Banque Fictive</t>
        </is>
      </c>
      <c r="C496" s="0" t="inlineStr">
        <is>
          <t xml:space="preserve">BQ00154</t>
        </is>
      </c>
      <c r="D496" s="10">
        <v>45845</v>
      </c>
      <c r="E496" s="4" t="inlineStr">
        <is>
          <t xml:space="preserve">512000</t>
        </is>
      </c>
      <c r="F496" s="0" t="inlineStr">
        <is>
          <t xml:space="preserve">Banque Fictive</t>
        </is>
      </c>
      <c r="G496" s="0" t="inlineStr">
        <is>
          <t xml:space="preserve">DEC-F004-202506</t>
        </is>
      </c>
      <c r="H496" s="0" t="inlineStr">
        <is>
          <t xml:space="preserve">Reglement fournisseur SCI Les Halles F004-202506</t>
        </is>
      </c>
      <c r="I496" s="8">
        <v>0</v>
      </c>
      <c r="J496" s="8">
        <v>10200</v>
      </c>
      <c r="K496" s="0"/>
      <c r="L496" s="0"/>
      <c r="M496" s="8">
        <f>I496-J496</f>
      </c>
      <c r="N496" s="0" t="inlineStr">
        <is>
          <t xml:space="preserve">2025-07</t>
        </is>
      </c>
      <c r="O496" s="0">
        <f>INDEX(Journaux!$E$5:$E$18,MATCH("2025|"&amp;A496,Journaux!$A$5:$A$18,0))</f>
      </c>
      <c r="P496" s="0">
        <f>INDEX(Comptes!$K$5:$K$42,MATCH(E496,Comptes!$A$5:$A$42,0))</f>
      </c>
      <c r="Q496" s="0" t="inlineStr">
        <is>
          <t xml:space="preserve">5</t>
        </is>
      </c>
    </row>
    <row r="497">
      <c r="A497" s="4" t="inlineStr">
        <is>
          <t xml:space="preserve">BQ</t>
        </is>
      </c>
      <c r="B497" s="0" t="inlineStr">
        <is>
          <t xml:space="preserve">Banque Fictive</t>
        </is>
      </c>
      <c r="C497" s="0" t="inlineStr">
        <is>
          <t xml:space="preserve">BQ00155</t>
        </is>
      </c>
      <c r="D497" s="10">
        <v>45845</v>
      </c>
      <c r="E497" s="4" t="inlineStr">
        <is>
          <t xml:space="preserve">401000</t>
        </is>
      </c>
      <c r="F497" s="0" t="inlineStr">
        <is>
          <t xml:space="preserve">Fournisseurs</t>
        </is>
      </c>
      <c r="G497" s="0" t="inlineStr">
        <is>
          <t xml:space="preserve">DEC-F005-202506</t>
        </is>
      </c>
      <c r="H497" s="0" t="inlineStr">
        <is>
          <t xml:space="preserve">Reglement fournisseur Energie Plus F005-202506</t>
        </is>
      </c>
      <c r="I497" s="8">
        <v>3084.52</v>
      </c>
      <c r="J497" s="8">
        <v>0</v>
      </c>
      <c r="K497" s="0" t="inlineStr">
        <is>
          <t xml:space="preserve">ACR</t>
        </is>
      </c>
      <c r="L497" s="0" t="inlineStr">
        <is>
          <t xml:space="preserve">Energie Plus</t>
        </is>
      </c>
      <c r="M497" s="8">
        <f>I497-J497</f>
      </c>
      <c r="N497" s="0" t="inlineStr">
        <is>
          <t xml:space="preserve">2025-07</t>
        </is>
      </c>
      <c r="O497" s="0">
        <f>INDEX(Journaux!$E$5:$E$18,MATCH("2025|"&amp;A497,Journaux!$A$5:$A$18,0))</f>
      </c>
      <c r="P497" s="0">
        <f>INDEX(Comptes!$K$5:$K$42,MATCH(E497,Comptes!$A$5:$A$42,0))</f>
      </c>
      <c r="Q497" s="0" t="inlineStr">
        <is>
          <t xml:space="preserve">4</t>
        </is>
      </c>
      <c r="R497" s="7" t="inlineStr">
        <is>
          <t xml:space="preserve">401000|F005</t>
        </is>
      </c>
    </row>
    <row r="498">
      <c r="A498" s="4" t="inlineStr">
        <is>
          <t xml:space="preserve">BQ</t>
        </is>
      </c>
      <c r="B498" s="0" t="inlineStr">
        <is>
          <t xml:space="preserve">Banque Fictive</t>
        </is>
      </c>
      <c r="C498" s="0" t="inlineStr">
        <is>
          <t xml:space="preserve">BQ00155</t>
        </is>
      </c>
      <c r="D498" s="10">
        <v>45845</v>
      </c>
      <c r="E498" s="4" t="inlineStr">
        <is>
          <t xml:space="preserve">512000</t>
        </is>
      </c>
      <c r="F498" s="0" t="inlineStr">
        <is>
          <t xml:space="preserve">Banque Fictive</t>
        </is>
      </c>
      <c r="G498" s="0" t="inlineStr">
        <is>
          <t xml:space="preserve">DEC-F005-202506</t>
        </is>
      </c>
      <c r="H498" s="0" t="inlineStr">
        <is>
          <t xml:space="preserve">Reglement fournisseur Energie Plus F005-202506</t>
        </is>
      </c>
      <c r="I498" s="8">
        <v>0</v>
      </c>
      <c r="J498" s="8">
        <v>3084.52</v>
      </c>
      <c r="K498" s="0"/>
      <c r="L498" s="0"/>
      <c r="M498" s="8">
        <f>I498-J498</f>
      </c>
      <c r="N498" s="0" t="inlineStr">
        <is>
          <t xml:space="preserve">2025-07</t>
        </is>
      </c>
      <c r="O498" s="0">
        <f>INDEX(Journaux!$E$5:$E$18,MATCH("2025|"&amp;A498,Journaux!$A$5:$A$18,0))</f>
      </c>
      <c r="P498" s="0">
        <f>INDEX(Comptes!$K$5:$K$42,MATCH(E498,Comptes!$A$5:$A$42,0))</f>
      </c>
      <c r="Q498" s="0" t="inlineStr">
        <is>
          <t xml:space="preserve">5</t>
        </is>
      </c>
    </row>
    <row r="499">
      <c r="A499" s="4" t="inlineStr">
        <is>
          <t xml:space="preserve">BQ</t>
        </is>
      </c>
      <c r="B499" s="0" t="inlineStr">
        <is>
          <t xml:space="preserve">Banque Fictive</t>
        </is>
      </c>
      <c r="C499" s="0" t="inlineStr">
        <is>
          <t xml:space="preserve">BQ00156</t>
        </is>
      </c>
      <c r="D499" s="10">
        <v>45845</v>
      </c>
      <c r="E499" s="4" t="inlineStr">
        <is>
          <t xml:space="preserve">401000</t>
        </is>
      </c>
      <c r="F499" s="0" t="inlineStr">
        <is>
          <t xml:space="preserve">Fournisseurs</t>
        </is>
      </c>
      <c r="G499" s="0" t="inlineStr">
        <is>
          <t xml:space="preserve">DEC-F008-202506</t>
        </is>
      </c>
      <c r="H499" s="0" t="inlineStr">
        <is>
          <t xml:space="preserve">Reglement fournisseur Telecom Pro F008-202506</t>
        </is>
      </c>
      <c r="I499" s="8">
        <v>576</v>
      </c>
      <c r="J499" s="8">
        <v>0</v>
      </c>
      <c r="K499" s="0" t="inlineStr">
        <is>
          <t xml:space="preserve">ACS</t>
        </is>
      </c>
      <c r="L499" s="0" t="inlineStr">
        <is>
          <t xml:space="preserve">Telecom Pro</t>
        </is>
      </c>
      <c r="M499" s="8">
        <f>I499-J499</f>
      </c>
      <c r="N499" s="0" t="inlineStr">
        <is>
          <t xml:space="preserve">2025-07</t>
        </is>
      </c>
      <c r="O499" s="0">
        <f>INDEX(Journaux!$E$5:$E$18,MATCH("2025|"&amp;A499,Journaux!$A$5:$A$18,0))</f>
      </c>
      <c r="P499" s="0">
        <f>INDEX(Comptes!$K$5:$K$42,MATCH(E499,Comptes!$A$5:$A$42,0))</f>
      </c>
      <c r="Q499" s="0" t="inlineStr">
        <is>
          <t xml:space="preserve">4</t>
        </is>
      </c>
      <c r="R499" s="7" t="inlineStr">
        <is>
          <t xml:space="preserve">401000|F008</t>
        </is>
      </c>
    </row>
    <row r="500">
      <c r="A500" s="4" t="inlineStr">
        <is>
          <t xml:space="preserve">BQ</t>
        </is>
      </c>
      <c r="B500" s="0" t="inlineStr">
        <is>
          <t xml:space="preserve">Banque Fictive</t>
        </is>
      </c>
      <c r="C500" s="0" t="inlineStr">
        <is>
          <t xml:space="preserve">BQ00156</t>
        </is>
      </c>
      <c r="D500" s="10">
        <v>45845</v>
      </c>
      <c r="E500" s="4" t="inlineStr">
        <is>
          <t xml:space="preserve">512000</t>
        </is>
      </c>
      <c r="F500" s="0" t="inlineStr">
        <is>
          <t xml:space="preserve">Banque Fictive</t>
        </is>
      </c>
      <c r="G500" s="0" t="inlineStr">
        <is>
          <t xml:space="preserve">DEC-F008-202506</t>
        </is>
      </c>
      <c r="H500" s="0" t="inlineStr">
        <is>
          <t xml:space="preserve">Reglement fournisseur Telecom Pro F008-202506</t>
        </is>
      </c>
      <c r="I500" s="8">
        <v>0</v>
      </c>
      <c r="J500" s="8">
        <v>576</v>
      </c>
      <c r="K500" s="0"/>
      <c r="L500" s="0"/>
      <c r="M500" s="8">
        <f>I500-J500</f>
      </c>
      <c r="N500" s="0" t="inlineStr">
        <is>
          <t xml:space="preserve">2025-07</t>
        </is>
      </c>
      <c r="O500" s="0">
        <f>INDEX(Journaux!$E$5:$E$18,MATCH("2025|"&amp;A500,Journaux!$A$5:$A$18,0))</f>
      </c>
      <c r="P500" s="0">
        <f>INDEX(Comptes!$K$5:$K$42,MATCH(E500,Comptes!$A$5:$A$42,0))</f>
      </c>
      <c r="Q500" s="0" t="inlineStr">
        <is>
          <t xml:space="preserve">5</t>
        </is>
      </c>
    </row>
    <row r="501">
      <c r="A501" s="4" t="inlineStr">
        <is>
          <t xml:space="preserve">BQ</t>
        </is>
      </c>
      <c r="B501" s="0" t="inlineStr">
        <is>
          <t xml:space="preserve">Banque Fictive</t>
        </is>
      </c>
      <c r="C501" s="0" t="inlineStr">
        <is>
          <t xml:space="preserve">BQ00157</t>
        </is>
      </c>
      <c r="D501" s="10">
        <v>45845</v>
      </c>
      <c r="E501" s="4" t="inlineStr">
        <is>
          <t xml:space="preserve">401000</t>
        </is>
      </c>
      <c r="F501" s="0" t="inlineStr">
        <is>
          <t xml:space="preserve">Fournisseurs</t>
        </is>
      </c>
      <c r="G501" s="0" t="inlineStr">
        <is>
          <t xml:space="preserve">DEC-F007-202506</t>
        </is>
      </c>
      <c r="H501" s="0" t="inlineStr">
        <is>
          <t xml:space="preserve">Reglement fournisseur Cabinet Comptable Exemple F007-202506</t>
        </is>
      </c>
      <c r="I501" s="8">
        <v>7200</v>
      </c>
      <c r="J501" s="8">
        <v>0</v>
      </c>
      <c r="K501" s="0" t="inlineStr">
        <is>
          <t xml:space="preserve">ACT</t>
        </is>
      </c>
      <c r="L501" s="0" t="inlineStr">
        <is>
          <t xml:space="preserve">Cabinet Comptable Exemple</t>
        </is>
      </c>
      <c r="M501" s="8">
        <f>I501-J501</f>
      </c>
      <c r="N501" s="0" t="inlineStr">
        <is>
          <t xml:space="preserve">2025-07</t>
        </is>
      </c>
      <c r="O501" s="0">
        <f>INDEX(Journaux!$E$5:$E$18,MATCH("2025|"&amp;A501,Journaux!$A$5:$A$18,0))</f>
      </c>
      <c r="P501" s="0">
        <f>INDEX(Comptes!$K$5:$K$42,MATCH(E501,Comptes!$A$5:$A$42,0))</f>
      </c>
      <c r="Q501" s="0" t="inlineStr">
        <is>
          <t xml:space="preserve">4</t>
        </is>
      </c>
      <c r="R501" s="7" t="inlineStr">
        <is>
          <t xml:space="preserve">401000|F007</t>
        </is>
      </c>
    </row>
    <row r="502">
      <c r="A502" s="4" t="inlineStr">
        <is>
          <t xml:space="preserve">BQ</t>
        </is>
      </c>
      <c r="B502" s="0" t="inlineStr">
        <is>
          <t xml:space="preserve">Banque Fictive</t>
        </is>
      </c>
      <c r="C502" s="0" t="inlineStr">
        <is>
          <t xml:space="preserve">BQ00157</t>
        </is>
      </c>
      <c r="D502" s="10">
        <v>45845</v>
      </c>
      <c r="E502" s="4" t="inlineStr">
        <is>
          <t xml:space="preserve">512000</t>
        </is>
      </c>
      <c r="F502" s="0" t="inlineStr">
        <is>
          <t xml:space="preserve">Banque Fictive</t>
        </is>
      </c>
      <c r="G502" s="0" t="inlineStr">
        <is>
          <t xml:space="preserve">DEC-F007-202506</t>
        </is>
      </c>
      <c r="H502" s="0" t="inlineStr">
        <is>
          <t xml:space="preserve">Reglement fournisseur Cabinet Comptable Exemple F007-202506</t>
        </is>
      </c>
      <c r="I502" s="8">
        <v>0</v>
      </c>
      <c r="J502" s="8">
        <v>7200</v>
      </c>
      <c r="K502" s="0"/>
      <c r="L502" s="0"/>
      <c r="M502" s="8">
        <f>I502-J502</f>
      </c>
      <c r="N502" s="0" t="inlineStr">
        <is>
          <t xml:space="preserve">2025-07</t>
        </is>
      </c>
      <c r="O502" s="0">
        <f>INDEX(Journaux!$E$5:$E$18,MATCH("2025|"&amp;A502,Journaux!$A$5:$A$18,0))</f>
      </c>
      <c r="P502" s="0">
        <f>INDEX(Comptes!$K$5:$K$42,MATCH(E502,Comptes!$A$5:$A$42,0))</f>
      </c>
      <c r="Q502" s="0" t="inlineStr">
        <is>
          <t xml:space="preserve">5</t>
        </is>
      </c>
    </row>
    <row r="503">
      <c r="A503" s="4" t="inlineStr">
        <is>
          <t xml:space="preserve">AC</t>
        </is>
      </c>
      <c r="B503" s="0" t="inlineStr">
        <is>
          <t xml:space="preserve">Journal des achats</t>
        </is>
      </c>
      <c r="C503" s="0" t="inlineStr">
        <is>
          <t xml:space="preserve">AC00039</t>
        </is>
      </c>
      <c r="D503" s="10">
        <v>45846</v>
      </c>
      <c r="E503" s="4" t="inlineStr">
        <is>
          <t xml:space="preserve">601000</t>
        </is>
      </c>
      <c r="F503" s="0" t="inlineStr">
        <is>
          <t xml:space="preserve">Achats de matieres premieres</t>
        </is>
      </c>
      <c r="G503" s="0" t="inlineStr">
        <is>
          <t xml:space="preserve">F002-2025071</t>
        </is>
      </c>
      <c r="H503" s="0" t="inlineStr">
        <is>
          <t xml:space="preserve">Facture Quincaillerie Pro Est F002-2025071</t>
        </is>
      </c>
      <c r="I503" s="8">
        <v>23726.72</v>
      </c>
      <c r="J503" s="8">
        <v>0</v>
      </c>
      <c r="K503" s="0"/>
      <c r="L503" s="0"/>
      <c r="M503" s="8">
        <f>I503-J503</f>
      </c>
      <c r="N503" s="0" t="inlineStr">
        <is>
          <t xml:space="preserve">2025-07</t>
        </is>
      </c>
      <c r="O503" s="0">
        <f>INDEX(Journaux!$E$5:$E$18,MATCH("2025|"&amp;A503,Journaux!$A$5:$A$18,0))</f>
      </c>
      <c r="P503" s="0">
        <f>INDEX(Comptes!$K$5:$K$42,MATCH(E503,Comptes!$A$5:$A$42,0))</f>
      </c>
      <c r="Q503" s="0" t="inlineStr">
        <is>
          <t xml:space="preserve">6</t>
        </is>
      </c>
    </row>
    <row r="504">
      <c r="A504" s="4" t="inlineStr">
        <is>
          <t xml:space="preserve">AC</t>
        </is>
      </c>
      <c r="B504" s="0" t="inlineStr">
        <is>
          <t xml:space="preserve">Journal des achats</t>
        </is>
      </c>
      <c r="C504" s="0" t="inlineStr">
        <is>
          <t xml:space="preserve">AC00039</t>
        </is>
      </c>
      <c r="D504" s="10">
        <v>45846</v>
      </c>
      <c r="E504" s="4" t="inlineStr">
        <is>
          <t xml:space="preserve">445660</t>
        </is>
      </c>
      <c r="F504" s="0" t="inlineStr">
        <is>
          <t xml:space="preserve">TVA deductible sur ABS</t>
        </is>
      </c>
      <c r="G504" s="0" t="inlineStr">
        <is>
          <t xml:space="preserve">F002-2025071</t>
        </is>
      </c>
      <c r="H504" s="0" t="inlineStr">
        <is>
          <t xml:space="preserve">Facture Quincaillerie Pro Est F002-2025071</t>
        </is>
      </c>
      <c r="I504" s="8">
        <v>4745.34</v>
      </c>
      <c r="J504" s="8">
        <v>0</v>
      </c>
      <c r="K504" s="0"/>
      <c r="L504" s="0"/>
      <c r="M504" s="8">
        <f>I504-J504</f>
      </c>
      <c r="N504" s="0" t="inlineStr">
        <is>
          <t xml:space="preserve">2025-07</t>
        </is>
      </c>
      <c r="O504" s="0">
        <f>INDEX(Journaux!$E$5:$E$18,MATCH("2025|"&amp;A504,Journaux!$A$5:$A$18,0))</f>
      </c>
      <c r="P504" s="0">
        <f>INDEX(Comptes!$K$5:$K$42,MATCH(E504,Comptes!$A$5:$A$42,0))</f>
      </c>
      <c r="Q504" s="0" t="inlineStr">
        <is>
          <t xml:space="preserve">4</t>
        </is>
      </c>
    </row>
    <row r="505">
      <c r="A505" s="4" t="inlineStr">
        <is>
          <t xml:space="preserve">AC</t>
        </is>
      </c>
      <c r="B505" s="0" t="inlineStr">
        <is>
          <t xml:space="preserve">Journal des achats</t>
        </is>
      </c>
      <c r="C505" s="0" t="inlineStr">
        <is>
          <t xml:space="preserve">AC00039</t>
        </is>
      </c>
      <c r="D505" s="10">
        <v>45846</v>
      </c>
      <c r="E505" s="4" t="inlineStr">
        <is>
          <t xml:space="preserve">401000</t>
        </is>
      </c>
      <c r="F505" s="0" t="inlineStr">
        <is>
          <t xml:space="preserve">Fournisseurs</t>
        </is>
      </c>
      <c r="G505" s="0" t="inlineStr">
        <is>
          <t xml:space="preserve">F002-2025071</t>
        </is>
      </c>
      <c r="H505" s="0" t="inlineStr">
        <is>
          <t xml:space="preserve">Facture Quincaillerie Pro Est F002-2025071</t>
        </is>
      </c>
      <c r="I505" s="8">
        <v>0</v>
      </c>
      <c r="J505" s="8">
        <v>28472.06</v>
      </c>
      <c r="K505" s="0" t="inlineStr">
        <is>
          <t xml:space="preserve">ACU</t>
        </is>
      </c>
      <c r="L505" s="0" t="inlineStr">
        <is>
          <t xml:space="preserve">Quincaillerie Pro Est</t>
        </is>
      </c>
      <c r="M505" s="8">
        <f>I505-J505</f>
      </c>
      <c r="N505" s="0" t="inlineStr">
        <is>
          <t xml:space="preserve">2025-07</t>
        </is>
      </c>
      <c r="O505" s="0">
        <f>INDEX(Journaux!$E$5:$E$18,MATCH("2025|"&amp;A505,Journaux!$A$5:$A$18,0))</f>
      </c>
      <c r="P505" s="0">
        <f>INDEX(Comptes!$K$5:$K$42,MATCH(E505,Comptes!$A$5:$A$42,0))</f>
      </c>
      <c r="Q505" s="0" t="inlineStr">
        <is>
          <t xml:space="preserve">4</t>
        </is>
      </c>
      <c r="R505" s="7" t="inlineStr">
        <is>
          <t xml:space="preserve">401000|F002</t>
        </is>
      </c>
    </row>
    <row r="506">
      <c r="A506" s="4" t="inlineStr">
        <is>
          <t xml:space="preserve">BQ</t>
        </is>
      </c>
      <c r="B506" s="0" t="inlineStr">
        <is>
          <t xml:space="preserve">Banque Fictive</t>
        </is>
      </c>
      <c r="C506" s="0" t="inlineStr">
        <is>
          <t xml:space="preserve">BQ00141</t>
        </is>
      </c>
      <c r="D506" s="10">
        <v>45846</v>
      </c>
      <c r="E506" s="4" t="inlineStr">
        <is>
          <t xml:space="preserve">401000</t>
        </is>
      </c>
      <c r="F506" s="0" t="inlineStr">
        <is>
          <t xml:space="preserve">Fournisseurs</t>
        </is>
      </c>
      <c r="G506" s="0" t="inlineStr">
        <is>
          <t xml:space="preserve">DEC-F003-2025042</t>
        </is>
      </c>
      <c r="H506" s="0" t="inlineStr">
        <is>
          <t xml:space="preserve">Reglement fournisseur Vernis et Finitions F003-2025042</t>
        </is>
      </c>
      <c r="I506" s="8">
        <v>24911.59</v>
      </c>
      <c r="J506" s="8">
        <v>0</v>
      </c>
      <c r="K506" s="0" t="inlineStr">
        <is>
          <t xml:space="preserve">ACD</t>
        </is>
      </c>
      <c r="L506" s="0" t="inlineStr">
        <is>
          <t xml:space="preserve">Vernis et Finitions</t>
        </is>
      </c>
      <c r="M506" s="8">
        <f>I506-J506</f>
      </c>
      <c r="N506" s="0" t="inlineStr">
        <is>
          <t xml:space="preserve">2025-07</t>
        </is>
      </c>
      <c r="O506" s="0">
        <f>INDEX(Journaux!$E$5:$E$18,MATCH("2025|"&amp;A506,Journaux!$A$5:$A$18,0))</f>
      </c>
      <c r="P506" s="0">
        <f>INDEX(Comptes!$K$5:$K$42,MATCH(E506,Comptes!$A$5:$A$42,0))</f>
      </c>
      <c r="Q506" s="0" t="inlineStr">
        <is>
          <t xml:space="preserve">4</t>
        </is>
      </c>
      <c r="R506" s="7" t="inlineStr">
        <is>
          <t xml:space="preserve">401000|F003</t>
        </is>
      </c>
    </row>
    <row r="507">
      <c r="A507" s="4" t="inlineStr">
        <is>
          <t xml:space="preserve">BQ</t>
        </is>
      </c>
      <c r="B507" s="0" t="inlineStr">
        <is>
          <t xml:space="preserve">Banque Fictive</t>
        </is>
      </c>
      <c r="C507" s="0" t="inlineStr">
        <is>
          <t xml:space="preserve">BQ00141</t>
        </is>
      </c>
      <c r="D507" s="10">
        <v>45846</v>
      </c>
      <c r="E507" s="4" t="inlineStr">
        <is>
          <t xml:space="preserve">512000</t>
        </is>
      </c>
      <c r="F507" s="0" t="inlineStr">
        <is>
          <t xml:space="preserve">Banque Fictive</t>
        </is>
      </c>
      <c r="G507" s="0" t="inlineStr">
        <is>
          <t xml:space="preserve">DEC-F003-2025042</t>
        </is>
      </c>
      <c r="H507" s="0" t="inlineStr">
        <is>
          <t xml:space="preserve">Reglement fournisseur Vernis et Finitions F003-2025042</t>
        </is>
      </c>
      <c r="I507" s="8">
        <v>0</v>
      </c>
      <c r="J507" s="8">
        <v>24911.59</v>
      </c>
      <c r="K507" s="0"/>
      <c r="L507" s="0"/>
      <c r="M507" s="8">
        <f>I507-J507</f>
      </c>
      <c r="N507" s="0" t="inlineStr">
        <is>
          <t xml:space="preserve">2025-07</t>
        </is>
      </c>
      <c r="O507" s="0">
        <f>INDEX(Journaux!$E$5:$E$18,MATCH("2025|"&amp;A507,Journaux!$A$5:$A$18,0))</f>
      </c>
      <c r="P507" s="0">
        <f>INDEX(Comptes!$K$5:$K$42,MATCH(E507,Comptes!$A$5:$A$42,0))</f>
      </c>
      <c r="Q507" s="0" t="inlineStr">
        <is>
          <t xml:space="preserve">5</t>
        </is>
      </c>
    </row>
    <row r="508">
      <c r="A508" s="4" t="inlineStr">
        <is>
          <t xml:space="preserve">BQ</t>
        </is>
      </c>
      <c r="B508" s="0" t="inlineStr">
        <is>
          <t xml:space="preserve">Banque Fictive</t>
        </is>
      </c>
      <c r="C508" s="0" t="inlineStr">
        <is>
          <t xml:space="preserve">BQ00020</t>
        </is>
      </c>
      <c r="D508" s="10">
        <v>45848</v>
      </c>
      <c r="E508" s="4" t="inlineStr">
        <is>
          <t xml:space="preserve">164000</t>
        </is>
      </c>
      <c r="F508" s="0" t="inlineStr">
        <is>
          <t xml:space="preserve">Emprunts aupres des etablissements de credit</t>
        </is>
      </c>
      <c r="G508" s="0" t="inlineStr">
        <is>
          <t xml:space="preserve">ECH202507</t>
        </is>
      </c>
      <c r="H508" s="0" t="inlineStr">
        <is>
          <t xml:space="preserve">Echeance emprunt 07/2025</t>
        </is>
      </c>
      <c r="I508" s="8">
        <v>2000</v>
      </c>
      <c r="J508" s="8">
        <v>0</v>
      </c>
      <c r="K508" s="0"/>
      <c r="L508" s="0"/>
      <c r="M508" s="8">
        <f>I508-J508</f>
      </c>
      <c r="N508" s="0" t="inlineStr">
        <is>
          <t xml:space="preserve">2025-07</t>
        </is>
      </c>
      <c r="O508" s="0">
        <f>INDEX(Journaux!$E$5:$E$18,MATCH("2025|"&amp;A508,Journaux!$A$5:$A$18,0))</f>
      </c>
      <c r="P508" s="0">
        <f>INDEX(Comptes!$K$5:$K$42,MATCH(E508,Comptes!$A$5:$A$42,0))</f>
      </c>
      <c r="Q508" s="0" t="inlineStr">
        <is>
          <t xml:space="preserve">1</t>
        </is>
      </c>
    </row>
    <row r="509">
      <c r="A509" s="4" t="inlineStr">
        <is>
          <t xml:space="preserve">BQ</t>
        </is>
      </c>
      <c r="B509" s="0" t="inlineStr">
        <is>
          <t xml:space="preserve">Banque Fictive</t>
        </is>
      </c>
      <c r="C509" s="0" t="inlineStr">
        <is>
          <t xml:space="preserve">BQ00020</t>
        </is>
      </c>
      <c r="D509" s="10">
        <v>45848</v>
      </c>
      <c r="E509" s="4" t="inlineStr">
        <is>
          <t xml:space="preserve">661100</t>
        </is>
      </c>
      <c r="F509" s="0" t="inlineStr">
        <is>
          <t xml:space="preserve">Interets des emprunts</t>
        </is>
      </c>
      <c r="G509" s="0" t="inlineStr">
        <is>
          <t xml:space="preserve">ECH202507</t>
        </is>
      </c>
      <c r="H509" s="0" t="inlineStr">
        <is>
          <t xml:space="preserve">Echeance emprunt 07/2025</t>
        </is>
      </c>
      <c r="I509" s="8">
        <v>180</v>
      </c>
      <c r="J509" s="8">
        <v>0</v>
      </c>
      <c r="K509" s="0"/>
      <c r="L509" s="0"/>
      <c r="M509" s="8">
        <f>I509-J509</f>
      </c>
      <c r="N509" s="0" t="inlineStr">
        <is>
          <t xml:space="preserve">2025-07</t>
        </is>
      </c>
      <c r="O509" s="0">
        <f>INDEX(Journaux!$E$5:$E$18,MATCH("2025|"&amp;A509,Journaux!$A$5:$A$18,0))</f>
      </c>
      <c r="P509" s="0">
        <f>INDEX(Comptes!$K$5:$K$42,MATCH(E509,Comptes!$A$5:$A$42,0))</f>
      </c>
      <c r="Q509" s="0" t="inlineStr">
        <is>
          <t xml:space="preserve">6</t>
        </is>
      </c>
    </row>
    <row r="510">
      <c r="A510" s="4" t="inlineStr">
        <is>
          <t xml:space="preserve">BQ</t>
        </is>
      </c>
      <c r="B510" s="0" t="inlineStr">
        <is>
          <t xml:space="preserve">Banque Fictive</t>
        </is>
      </c>
      <c r="C510" s="0" t="inlineStr">
        <is>
          <t xml:space="preserve">BQ00020</t>
        </is>
      </c>
      <c r="D510" s="10">
        <v>45848</v>
      </c>
      <c r="E510" s="4" t="inlineStr">
        <is>
          <t xml:space="preserve">512000</t>
        </is>
      </c>
      <c r="F510" s="0" t="inlineStr">
        <is>
          <t xml:space="preserve">Banque Fictive</t>
        </is>
      </c>
      <c r="G510" s="0" t="inlineStr">
        <is>
          <t xml:space="preserve">ECH202507</t>
        </is>
      </c>
      <c r="H510" s="0" t="inlineStr">
        <is>
          <t xml:space="preserve">Echeance emprunt 07/2025</t>
        </is>
      </c>
      <c r="I510" s="8">
        <v>0</v>
      </c>
      <c r="J510" s="8">
        <v>2180</v>
      </c>
      <c r="K510" s="0"/>
      <c r="L510" s="0"/>
      <c r="M510" s="8">
        <f>I510-J510</f>
      </c>
      <c r="N510" s="0" t="inlineStr">
        <is>
          <t xml:space="preserve">2025-07</t>
        </is>
      </c>
      <c r="O510" s="0">
        <f>INDEX(Journaux!$E$5:$E$18,MATCH("2025|"&amp;A510,Journaux!$A$5:$A$18,0))</f>
      </c>
      <c r="P510" s="0">
        <f>INDEX(Comptes!$K$5:$K$42,MATCH(E510,Comptes!$A$5:$A$42,0))</f>
      </c>
      <c r="Q510" s="0" t="inlineStr">
        <is>
          <t xml:space="preserve">5</t>
        </is>
      </c>
    </row>
    <row r="511">
      <c r="A511" s="4" t="inlineStr">
        <is>
          <t xml:space="preserve">BQ</t>
        </is>
      </c>
      <c r="B511" s="0" t="inlineStr">
        <is>
          <t xml:space="preserve">Banque Fictive</t>
        </is>
      </c>
      <c r="C511" s="0" t="inlineStr">
        <is>
          <t xml:space="preserve">BQ00084</t>
        </is>
      </c>
      <c r="D511" s="10">
        <v>45848</v>
      </c>
      <c r="E511" s="4" t="inlineStr">
        <is>
          <t xml:space="preserve">512000</t>
        </is>
      </c>
      <c r="F511" s="0" t="inlineStr">
        <is>
          <t xml:space="preserve">Banque Fictive</t>
        </is>
      </c>
      <c r="G511" s="0" t="inlineStr">
        <is>
          <t xml:space="preserve">ENC-FA2025-0017</t>
        </is>
      </c>
      <c r="H511" s="0" t="inlineStr">
        <is>
          <t xml:space="preserve">Reglement client Hotel Les Tilleuls FA2025-0017</t>
        </is>
      </c>
      <c r="I511" s="8">
        <v>37111.12</v>
      </c>
      <c r="J511" s="8">
        <v>0</v>
      </c>
      <c r="K511" s="0"/>
      <c r="L511" s="0"/>
      <c r="M511" s="8">
        <f>I511-J511</f>
      </c>
      <c r="N511" s="0" t="inlineStr">
        <is>
          <t xml:space="preserve">2025-07</t>
        </is>
      </c>
      <c r="O511" s="0">
        <f>INDEX(Journaux!$E$5:$E$18,MATCH("2025|"&amp;A511,Journaux!$A$5:$A$18,0))</f>
      </c>
      <c r="P511" s="0">
        <f>INDEX(Comptes!$K$5:$K$42,MATCH(E511,Comptes!$A$5:$A$42,0))</f>
      </c>
      <c r="Q511" s="0" t="inlineStr">
        <is>
          <t xml:space="preserve">5</t>
        </is>
      </c>
    </row>
    <row r="512">
      <c r="A512" s="4" t="inlineStr">
        <is>
          <t xml:space="preserve">BQ</t>
        </is>
      </c>
      <c r="B512" s="0" t="inlineStr">
        <is>
          <t xml:space="preserve">Banque Fictive</t>
        </is>
      </c>
      <c r="C512" s="0" t="inlineStr">
        <is>
          <t xml:space="preserve">BQ00084</t>
        </is>
      </c>
      <c r="D512" s="10">
        <v>45848</v>
      </c>
      <c r="E512" s="4" t="inlineStr">
        <is>
          <t xml:space="preserve">411000</t>
        </is>
      </c>
      <c r="F512" s="0" t="inlineStr">
        <is>
          <t xml:space="preserve">Clients</t>
        </is>
      </c>
      <c r="G512" s="0" t="inlineStr">
        <is>
          <t xml:space="preserve">ENC-FA2025-0017</t>
        </is>
      </c>
      <c r="H512" s="0" t="inlineStr">
        <is>
          <t xml:space="preserve">Reglement client Hotel Les Tilleuls FA2025-0017</t>
        </is>
      </c>
      <c r="I512" s="8">
        <v>0</v>
      </c>
      <c r="J512" s="8">
        <v>37111.12</v>
      </c>
      <c r="K512" s="0" t="inlineStr">
        <is>
          <t xml:space="preserve">AAY</t>
        </is>
      </c>
      <c r="L512" s="0" t="inlineStr">
        <is>
          <t xml:space="preserve">Hotel Les Tilleuls</t>
        </is>
      </c>
      <c r="M512" s="8">
        <f>I512-J512</f>
      </c>
      <c r="N512" s="0" t="inlineStr">
        <is>
          <t xml:space="preserve">2025-07</t>
        </is>
      </c>
      <c r="O512" s="0">
        <f>INDEX(Journaux!$E$5:$E$18,MATCH("2025|"&amp;A512,Journaux!$A$5:$A$18,0))</f>
      </c>
      <c r="P512" s="0">
        <f>INDEX(Comptes!$K$5:$K$42,MATCH(E512,Comptes!$A$5:$A$42,0))</f>
      </c>
      <c r="Q512" s="0" t="inlineStr">
        <is>
          <t xml:space="preserve">4</t>
        </is>
      </c>
      <c r="R512" s="7" t="inlineStr">
        <is>
          <t xml:space="preserve">411000|C001</t>
        </is>
      </c>
    </row>
    <row r="513">
      <c r="A513" s="4" t="inlineStr">
        <is>
          <t xml:space="preserve">BQ</t>
        </is>
      </c>
      <c r="B513" s="0" t="inlineStr">
        <is>
          <t xml:space="preserve">Banque Fictive</t>
        </is>
      </c>
      <c r="C513" s="0" t="inlineStr">
        <is>
          <t xml:space="preserve">BQ00186</t>
        </is>
      </c>
      <c r="D513" s="10">
        <v>45848</v>
      </c>
      <c r="E513" s="4" t="inlineStr">
        <is>
          <t xml:space="preserve">401000</t>
        </is>
      </c>
      <c r="F513" s="0" t="inlineStr">
        <is>
          <t xml:space="preserve">Fournisseurs</t>
        </is>
      </c>
      <c r="G513" s="0" t="inlineStr">
        <is>
          <t xml:space="preserve">DEC-F003-2291</t>
        </is>
      </c>
      <c r="H513" s="0" t="inlineStr">
        <is>
          <t xml:space="preserve">Reglement fournisseur Vernis et Finitions F003-2291</t>
        </is>
      </c>
      <c r="I513" s="8">
        <v>14400</v>
      </c>
      <c r="J513" s="8">
        <v>0</v>
      </c>
      <c r="K513" s="0" t="inlineStr">
        <is>
          <t xml:space="preserve">ADW</t>
        </is>
      </c>
      <c r="L513" s="0" t="inlineStr">
        <is>
          <t xml:space="preserve">Vernis et Finitions</t>
        </is>
      </c>
      <c r="M513" s="8">
        <f>I513-J513</f>
      </c>
      <c r="N513" s="0" t="inlineStr">
        <is>
          <t xml:space="preserve">2025-07</t>
        </is>
      </c>
      <c r="O513" s="0">
        <f>INDEX(Journaux!$E$5:$E$18,MATCH("2025|"&amp;A513,Journaux!$A$5:$A$18,0))</f>
      </c>
      <c r="P513" s="0">
        <f>INDEX(Comptes!$K$5:$K$42,MATCH(E513,Comptes!$A$5:$A$42,0))</f>
      </c>
      <c r="Q513" s="0" t="inlineStr">
        <is>
          <t xml:space="preserve">4</t>
        </is>
      </c>
      <c r="R513" s="7" t="inlineStr">
        <is>
          <t xml:space="preserve">401000|F003</t>
        </is>
      </c>
    </row>
    <row r="514">
      <c r="A514" s="4" t="inlineStr">
        <is>
          <t xml:space="preserve">BQ</t>
        </is>
      </c>
      <c r="B514" s="0" t="inlineStr">
        <is>
          <t xml:space="preserve">Banque Fictive</t>
        </is>
      </c>
      <c r="C514" s="0" t="inlineStr">
        <is>
          <t xml:space="preserve">BQ00186</t>
        </is>
      </c>
      <c r="D514" s="10">
        <v>45848</v>
      </c>
      <c r="E514" s="4" t="inlineStr">
        <is>
          <t xml:space="preserve">512000</t>
        </is>
      </c>
      <c r="F514" s="0" t="inlineStr">
        <is>
          <t xml:space="preserve">Banque Fictive</t>
        </is>
      </c>
      <c r="G514" s="0" t="inlineStr">
        <is>
          <t xml:space="preserve">DEC-F003-2291</t>
        </is>
      </c>
      <c r="H514" s="0" t="inlineStr">
        <is>
          <t xml:space="preserve">Reglement fournisseur Vernis et Finitions F003-2291</t>
        </is>
      </c>
      <c r="I514" s="8">
        <v>0</v>
      </c>
      <c r="J514" s="8">
        <v>14400</v>
      </c>
      <c r="K514" s="0"/>
      <c r="L514" s="0"/>
      <c r="M514" s="8">
        <f>I514-J514</f>
      </c>
      <c r="N514" s="0" t="inlineStr">
        <is>
          <t xml:space="preserve">2025-07</t>
        </is>
      </c>
      <c r="O514" s="0">
        <f>INDEX(Journaux!$E$5:$E$18,MATCH("2025|"&amp;A514,Journaux!$A$5:$A$18,0))</f>
      </c>
      <c r="P514" s="0">
        <f>INDEX(Comptes!$K$5:$K$42,MATCH(E514,Comptes!$A$5:$A$42,0))</f>
      </c>
      <c r="Q514" s="0" t="inlineStr">
        <is>
          <t xml:space="preserve">5</t>
        </is>
      </c>
    </row>
    <row r="515">
      <c r="A515" s="4" t="inlineStr">
        <is>
          <t xml:space="preserve">BQ</t>
        </is>
      </c>
      <c r="B515" s="0" t="inlineStr">
        <is>
          <t xml:space="preserve">Banque Fictive</t>
        </is>
      </c>
      <c r="C515" s="0" t="inlineStr">
        <is>
          <t xml:space="preserve">BQ00083</t>
        </is>
      </c>
      <c r="D515" s="10">
        <v>45852</v>
      </c>
      <c r="E515" s="4" t="inlineStr">
        <is>
          <t xml:space="preserve">512000</t>
        </is>
      </c>
      <c r="F515" s="0" t="inlineStr">
        <is>
          <t xml:space="preserve">Banque Fictive</t>
        </is>
      </c>
      <c r="G515" s="0" t="inlineStr">
        <is>
          <t xml:space="preserve">ENC-FA2025-0016</t>
        </is>
      </c>
      <c r="H515" s="0" t="inlineStr">
        <is>
          <t xml:space="preserve">Reglement client Boutique Hetre et Chene FA2025-0016</t>
        </is>
      </c>
      <c r="I515" s="8">
        <v>28265.2</v>
      </c>
      <c r="J515" s="8">
        <v>0</v>
      </c>
      <c r="K515" s="0"/>
      <c r="L515" s="0"/>
      <c r="M515" s="8">
        <f>I515-J515</f>
      </c>
      <c r="N515" s="0" t="inlineStr">
        <is>
          <t xml:space="preserve">2025-07</t>
        </is>
      </c>
      <c r="O515" s="0">
        <f>INDEX(Journaux!$E$5:$E$18,MATCH("2025|"&amp;A515,Journaux!$A$5:$A$18,0))</f>
      </c>
      <c r="P515" s="0">
        <f>INDEX(Comptes!$K$5:$K$42,MATCH(E515,Comptes!$A$5:$A$42,0))</f>
      </c>
      <c r="Q515" s="0" t="inlineStr">
        <is>
          <t xml:space="preserve">5</t>
        </is>
      </c>
    </row>
    <row r="516">
      <c r="A516" s="4" t="inlineStr">
        <is>
          <t xml:space="preserve">BQ</t>
        </is>
      </c>
      <c r="B516" s="0" t="inlineStr">
        <is>
          <t xml:space="preserve">Banque Fictive</t>
        </is>
      </c>
      <c r="C516" s="0" t="inlineStr">
        <is>
          <t xml:space="preserve">BQ00083</t>
        </is>
      </c>
      <c r="D516" s="10">
        <v>45852</v>
      </c>
      <c r="E516" s="4" t="inlineStr">
        <is>
          <t xml:space="preserve">411000</t>
        </is>
      </c>
      <c r="F516" s="0" t="inlineStr">
        <is>
          <t xml:space="preserve">Clients</t>
        </is>
      </c>
      <c r="G516" s="0" t="inlineStr">
        <is>
          <t xml:space="preserve">ENC-FA2025-0016</t>
        </is>
      </c>
      <c r="H516" s="0" t="inlineStr">
        <is>
          <t xml:space="preserve">Reglement client Boutique Hetre et Chene FA2025-0016</t>
        </is>
      </c>
      <c r="I516" s="8">
        <v>0</v>
      </c>
      <c r="J516" s="8">
        <v>28265.2</v>
      </c>
      <c r="K516" s="0" t="inlineStr">
        <is>
          <t xml:space="preserve">AAX</t>
        </is>
      </c>
      <c r="L516" s="0" t="inlineStr">
        <is>
          <t xml:space="preserve">Boutique Hetre et Chene</t>
        </is>
      </c>
      <c r="M516" s="8">
        <f>I516-J516</f>
      </c>
      <c r="N516" s="0" t="inlineStr">
        <is>
          <t xml:space="preserve">2025-07</t>
        </is>
      </c>
      <c r="O516" s="0">
        <f>INDEX(Journaux!$E$5:$E$18,MATCH("2025|"&amp;A516,Journaux!$A$5:$A$18,0))</f>
      </c>
      <c r="P516" s="0">
        <f>INDEX(Comptes!$K$5:$K$42,MATCH(E516,Comptes!$A$5:$A$42,0))</f>
      </c>
      <c r="Q516" s="0" t="inlineStr">
        <is>
          <t xml:space="preserve">4</t>
        </is>
      </c>
      <c r="R516" s="7" t="inlineStr">
        <is>
          <t xml:space="preserve">411000|C007</t>
        </is>
      </c>
    </row>
    <row r="517">
      <c r="A517" s="4" t="inlineStr">
        <is>
          <t xml:space="preserve">VT</t>
        </is>
      </c>
      <c r="B517" s="0" t="inlineStr">
        <is>
          <t xml:space="preserve">Journal des ventes</t>
        </is>
      </c>
      <c r="C517" s="0" t="inlineStr">
        <is>
          <t xml:space="preserve">VT00029</t>
        </is>
      </c>
      <c r="D517" s="10">
        <v>45852</v>
      </c>
      <c r="E517" s="4" t="inlineStr">
        <is>
          <t xml:space="preserve">411000</t>
        </is>
      </c>
      <c r="F517" s="0" t="inlineStr">
        <is>
          <t xml:space="preserve">Clients</t>
        </is>
      </c>
      <c r="G517" s="0" t="inlineStr">
        <is>
          <t xml:space="preserve">FA2025-0029</t>
        </is>
      </c>
      <c r="H517" s="0" t="inlineStr">
        <is>
          <t xml:space="preserve">Facture FA2025-0029 Residence Bel Air</t>
        </is>
      </c>
      <c r="I517" s="8">
        <v>31143.24</v>
      </c>
      <c r="J517" s="8">
        <v>0</v>
      </c>
      <c r="K517" s="0" t="inlineStr">
        <is>
          <t xml:space="preserve">AAK</t>
        </is>
      </c>
      <c r="L517" s="0" t="inlineStr">
        <is>
          <t xml:space="preserve">Residence Bel Air</t>
        </is>
      </c>
      <c r="M517" s="8">
        <f>I517-J517</f>
      </c>
      <c r="N517" s="0" t="inlineStr">
        <is>
          <t xml:space="preserve">2025-07</t>
        </is>
      </c>
      <c r="O517" s="0">
        <f>INDEX(Journaux!$E$5:$E$18,MATCH("2025|"&amp;A517,Journaux!$A$5:$A$18,0))</f>
      </c>
      <c r="P517" s="0">
        <f>INDEX(Comptes!$K$5:$K$42,MATCH(E517,Comptes!$A$5:$A$42,0))</f>
      </c>
      <c r="Q517" s="0" t="inlineStr">
        <is>
          <t xml:space="preserve">4</t>
        </is>
      </c>
      <c r="R517" s="7" t="inlineStr">
        <is>
          <t xml:space="preserve">411000|C003</t>
        </is>
      </c>
    </row>
    <row r="518">
      <c r="A518" s="4" t="inlineStr">
        <is>
          <t xml:space="preserve">VT</t>
        </is>
      </c>
      <c r="B518" s="0" t="inlineStr">
        <is>
          <t xml:space="preserve">Journal des ventes</t>
        </is>
      </c>
      <c r="C518" s="0" t="inlineStr">
        <is>
          <t xml:space="preserve">VT00029</t>
        </is>
      </c>
      <c r="D518" s="10">
        <v>45852</v>
      </c>
      <c r="E518" s="4" t="inlineStr">
        <is>
          <t xml:space="preserve">701000</t>
        </is>
      </c>
      <c r="F518" s="0" t="inlineStr">
        <is>
          <t xml:space="preserve">Ventes de produits finis</t>
        </is>
      </c>
      <c r="G518" s="0" t="inlineStr">
        <is>
          <t xml:space="preserve">FA2025-0029</t>
        </is>
      </c>
      <c r="H518" s="0" t="inlineStr">
        <is>
          <t xml:space="preserve">Facture FA2025-0029 Residence Bel Air</t>
        </is>
      </c>
      <c r="I518" s="8">
        <v>0</v>
      </c>
      <c r="J518" s="8">
        <v>25952.7</v>
      </c>
      <c r="K518" s="0"/>
      <c r="L518" s="0"/>
      <c r="M518" s="8">
        <f>I518-J518</f>
      </c>
      <c r="N518" s="0" t="inlineStr">
        <is>
          <t xml:space="preserve">2025-07</t>
        </is>
      </c>
      <c r="O518" s="0">
        <f>INDEX(Journaux!$E$5:$E$18,MATCH("2025|"&amp;A518,Journaux!$A$5:$A$18,0))</f>
      </c>
      <c r="P518" s="0">
        <f>INDEX(Comptes!$K$5:$K$42,MATCH(E518,Comptes!$A$5:$A$42,0))</f>
      </c>
      <c r="Q518" s="0" t="inlineStr">
        <is>
          <t xml:space="preserve">7</t>
        </is>
      </c>
    </row>
    <row r="519">
      <c r="A519" s="4" t="inlineStr">
        <is>
          <t xml:space="preserve">VT</t>
        </is>
      </c>
      <c r="B519" s="0" t="inlineStr">
        <is>
          <t xml:space="preserve">Journal des ventes</t>
        </is>
      </c>
      <c r="C519" s="0" t="inlineStr">
        <is>
          <t xml:space="preserve">VT00029</t>
        </is>
      </c>
      <c r="D519" s="10">
        <v>45852</v>
      </c>
      <c r="E519" s="4" t="inlineStr">
        <is>
          <t xml:space="preserve">445710</t>
        </is>
      </c>
      <c r="F519" s="0" t="inlineStr">
        <is>
          <t xml:space="preserve">TVA collectee</t>
        </is>
      </c>
      <c r="G519" s="0" t="inlineStr">
        <is>
          <t xml:space="preserve">FA2025-0029</t>
        </is>
      </c>
      <c r="H519" s="0" t="inlineStr">
        <is>
          <t xml:space="preserve">Facture FA2025-0029 Residence Bel Air</t>
        </is>
      </c>
      <c r="I519" s="8">
        <v>0</v>
      </c>
      <c r="J519" s="8">
        <v>5190.54</v>
      </c>
      <c r="K519" s="0"/>
      <c r="L519" s="0"/>
      <c r="M519" s="8">
        <f>I519-J519</f>
      </c>
      <c r="N519" s="0" t="inlineStr">
        <is>
          <t xml:space="preserve">2025-07</t>
        </is>
      </c>
      <c r="O519" s="0">
        <f>INDEX(Journaux!$E$5:$E$18,MATCH("2025|"&amp;A519,Journaux!$A$5:$A$18,0))</f>
      </c>
      <c r="P519" s="0">
        <f>INDEX(Comptes!$K$5:$K$42,MATCH(E519,Comptes!$A$5:$A$42,0))</f>
      </c>
      <c r="Q519" s="0" t="inlineStr">
        <is>
          <t xml:space="preserve">4</t>
        </is>
      </c>
    </row>
    <row r="520">
      <c r="A520" s="4" t="inlineStr">
        <is>
          <t xml:space="preserve">AC</t>
        </is>
      </c>
      <c r="B520" s="0" t="inlineStr">
        <is>
          <t xml:space="preserve">Journal des achats</t>
        </is>
      </c>
      <c r="C520" s="0" t="inlineStr">
        <is>
          <t xml:space="preserve">AC00041</t>
        </is>
      </c>
      <c r="D520" s="10">
        <v>45853</v>
      </c>
      <c r="E520" s="4" t="inlineStr">
        <is>
          <t xml:space="preserve">601000</t>
        </is>
      </c>
      <c r="F520" s="0" t="inlineStr">
        <is>
          <t xml:space="preserve">Achats de matieres premieres</t>
        </is>
      </c>
      <c r="G520" s="0" t="inlineStr">
        <is>
          <t xml:space="preserve">F001-2025073</t>
        </is>
      </c>
      <c r="H520" s="0" t="inlineStr">
        <is>
          <t xml:space="preserve">Facture Scierie du Nord F001-2025073</t>
        </is>
      </c>
      <c r="I520" s="8">
        <v>14371.68</v>
      </c>
      <c r="J520" s="8">
        <v>0</v>
      </c>
      <c r="K520" s="0"/>
      <c r="L520" s="0"/>
      <c r="M520" s="8">
        <f>I520-J520</f>
      </c>
      <c r="N520" s="0" t="inlineStr">
        <is>
          <t xml:space="preserve">2025-07</t>
        </is>
      </c>
      <c r="O520" s="0">
        <f>INDEX(Journaux!$E$5:$E$18,MATCH("2025|"&amp;A520,Journaux!$A$5:$A$18,0))</f>
      </c>
      <c r="P520" s="0">
        <f>INDEX(Comptes!$K$5:$K$42,MATCH(E520,Comptes!$A$5:$A$42,0))</f>
      </c>
      <c r="Q520" s="0" t="inlineStr">
        <is>
          <t xml:space="preserve">6</t>
        </is>
      </c>
    </row>
    <row r="521">
      <c r="A521" s="4" t="inlineStr">
        <is>
          <t xml:space="preserve">AC</t>
        </is>
      </c>
      <c r="B521" s="0" t="inlineStr">
        <is>
          <t xml:space="preserve">Journal des achats</t>
        </is>
      </c>
      <c r="C521" s="0" t="inlineStr">
        <is>
          <t xml:space="preserve">AC00041</t>
        </is>
      </c>
      <c r="D521" s="10">
        <v>45853</v>
      </c>
      <c r="E521" s="4" t="inlineStr">
        <is>
          <t xml:space="preserve">445660</t>
        </is>
      </c>
      <c r="F521" s="0" t="inlineStr">
        <is>
          <t xml:space="preserve">TVA deductible sur ABS</t>
        </is>
      </c>
      <c r="G521" s="0" t="inlineStr">
        <is>
          <t xml:space="preserve">F001-2025073</t>
        </is>
      </c>
      <c r="H521" s="0" t="inlineStr">
        <is>
          <t xml:space="preserve">Facture Scierie du Nord F001-2025073</t>
        </is>
      </c>
      <c r="I521" s="8">
        <v>2874.34</v>
      </c>
      <c r="J521" s="8">
        <v>0</v>
      </c>
      <c r="K521" s="0"/>
      <c r="L521" s="0"/>
      <c r="M521" s="8">
        <f>I521-J521</f>
      </c>
      <c r="N521" s="0" t="inlineStr">
        <is>
          <t xml:space="preserve">2025-07</t>
        </is>
      </c>
      <c r="O521" s="0">
        <f>INDEX(Journaux!$E$5:$E$18,MATCH("2025|"&amp;A521,Journaux!$A$5:$A$18,0))</f>
      </c>
      <c r="P521" s="0">
        <f>INDEX(Comptes!$K$5:$K$42,MATCH(E521,Comptes!$A$5:$A$42,0))</f>
      </c>
      <c r="Q521" s="0" t="inlineStr">
        <is>
          <t xml:space="preserve">4</t>
        </is>
      </c>
    </row>
    <row r="522">
      <c r="A522" s="4" t="inlineStr">
        <is>
          <t xml:space="preserve">AC</t>
        </is>
      </c>
      <c r="B522" s="0" t="inlineStr">
        <is>
          <t xml:space="preserve">Journal des achats</t>
        </is>
      </c>
      <c r="C522" s="0" t="inlineStr">
        <is>
          <t xml:space="preserve">AC00041</t>
        </is>
      </c>
      <c r="D522" s="10">
        <v>45853</v>
      </c>
      <c r="E522" s="4" t="inlineStr">
        <is>
          <t xml:space="preserve">401000</t>
        </is>
      </c>
      <c r="F522" s="0" t="inlineStr">
        <is>
          <t xml:space="preserve">Fournisseurs</t>
        </is>
      </c>
      <c r="G522" s="0" t="inlineStr">
        <is>
          <t xml:space="preserve">F001-2025073</t>
        </is>
      </c>
      <c r="H522" s="0" t="inlineStr">
        <is>
          <t xml:space="preserve">Facture Scierie du Nord F001-2025073</t>
        </is>
      </c>
      <c r="I522" s="8">
        <v>0</v>
      </c>
      <c r="J522" s="8">
        <v>17246.02</v>
      </c>
      <c r="K522" s="0" t="inlineStr">
        <is>
          <t xml:space="preserve">ACW</t>
        </is>
      </c>
      <c r="L522" s="0" t="inlineStr">
        <is>
          <t xml:space="preserve">Scierie du Nord</t>
        </is>
      </c>
      <c r="M522" s="8">
        <f>I522-J522</f>
      </c>
      <c r="N522" s="0" t="inlineStr">
        <is>
          <t xml:space="preserve">2025-07</t>
        </is>
      </c>
      <c r="O522" s="0">
        <f>INDEX(Journaux!$E$5:$E$18,MATCH("2025|"&amp;A522,Journaux!$A$5:$A$18,0))</f>
      </c>
      <c r="P522" s="0">
        <f>INDEX(Comptes!$K$5:$K$42,MATCH(E522,Comptes!$A$5:$A$42,0))</f>
      </c>
      <c r="Q522" s="0" t="inlineStr">
        <is>
          <t xml:space="preserve">4</t>
        </is>
      </c>
      <c r="R522" s="7" t="inlineStr">
        <is>
          <t xml:space="preserve">401000|F001</t>
        </is>
      </c>
    </row>
    <row r="523">
      <c r="A523" s="4" t="inlineStr">
        <is>
          <t xml:space="preserve">BQ</t>
        </is>
      </c>
      <c r="B523" s="0" t="inlineStr">
        <is>
          <t xml:space="preserve">Banque Fictive</t>
        </is>
      </c>
      <c r="C523" s="0" t="inlineStr">
        <is>
          <t xml:space="preserve">BQ00050</t>
        </is>
      </c>
      <c r="D523" s="10">
        <v>45853</v>
      </c>
      <c r="E523" s="4" t="inlineStr">
        <is>
          <t xml:space="preserve">431000</t>
        </is>
      </c>
      <c r="F523" s="0" t="inlineStr">
        <is>
          <t xml:space="preserve">Securite sociale</t>
        </is>
      </c>
      <c r="G523" s="0" t="inlineStr">
        <is>
          <t xml:space="preserve">URSSAF202506</t>
        </is>
      </c>
      <c r="H523" s="0" t="inlineStr">
        <is>
          <t xml:space="preserve">Reglement URSSAF 06/2025</t>
        </is>
      </c>
      <c r="I523" s="8">
        <v>32595.66</v>
      </c>
      <c r="J523" s="8">
        <v>0</v>
      </c>
      <c r="K523" s="0"/>
      <c r="L523" s="0"/>
      <c r="M523" s="8">
        <f>I523-J523</f>
      </c>
      <c r="N523" s="0" t="inlineStr">
        <is>
          <t xml:space="preserve">2025-07</t>
        </is>
      </c>
      <c r="O523" s="0">
        <f>INDEX(Journaux!$E$5:$E$18,MATCH("2025|"&amp;A523,Journaux!$A$5:$A$18,0))</f>
      </c>
      <c r="P523" s="0">
        <f>INDEX(Comptes!$K$5:$K$42,MATCH(E523,Comptes!$A$5:$A$42,0))</f>
      </c>
      <c r="Q523" s="0" t="inlineStr">
        <is>
          <t xml:space="preserve">4</t>
        </is>
      </c>
    </row>
    <row r="524">
      <c r="A524" s="4" t="inlineStr">
        <is>
          <t xml:space="preserve">BQ</t>
        </is>
      </c>
      <c r="B524" s="0" t="inlineStr">
        <is>
          <t xml:space="preserve">Banque Fictive</t>
        </is>
      </c>
      <c r="C524" s="0" t="inlineStr">
        <is>
          <t xml:space="preserve">BQ00050</t>
        </is>
      </c>
      <c r="D524" s="10">
        <v>45853</v>
      </c>
      <c r="E524" s="4" t="inlineStr">
        <is>
          <t xml:space="preserve">512000</t>
        </is>
      </c>
      <c r="F524" s="0" t="inlineStr">
        <is>
          <t xml:space="preserve">Banque Fictive</t>
        </is>
      </c>
      <c r="G524" s="0" t="inlineStr">
        <is>
          <t xml:space="preserve">URSSAF202506</t>
        </is>
      </c>
      <c r="H524" s="0" t="inlineStr">
        <is>
          <t xml:space="preserve">Reglement URSSAF 06/2025</t>
        </is>
      </c>
      <c r="I524" s="8">
        <v>0</v>
      </c>
      <c r="J524" s="8">
        <v>32595.66</v>
      </c>
      <c r="K524" s="0"/>
      <c r="L524" s="0"/>
      <c r="M524" s="8">
        <f>I524-J524</f>
      </c>
      <c r="N524" s="0" t="inlineStr">
        <is>
          <t xml:space="preserve">2025-07</t>
        </is>
      </c>
      <c r="O524" s="0">
        <f>INDEX(Journaux!$E$5:$E$18,MATCH("2025|"&amp;A524,Journaux!$A$5:$A$18,0))</f>
      </c>
      <c r="P524" s="0">
        <f>INDEX(Comptes!$K$5:$K$42,MATCH(E524,Comptes!$A$5:$A$42,0))</f>
      </c>
      <c r="Q524" s="0" t="inlineStr">
        <is>
          <t xml:space="preserve">5</t>
        </is>
      </c>
    </row>
    <row r="525">
      <c r="A525" s="4" t="inlineStr">
        <is>
          <t xml:space="preserve">VT</t>
        </is>
      </c>
      <c r="B525" s="0" t="inlineStr">
        <is>
          <t xml:space="preserve">Journal des ventes</t>
        </is>
      </c>
      <c r="C525" s="0" t="inlineStr">
        <is>
          <t xml:space="preserve">VT00030</t>
        </is>
      </c>
      <c r="D525" s="10">
        <v>45854</v>
      </c>
      <c r="E525" s="4" t="inlineStr">
        <is>
          <t xml:space="preserve">411000</t>
        </is>
      </c>
      <c r="F525" s="0" t="inlineStr">
        <is>
          <t xml:space="preserve">Clients</t>
        </is>
      </c>
      <c r="G525" s="0" t="inlineStr">
        <is>
          <t xml:space="preserve">FA2025-0030</t>
        </is>
      </c>
      <c r="H525" s="0" t="inlineStr">
        <is>
          <t xml:space="preserve">Facture FA2025-0030 Agence Mobilis</t>
        </is>
      </c>
      <c r="I525" s="8">
        <v>31229.57</v>
      </c>
      <c r="J525" s="8">
        <v>0</v>
      </c>
      <c r="K525" s="0" t="inlineStr">
        <is>
          <t xml:space="preserve">AAL</t>
        </is>
      </c>
      <c r="L525" s="0" t="inlineStr">
        <is>
          <t xml:space="preserve">Agence Mobilis</t>
        </is>
      </c>
      <c r="M525" s="8">
        <f>I525-J525</f>
      </c>
      <c r="N525" s="0" t="inlineStr">
        <is>
          <t xml:space="preserve">2025-07</t>
        </is>
      </c>
      <c r="O525" s="0">
        <f>INDEX(Journaux!$E$5:$E$18,MATCH("2025|"&amp;A525,Journaux!$A$5:$A$18,0))</f>
      </c>
      <c r="P525" s="0">
        <f>INDEX(Comptes!$K$5:$K$42,MATCH(E525,Comptes!$A$5:$A$42,0))</f>
      </c>
      <c r="Q525" s="0" t="inlineStr">
        <is>
          <t xml:space="preserve">4</t>
        </is>
      </c>
      <c r="R525" s="7" t="inlineStr">
        <is>
          <t xml:space="preserve">411000|C002</t>
        </is>
      </c>
    </row>
    <row r="526">
      <c r="A526" s="4" t="inlineStr">
        <is>
          <t xml:space="preserve">VT</t>
        </is>
      </c>
      <c r="B526" s="0" t="inlineStr">
        <is>
          <t xml:space="preserve">Journal des ventes</t>
        </is>
      </c>
      <c r="C526" s="0" t="inlineStr">
        <is>
          <t xml:space="preserve">VT00030</t>
        </is>
      </c>
      <c r="D526" s="10">
        <v>45854</v>
      </c>
      <c r="E526" s="4" t="inlineStr">
        <is>
          <t xml:space="preserve">701000</t>
        </is>
      </c>
      <c r="F526" s="0" t="inlineStr">
        <is>
          <t xml:space="preserve">Ventes de produits finis</t>
        </is>
      </c>
      <c r="G526" s="0" t="inlineStr">
        <is>
          <t xml:space="preserve">FA2025-0030</t>
        </is>
      </c>
      <c r="H526" s="0" t="inlineStr">
        <is>
          <t xml:space="preserve">Facture FA2025-0030 Agence Mobilis</t>
        </is>
      </c>
      <c r="I526" s="8">
        <v>0</v>
      </c>
      <c r="J526" s="8">
        <v>26024.64</v>
      </c>
      <c r="K526" s="0"/>
      <c r="L526" s="0"/>
      <c r="M526" s="8">
        <f>I526-J526</f>
      </c>
      <c r="N526" s="0" t="inlineStr">
        <is>
          <t xml:space="preserve">2025-07</t>
        </is>
      </c>
      <c r="O526" s="0">
        <f>INDEX(Journaux!$E$5:$E$18,MATCH("2025|"&amp;A526,Journaux!$A$5:$A$18,0))</f>
      </c>
      <c r="P526" s="0">
        <f>INDEX(Comptes!$K$5:$K$42,MATCH(E526,Comptes!$A$5:$A$42,0))</f>
      </c>
      <c r="Q526" s="0" t="inlineStr">
        <is>
          <t xml:space="preserve">7</t>
        </is>
      </c>
    </row>
    <row r="527">
      <c r="A527" s="4" t="inlineStr">
        <is>
          <t xml:space="preserve">VT</t>
        </is>
      </c>
      <c r="B527" s="0" t="inlineStr">
        <is>
          <t xml:space="preserve">Journal des ventes</t>
        </is>
      </c>
      <c r="C527" s="0" t="inlineStr">
        <is>
          <t xml:space="preserve">VT00030</t>
        </is>
      </c>
      <c r="D527" s="10">
        <v>45854</v>
      </c>
      <c r="E527" s="4" t="inlineStr">
        <is>
          <t xml:space="preserve">445710</t>
        </is>
      </c>
      <c r="F527" s="0" t="inlineStr">
        <is>
          <t xml:space="preserve">TVA collectee</t>
        </is>
      </c>
      <c r="G527" s="0" t="inlineStr">
        <is>
          <t xml:space="preserve">FA2025-0030</t>
        </is>
      </c>
      <c r="H527" s="0" t="inlineStr">
        <is>
          <t xml:space="preserve">Facture FA2025-0030 Agence Mobilis</t>
        </is>
      </c>
      <c r="I527" s="8">
        <v>0</v>
      </c>
      <c r="J527" s="8">
        <v>5204.93</v>
      </c>
      <c r="K527" s="0"/>
      <c r="L527" s="0"/>
      <c r="M527" s="8">
        <f>I527-J527</f>
      </c>
      <c r="N527" s="0" t="inlineStr">
        <is>
          <t xml:space="preserve">2025-07</t>
        </is>
      </c>
      <c r="O527" s="0">
        <f>INDEX(Journaux!$E$5:$E$18,MATCH("2025|"&amp;A527,Journaux!$A$5:$A$18,0))</f>
      </c>
      <c r="P527" s="0">
        <f>INDEX(Comptes!$K$5:$K$42,MATCH(E527,Comptes!$A$5:$A$42,0))</f>
      </c>
      <c r="Q527" s="0" t="inlineStr">
        <is>
          <t xml:space="preserve">4</t>
        </is>
      </c>
    </row>
    <row r="528">
      <c r="A528" s="4" t="inlineStr">
        <is>
          <t xml:space="preserve">BQ</t>
        </is>
      </c>
      <c r="B528" s="0" t="inlineStr">
        <is>
          <t xml:space="preserve">Banque Fictive</t>
        </is>
      </c>
      <c r="C528" s="0" t="inlineStr">
        <is>
          <t xml:space="preserve">BQ00088</t>
        </is>
      </c>
      <c r="D528" s="10">
        <v>45856</v>
      </c>
      <c r="E528" s="4" t="inlineStr">
        <is>
          <t xml:space="preserve">512000</t>
        </is>
      </c>
      <c r="F528" s="0" t="inlineStr">
        <is>
          <t xml:space="preserve">Banque Fictive</t>
        </is>
      </c>
      <c r="G528" s="0" t="inlineStr">
        <is>
          <t xml:space="preserve">ENC-FA2025-0021</t>
        </is>
      </c>
      <c r="H528" s="0" t="inlineStr">
        <is>
          <t xml:space="preserve">Reglement client Residence Bel Air FA2025-0021</t>
        </is>
      </c>
      <c r="I528" s="8">
        <v>28369.19</v>
      </c>
      <c r="J528" s="8">
        <v>0</v>
      </c>
      <c r="K528" s="0"/>
      <c r="L528" s="0"/>
      <c r="M528" s="8">
        <f>I528-J528</f>
      </c>
      <c r="N528" s="0" t="inlineStr">
        <is>
          <t xml:space="preserve">2025-07</t>
        </is>
      </c>
      <c r="O528" s="0">
        <f>INDEX(Journaux!$E$5:$E$18,MATCH("2025|"&amp;A528,Journaux!$A$5:$A$18,0))</f>
      </c>
      <c r="P528" s="0">
        <f>INDEX(Comptes!$K$5:$K$42,MATCH(E528,Comptes!$A$5:$A$42,0))</f>
      </c>
      <c r="Q528" s="0" t="inlineStr">
        <is>
          <t xml:space="preserve">5</t>
        </is>
      </c>
    </row>
    <row r="529">
      <c r="A529" s="4" t="inlineStr">
        <is>
          <t xml:space="preserve">BQ</t>
        </is>
      </c>
      <c r="B529" s="0" t="inlineStr">
        <is>
          <t xml:space="preserve">Banque Fictive</t>
        </is>
      </c>
      <c r="C529" s="0" t="inlineStr">
        <is>
          <t xml:space="preserve">BQ00088</t>
        </is>
      </c>
      <c r="D529" s="10">
        <v>45856</v>
      </c>
      <c r="E529" s="4" t="inlineStr">
        <is>
          <t xml:space="preserve">411000</t>
        </is>
      </c>
      <c r="F529" s="0" t="inlineStr">
        <is>
          <t xml:space="preserve">Clients</t>
        </is>
      </c>
      <c r="G529" s="0" t="inlineStr">
        <is>
          <t xml:space="preserve">ENC-FA2025-0021</t>
        </is>
      </c>
      <c r="H529" s="0" t="inlineStr">
        <is>
          <t xml:space="preserve">Reglement client Residence Bel Air FA2025-0021</t>
        </is>
      </c>
      <c r="I529" s="8">
        <v>0</v>
      </c>
      <c r="J529" s="8">
        <v>28369.19</v>
      </c>
      <c r="K529" s="0" t="inlineStr">
        <is>
          <t xml:space="preserve">AAC</t>
        </is>
      </c>
      <c r="L529" s="0" t="inlineStr">
        <is>
          <t xml:space="preserve">Residence Bel Air</t>
        </is>
      </c>
      <c r="M529" s="8">
        <f>I529-J529</f>
      </c>
      <c r="N529" s="0" t="inlineStr">
        <is>
          <t xml:space="preserve">2025-07</t>
        </is>
      </c>
      <c r="O529" s="0">
        <f>INDEX(Journaux!$E$5:$E$18,MATCH("2025|"&amp;A529,Journaux!$A$5:$A$18,0))</f>
      </c>
      <c r="P529" s="0">
        <f>INDEX(Comptes!$K$5:$K$42,MATCH(E529,Comptes!$A$5:$A$42,0))</f>
      </c>
      <c r="Q529" s="0" t="inlineStr">
        <is>
          <t xml:space="preserve">4</t>
        </is>
      </c>
      <c r="R529" s="7" t="inlineStr">
        <is>
          <t xml:space="preserve">411000|C003</t>
        </is>
      </c>
    </row>
    <row r="530">
      <c r="A530" s="4" t="inlineStr">
        <is>
          <t xml:space="preserve">BQ</t>
        </is>
      </c>
      <c r="B530" s="0" t="inlineStr">
        <is>
          <t xml:space="preserve">Banque Fictive</t>
        </is>
      </c>
      <c r="C530" s="0" t="inlineStr">
        <is>
          <t xml:space="preserve">BQ00051</t>
        </is>
      </c>
      <c r="D530" s="10">
        <v>45858</v>
      </c>
      <c r="E530" s="4" t="inlineStr">
        <is>
          <t xml:space="preserve">445510</t>
        </is>
      </c>
      <c r="F530" s="0" t="inlineStr">
        <is>
          <t xml:space="preserve">TVA a decaisser</t>
        </is>
      </c>
      <c r="G530" s="0" t="inlineStr">
        <is>
          <t xml:space="preserve">TVA202506</t>
        </is>
      </c>
      <c r="H530" s="0" t="inlineStr">
        <is>
          <t xml:space="preserve">Reglement TVA 06/2025</t>
        </is>
      </c>
      <c r="I530" s="8">
        <v>9474.92</v>
      </c>
      <c r="J530" s="8">
        <v>0</v>
      </c>
      <c r="K530" s="0"/>
      <c r="L530" s="0"/>
      <c r="M530" s="8">
        <f>I530-J530</f>
      </c>
      <c r="N530" s="0" t="inlineStr">
        <is>
          <t xml:space="preserve">2025-07</t>
        </is>
      </c>
      <c r="O530" s="0">
        <f>INDEX(Journaux!$E$5:$E$18,MATCH("2025|"&amp;A530,Journaux!$A$5:$A$18,0))</f>
      </c>
      <c r="P530" s="0">
        <f>INDEX(Comptes!$K$5:$K$42,MATCH(E530,Comptes!$A$5:$A$42,0))</f>
      </c>
      <c r="Q530" s="0" t="inlineStr">
        <is>
          <t xml:space="preserve">4</t>
        </is>
      </c>
    </row>
    <row r="531">
      <c r="A531" s="4" t="inlineStr">
        <is>
          <t xml:space="preserve">BQ</t>
        </is>
      </c>
      <c r="B531" s="0" t="inlineStr">
        <is>
          <t xml:space="preserve">Banque Fictive</t>
        </is>
      </c>
      <c r="C531" s="0" t="inlineStr">
        <is>
          <t xml:space="preserve">BQ00051</t>
        </is>
      </c>
      <c r="D531" s="10">
        <v>45858</v>
      </c>
      <c r="E531" s="4" t="inlineStr">
        <is>
          <t xml:space="preserve">512000</t>
        </is>
      </c>
      <c r="F531" s="0" t="inlineStr">
        <is>
          <t xml:space="preserve">Banque Fictive</t>
        </is>
      </c>
      <c r="G531" s="0" t="inlineStr">
        <is>
          <t xml:space="preserve">TVA202506</t>
        </is>
      </c>
      <c r="H531" s="0" t="inlineStr">
        <is>
          <t xml:space="preserve">Reglement TVA 06/2025</t>
        </is>
      </c>
      <c r="I531" s="8">
        <v>0</v>
      </c>
      <c r="J531" s="8">
        <v>9474.92</v>
      </c>
      <c r="K531" s="0"/>
      <c r="L531" s="0"/>
      <c r="M531" s="8">
        <f>I531-J531</f>
      </c>
      <c r="N531" s="0" t="inlineStr">
        <is>
          <t xml:space="preserve">2025-07</t>
        </is>
      </c>
      <c r="O531" s="0">
        <f>INDEX(Journaux!$E$5:$E$18,MATCH("2025|"&amp;A531,Journaux!$A$5:$A$18,0))</f>
      </c>
      <c r="P531" s="0">
        <f>INDEX(Comptes!$K$5:$K$42,MATCH(E531,Comptes!$A$5:$A$42,0))</f>
      </c>
      <c r="Q531" s="0" t="inlineStr">
        <is>
          <t xml:space="preserve">5</t>
        </is>
      </c>
    </row>
    <row r="532">
      <c r="A532" s="4" t="inlineStr">
        <is>
          <t xml:space="preserve">BQ</t>
        </is>
      </c>
      <c r="B532" s="0" t="inlineStr">
        <is>
          <t xml:space="preserve">Banque Fictive</t>
        </is>
      </c>
      <c r="C532" s="0" t="inlineStr">
        <is>
          <t xml:space="preserve">BQ00090</t>
        </is>
      </c>
      <c r="D532" s="10">
        <v>45859</v>
      </c>
      <c r="E532" s="4" t="inlineStr">
        <is>
          <t xml:space="preserve">512000</t>
        </is>
      </c>
      <c r="F532" s="0" t="inlineStr">
        <is>
          <t xml:space="preserve">Banque Fictive</t>
        </is>
      </c>
      <c r="G532" s="0" t="inlineStr">
        <is>
          <t xml:space="preserve">ENC-FA2025-0023</t>
        </is>
      </c>
      <c r="H532" s="0" t="inlineStr">
        <is>
          <t xml:space="preserve">Reglement client Coworking Atelier 9 FA2025-0023</t>
        </is>
      </c>
      <c r="I532" s="8">
        <v>36208.44</v>
      </c>
      <c r="J532" s="8">
        <v>0</v>
      </c>
      <c r="K532" s="0"/>
      <c r="L532" s="0"/>
      <c r="M532" s="8">
        <f>I532-J532</f>
      </c>
      <c r="N532" s="0" t="inlineStr">
        <is>
          <t xml:space="preserve">2025-07</t>
        </is>
      </c>
      <c r="O532" s="0">
        <f>INDEX(Journaux!$E$5:$E$18,MATCH("2025|"&amp;A532,Journaux!$A$5:$A$18,0))</f>
      </c>
      <c r="P532" s="0">
        <f>INDEX(Comptes!$K$5:$K$42,MATCH(E532,Comptes!$A$5:$A$42,0))</f>
      </c>
      <c r="Q532" s="0" t="inlineStr">
        <is>
          <t xml:space="preserve">5</t>
        </is>
      </c>
    </row>
    <row r="533">
      <c r="A533" s="4" t="inlineStr">
        <is>
          <t xml:space="preserve">BQ</t>
        </is>
      </c>
      <c r="B533" s="0" t="inlineStr">
        <is>
          <t xml:space="preserve">Banque Fictive</t>
        </is>
      </c>
      <c r="C533" s="0" t="inlineStr">
        <is>
          <t xml:space="preserve">BQ00090</t>
        </is>
      </c>
      <c r="D533" s="10">
        <v>45859</v>
      </c>
      <c r="E533" s="4" t="inlineStr">
        <is>
          <t xml:space="preserve">411000</t>
        </is>
      </c>
      <c r="F533" s="0" t="inlineStr">
        <is>
          <t xml:space="preserve">Clients</t>
        </is>
      </c>
      <c r="G533" s="0" t="inlineStr">
        <is>
          <t xml:space="preserve">ENC-FA2025-0023</t>
        </is>
      </c>
      <c r="H533" s="0" t="inlineStr">
        <is>
          <t xml:space="preserve">Reglement client Coworking Atelier 9 FA2025-0023</t>
        </is>
      </c>
      <c r="I533" s="8">
        <v>0</v>
      </c>
      <c r="J533" s="8">
        <v>36208.44</v>
      </c>
      <c r="K533" s="0" t="inlineStr">
        <is>
          <t xml:space="preserve">AAE</t>
        </is>
      </c>
      <c r="L533" s="0" t="inlineStr">
        <is>
          <t xml:space="preserve">Coworking Atelier 9</t>
        </is>
      </c>
      <c r="M533" s="8">
        <f>I533-J533</f>
      </c>
      <c r="N533" s="0" t="inlineStr">
        <is>
          <t xml:space="preserve">2025-07</t>
        </is>
      </c>
      <c r="O533" s="0">
        <f>INDEX(Journaux!$E$5:$E$18,MATCH("2025|"&amp;A533,Journaux!$A$5:$A$18,0))</f>
      </c>
      <c r="P533" s="0">
        <f>INDEX(Comptes!$K$5:$K$42,MATCH(E533,Comptes!$A$5:$A$42,0))</f>
      </c>
      <c r="Q533" s="0" t="inlineStr">
        <is>
          <t xml:space="preserve">4</t>
        </is>
      </c>
      <c r="R533" s="7" t="inlineStr">
        <is>
          <t xml:space="preserve">411000|C008</t>
        </is>
      </c>
    </row>
    <row r="534">
      <c r="A534" s="4" t="inlineStr">
        <is>
          <t xml:space="preserve">VT</t>
        </is>
      </c>
      <c r="B534" s="0" t="inlineStr">
        <is>
          <t xml:space="preserve">Journal des ventes</t>
        </is>
      </c>
      <c r="C534" s="0" t="inlineStr">
        <is>
          <t xml:space="preserve">VT00031</t>
        </is>
      </c>
      <c r="D534" s="10">
        <v>45861</v>
      </c>
      <c r="E534" s="4" t="inlineStr">
        <is>
          <t xml:space="preserve">411000</t>
        </is>
      </c>
      <c r="F534" s="0" t="inlineStr">
        <is>
          <t xml:space="preserve">Clients</t>
        </is>
      </c>
      <c r="G534" s="0" t="inlineStr">
        <is>
          <t xml:space="preserve">FA2025-0031</t>
        </is>
      </c>
      <c r="H534" s="0" t="inlineStr">
        <is>
          <t xml:space="preserve">Facture FA2025-0031 Clinique du Parc</t>
        </is>
      </c>
      <c r="I534" s="8">
        <v>22886.94</v>
      </c>
      <c r="J534" s="8">
        <v>0</v>
      </c>
      <c r="K534" s="0" t="inlineStr">
        <is>
          <t xml:space="preserve">AAM</t>
        </is>
      </c>
      <c r="L534" s="0" t="inlineStr">
        <is>
          <t xml:space="preserve">Clinique du Parc</t>
        </is>
      </c>
      <c r="M534" s="8">
        <f>I534-J534</f>
      </c>
      <c r="N534" s="0" t="inlineStr">
        <is>
          <t xml:space="preserve">2025-07</t>
        </is>
      </c>
      <c r="O534" s="0">
        <f>INDEX(Journaux!$E$5:$E$18,MATCH("2025|"&amp;A534,Journaux!$A$5:$A$18,0))</f>
      </c>
      <c r="P534" s="0">
        <f>INDEX(Comptes!$K$5:$K$42,MATCH(E534,Comptes!$A$5:$A$42,0))</f>
      </c>
      <c r="Q534" s="0" t="inlineStr">
        <is>
          <t xml:space="preserve">4</t>
        </is>
      </c>
      <c r="R534" s="7" t="inlineStr">
        <is>
          <t xml:space="preserve">411000|C006</t>
        </is>
      </c>
    </row>
    <row r="535">
      <c r="A535" s="4" t="inlineStr">
        <is>
          <t xml:space="preserve">VT</t>
        </is>
      </c>
      <c r="B535" s="0" t="inlineStr">
        <is>
          <t xml:space="preserve">Journal des ventes</t>
        </is>
      </c>
      <c r="C535" s="0" t="inlineStr">
        <is>
          <t xml:space="preserve">VT00031</t>
        </is>
      </c>
      <c r="D535" s="10">
        <v>45861</v>
      </c>
      <c r="E535" s="4" t="inlineStr">
        <is>
          <t xml:space="preserve">701000</t>
        </is>
      </c>
      <c r="F535" s="0" t="inlineStr">
        <is>
          <t xml:space="preserve">Ventes de produits finis</t>
        </is>
      </c>
      <c r="G535" s="0" t="inlineStr">
        <is>
          <t xml:space="preserve">FA2025-0031</t>
        </is>
      </c>
      <c r="H535" s="0" t="inlineStr">
        <is>
          <t xml:space="preserve">Facture FA2025-0031 Clinique du Parc</t>
        </is>
      </c>
      <c r="I535" s="8">
        <v>0</v>
      </c>
      <c r="J535" s="8">
        <v>19072.45</v>
      </c>
      <c r="K535" s="0"/>
      <c r="L535" s="0"/>
      <c r="M535" s="8">
        <f>I535-J535</f>
      </c>
      <c r="N535" s="0" t="inlineStr">
        <is>
          <t xml:space="preserve">2025-07</t>
        </is>
      </c>
      <c r="O535" s="0">
        <f>INDEX(Journaux!$E$5:$E$18,MATCH("2025|"&amp;A535,Journaux!$A$5:$A$18,0))</f>
      </c>
      <c r="P535" s="0">
        <f>INDEX(Comptes!$K$5:$K$42,MATCH(E535,Comptes!$A$5:$A$42,0))</f>
      </c>
      <c r="Q535" s="0" t="inlineStr">
        <is>
          <t xml:space="preserve">7</t>
        </is>
      </c>
    </row>
    <row r="536">
      <c r="A536" s="4" t="inlineStr">
        <is>
          <t xml:space="preserve">VT</t>
        </is>
      </c>
      <c r="B536" s="0" t="inlineStr">
        <is>
          <t xml:space="preserve">Journal des ventes</t>
        </is>
      </c>
      <c r="C536" s="0" t="inlineStr">
        <is>
          <t xml:space="preserve">VT00031</t>
        </is>
      </c>
      <c r="D536" s="10">
        <v>45861</v>
      </c>
      <c r="E536" s="4" t="inlineStr">
        <is>
          <t xml:space="preserve">445710</t>
        </is>
      </c>
      <c r="F536" s="0" t="inlineStr">
        <is>
          <t xml:space="preserve">TVA collectee</t>
        </is>
      </c>
      <c r="G536" s="0" t="inlineStr">
        <is>
          <t xml:space="preserve">FA2025-0031</t>
        </is>
      </c>
      <c r="H536" s="0" t="inlineStr">
        <is>
          <t xml:space="preserve">Facture FA2025-0031 Clinique du Parc</t>
        </is>
      </c>
      <c r="I536" s="8">
        <v>0</v>
      </c>
      <c r="J536" s="8">
        <v>3814.49</v>
      </c>
      <c r="K536" s="0"/>
      <c r="L536" s="0"/>
      <c r="M536" s="8">
        <f>I536-J536</f>
      </c>
      <c r="N536" s="0" t="inlineStr">
        <is>
          <t xml:space="preserve">2025-07</t>
        </is>
      </c>
      <c r="O536" s="0">
        <f>INDEX(Journaux!$E$5:$E$18,MATCH("2025|"&amp;A536,Journaux!$A$5:$A$18,0))</f>
      </c>
      <c r="P536" s="0">
        <f>INDEX(Comptes!$K$5:$K$42,MATCH(E536,Comptes!$A$5:$A$42,0))</f>
      </c>
      <c r="Q536" s="0" t="inlineStr">
        <is>
          <t xml:space="preserve">4</t>
        </is>
      </c>
    </row>
    <row r="537">
      <c r="A537" s="4" t="inlineStr">
        <is>
          <t xml:space="preserve">BQ</t>
        </is>
      </c>
      <c r="B537" s="0" t="inlineStr">
        <is>
          <t xml:space="preserve">Banque Fictive</t>
        </is>
      </c>
      <c r="C537" s="0" t="inlineStr">
        <is>
          <t xml:space="preserve">BQ00147</t>
        </is>
      </c>
      <c r="D537" s="10">
        <v>45862</v>
      </c>
      <c r="E537" s="4" t="inlineStr">
        <is>
          <t xml:space="preserve">401000</t>
        </is>
      </c>
      <c r="F537" s="0" t="inlineStr">
        <is>
          <t xml:space="preserve">Fournisseurs</t>
        </is>
      </c>
      <c r="G537" s="0" t="inlineStr">
        <is>
          <t xml:space="preserve">DEC-F001-2025051</t>
        </is>
      </c>
      <c r="H537" s="0" t="inlineStr">
        <is>
          <t xml:space="preserve">Reglement fournisseur Scierie du Nord F001-2025051</t>
        </is>
      </c>
      <c r="I537" s="8">
        <v>29434.79</v>
      </c>
      <c r="J537" s="8">
        <v>0</v>
      </c>
      <c r="K537" s="0" t="inlineStr">
        <is>
          <t xml:space="preserve">ACJ</t>
        </is>
      </c>
      <c r="L537" s="0" t="inlineStr">
        <is>
          <t xml:space="preserve">Scierie du Nord</t>
        </is>
      </c>
      <c r="M537" s="8">
        <f>I537-J537</f>
      </c>
      <c r="N537" s="0" t="inlineStr">
        <is>
          <t xml:space="preserve">2025-07</t>
        </is>
      </c>
      <c r="O537" s="0">
        <f>INDEX(Journaux!$E$5:$E$18,MATCH("2025|"&amp;A537,Journaux!$A$5:$A$18,0))</f>
      </c>
      <c r="P537" s="0">
        <f>INDEX(Comptes!$K$5:$K$42,MATCH(E537,Comptes!$A$5:$A$42,0))</f>
      </c>
      <c r="Q537" s="0" t="inlineStr">
        <is>
          <t xml:space="preserve">4</t>
        </is>
      </c>
      <c r="R537" s="7" t="inlineStr">
        <is>
          <t xml:space="preserve">401000|F001</t>
        </is>
      </c>
    </row>
    <row r="538">
      <c r="A538" s="4" t="inlineStr">
        <is>
          <t xml:space="preserve">BQ</t>
        </is>
      </c>
      <c r="B538" s="0" t="inlineStr">
        <is>
          <t xml:space="preserve">Banque Fictive</t>
        </is>
      </c>
      <c r="C538" s="0" t="inlineStr">
        <is>
          <t xml:space="preserve">BQ00147</t>
        </is>
      </c>
      <c r="D538" s="10">
        <v>45862</v>
      </c>
      <c r="E538" s="4" t="inlineStr">
        <is>
          <t xml:space="preserve">512000</t>
        </is>
      </c>
      <c r="F538" s="0" t="inlineStr">
        <is>
          <t xml:space="preserve">Banque Fictive</t>
        </is>
      </c>
      <c r="G538" s="0" t="inlineStr">
        <is>
          <t xml:space="preserve">DEC-F001-2025051</t>
        </is>
      </c>
      <c r="H538" s="0" t="inlineStr">
        <is>
          <t xml:space="preserve">Reglement fournisseur Scierie du Nord F001-2025051</t>
        </is>
      </c>
      <c r="I538" s="8">
        <v>0</v>
      </c>
      <c r="J538" s="8">
        <v>29434.79</v>
      </c>
      <c r="K538" s="0"/>
      <c r="L538" s="0"/>
      <c r="M538" s="8">
        <f>I538-J538</f>
      </c>
      <c r="N538" s="0" t="inlineStr">
        <is>
          <t xml:space="preserve">2025-07</t>
        </is>
      </c>
      <c r="O538" s="0">
        <f>INDEX(Journaux!$E$5:$E$18,MATCH("2025|"&amp;A538,Journaux!$A$5:$A$18,0))</f>
      </c>
      <c r="P538" s="0">
        <f>INDEX(Comptes!$K$5:$K$42,MATCH(E538,Comptes!$A$5:$A$42,0))</f>
      </c>
      <c r="Q538" s="0" t="inlineStr">
        <is>
          <t xml:space="preserve">5</t>
        </is>
      </c>
    </row>
    <row r="539">
      <c r="A539" s="4" t="inlineStr">
        <is>
          <t xml:space="preserve">BQ</t>
        </is>
      </c>
      <c r="B539" s="0" t="inlineStr">
        <is>
          <t xml:space="preserve">Banque Fictive</t>
        </is>
      </c>
      <c r="C539" s="0" t="inlineStr">
        <is>
          <t xml:space="preserve">BQ00089</t>
        </is>
      </c>
      <c r="D539" s="10">
        <v>45866</v>
      </c>
      <c r="E539" s="4" t="inlineStr">
        <is>
          <t xml:space="preserve">512000</t>
        </is>
      </c>
      <c r="F539" s="0" t="inlineStr">
        <is>
          <t xml:space="preserve">Banque Fictive</t>
        </is>
      </c>
      <c r="G539" s="0" t="inlineStr">
        <is>
          <t xml:space="preserve">ENC-FA2025-0022</t>
        </is>
      </c>
      <c r="H539" s="0" t="inlineStr">
        <is>
          <t xml:space="preserve">Reglement client Restaurant Le Comptoir FA2025-0022</t>
        </is>
      </c>
      <c r="I539" s="8">
        <v>43017.35</v>
      </c>
      <c r="J539" s="8">
        <v>0</v>
      </c>
      <c r="K539" s="0"/>
      <c r="L539" s="0"/>
      <c r="M539" s="8">
        <f>I539-J539</f>
      </c>
      <c r="N539" s="0" t="inlineStr">
        <is>
          <t xml:space="preserve">2025-07</t>
        </is>
      </c>
      <c r="O539" s="0">
        <f>INDEX(Journaux!$E$5:$E$18,MATCH("2025|"&amp;A539,Journaux!$A$5:$A$18,0))</f>
      </c>
      <c r="P539" s="0">
        <f>INDEX(Comptes!$K$5:$K$42,MATCH(E539,Comptes!$A$5:$A$42,0))</f>
      </c>
      <c r="Q539" s="0" t="inlineStr">
        <is>
          <t xml:space="preserve">5</t>
        </is>
      </c>
    </row>
    <row r="540">
      <c r="A540" s="4" t="inlineStr">
        <is>
          <t xml:space="preserve">BQ</t>
        </is>
      </c>
      <c r="B540" s="0" t="inlineStr">
        <is>
          <t xml:space="preserve">Banque Fictive</t>
        </is>
      </c>
      <c r="C540" s="0" t="inlineStr">
        <is>
          <t xml:space="preserve">BQ00089</t>
        </is>
      </c>
      <c r="D540" s="10">
        <v>45866</v>
      </c>
      <c r="E540" s="4" t="inlineStr">
        <is>
          <t xml:space="preserve">411000</t>
        </is>
      </c>
      <c r="F540" s="0" t="inlineStr">
        <is>
          <t xml:space="preserve">Clients</t>
        </is>
      </c>
      <c r="G540" s="0" t="inlineStr">
        <is>
          <t xml:space="preserve">ENC-FA2025-0022</t>
        </is>
      </c>
      <c r="H540" s="0" t="inlineStr">
        <is>
          <t xml:space="preserve">Reglement client Restaurant Le Comptoir FA2025-0022</t>
        </is>
      </c>
      <c r="I540" s="8">
        <v>0</v>
      </c>
      <c r="J540" s="8">
        <v>43017.35</v>
      </c>
      <c r="K540" s="0" t="inlineStr">
        <is>
          <t xml:space="preserve">AAD</t>
        </is>
      </c>
      <c r="L540" s="0" t="inlineStr">
        <is>
          <t xml:space="preserve">Restaurant Le Comptoir</t>
        </is>
      </c>
      <c r="M540" s="8">
        <f>I540-J540</f>
      </c>
      <c r="N540" s="0" t="inlineStr">
        <is>
          <t xml:space="preserve">2025-07</t>
        </is>
      </c>
      <c r="O540" s="0">
        <f>INDEX(Journaux!$E$5:$E$18,MATCH("2025|"&amp;A540,Journaux!$A$5:$A$18,0))</f>
      </c>
      <c r="P540" s="0">
        <f>INDEX(Comptes!$K$5:$K$42,MATCH(E540,Comptes!$A$5:$A$42,0))</f>
      </c>
      <c r="Q540" s="0" t="inlineStr">
        <is>
          <t xml:space="preserve">4</t>
        </is>
      </c>
      <c r="R540" s="7" t="inlineStr">
        <is>
          <t xml:space="preserve">411000|C005</t>
        </is>
      </c>
    </row>
    <row r="541">
      <c r="A541" s="4" t="inlineStr">
        <is>
          <t xml:space="preserve">VT</t>
        </is>
      </c>
      <c r="B541" s="0" t="inlineStr">
        <is>
          <t xml:space="preserve">Journal des ventes</t>
        </is>
      </c>
      <c r="C541" s="0" t="inlineStr">
        <is>
          <t xml:space="preserve">VT00032</t>
        </is>
      </c>
      <c r="D541" s="10">
        <v>45866</v>
      </c>
      <c r="E541" s="4" t="inlineStr">
        <is>
          <t xml:space="preserve">411000</t>
        </is>
      </c>
      <c r="F541" s="0" t="inlineStr">
        <is>
          <t xml:space="preserve">Clients</t>
        </is>
      </c>
      <c r="G541" s="0" t="inlineStr">
        <is>
          <t xml:space="preserve">FA2025-0032</t>
        </is>
      </c>
      <c r="H541" s="0" t="inlineStr">
        <is>
          <t xml:space="preserve">Facture FA2025-0032 Agence Mobilis</t>
        </is>
      </c>
      <c r="I541" s="8">
        <v>24533.7</v>
      </c>
      <c r="J541" s="8">
        <v>0</v>
      </c>
      <c r="K541" s="0" t="inlineStr">
        <is>
          <t xml:space="preserve">AAN</t>
        </is>
      </c>
      <c r="L541" s="0" t="inlineStr">
        <is>
          <t xml:space="preserve">Agence Mobilis</t>
        </is>
      </c>
      <c r="M541" s="8">
        <f>I541-J541</f>
      </c>
      <c r="N541" s="0" t="inlineStr">
        <is>
          <t xml:space="preserve">2025-07</t>
        </is>
      </c>
      <c r="O541" s="0">
        <f>INDEX(Journaux!$E$5:$E$18,MATCH("2025|"&amp;A541,Journaux!$A$5:$A$18,0))</f>
      </c>
      <c r="P541" s="0">
        <f>INDEX(Comptes!$K$5:$K$42,MATCH(E541,Comptes!$A$5:$A$42,0))</f>
      </c>
      <c r="Q541" s="0" t="inlineStr">
        <is>
          <t xml:space="preserve">4</t>
        </is>
      </c>
      <c r="R541" s="7" t="inlineStr">
        <is>
          <t xml:space="preserve">411000|C002</t>
        </is>
      </c>
    </row>
    <row r="542">
      <c r="A542" s="4" t="inlineStr">
        <is>
          <t xml:space="preserve">VT</t>
        </is>
      </c>
      <c r="B542" s="0" t="inlineStr">
        <is>
          <t xml:space="preserve">Journal des ventes</t>
        </is>
      </c>
      <c r="C542" s="0" t="inlineStr">
        <is>
          <t xml:space="preserve">VT00032</t>
        </is>
      </c>
      <c r="D542" s="10">
        <v>45866</v>
      </c>
      <c r="E542" s="4" t="inlineStr">
        <is>
          <t xml:space="preserve">701000</t>
        </is>
      </c>
      <c r="F542" s="0" t="inlineStr">
        <is>
          <t xml:space="preserve">Ventes de produits finis</t>
        </is>
      </c>
      <c r="G542" s="0" t="inlineStr">
        <is>
          <t xml:space="preserve">FA2025-0032</t>
        </is>
      </c>
      <c r="H542" s="0" t="inlineStr">
        <is>
          <t xml:space="preserve">Facture FA2025-0032 Agence Mobilis</t>
        </is>
      </c>
      <c r="I542" s="8">
        <v>0</v>
      </c>
      <c r="J542" s="8">
        <v>20444.75</v>
      </c>
      <c r="K542" s="0"/>
      <c r="L542" s="0"/>
      <c r="M542" s="8">
        <f>I542-J542</f>
      </c>
      <c r="N542" s="0" t="inlineStr">
        <is>
          <t xml:space="preserve">2025-07</t>
        </is>
      </c>
      <c r="O542" s="0">
        <f>INDEX(Journaux!$E$5:$E$18,MATCH("2025|"&amp;A542,Journaux!$A$5:$A$18,0))</f>
      </c>
      <c r="P542" s="0">
        <f>INDEX(Comptes!$K$5:$K$42,MATCH(E542,Comptes!$A$5:$A$42,0))</f>
      </c>
      <c r="Q542" s="0" t="inlineStr">
        <is>
          <t xml:space="preserve">7</t>
        </is>
      </c>
    </row>
    <row r="543">
      <c r="A543" s="4" t="inlineStr">
        <is>
          <t xml:space="preserve">VT</t>
        </is>
      </c>
      <c r="B543" s="0" t="inlineStr">
        <is>
          <t xml:space="preserve">Journal des ventes</t>
        </is>
      </c>
      <c r="C543" s="0" t="inlineStr">
        <is>
          <t xml:space="preserve">VT00032</t>
        </is>
      </c>
      <c r="D543" s="10">
        <v>45866</v>
      </c>
      <c r="E543" s="4" t="inlineStr">
        <is>
          <t xml:space="preserve">445710</t>
        </is>
      </c>
      <c r="F543" s="0" t="inlineStr">
        <is>
          <t xml:space="preserve">TVA collectee</t>
        </is>
      </c>
      <c r="G543" s="0" t="inlineStr">
        <is>
          <t xml:space="preserve">FA2025-0032</t>
        </is>
      </c>
      <c r="H543" s="0" t="inlineStr">
        <is>
          <t xml:space="preserve">Facture FA2025-0032 Agence Mobilis</t>
        </is>
      </c>
      <c r="I543" s="8">
        <v>0</v>
      </c>
      <c r="J543" s="8">
        <v>4088.95</v>
      </c>
      <c r="K543" s="0"/>
      <c r="L543" s="0"/>
      <c r="M543" s="8">
        <f>I543-J543</f>
      </c>
      <c r="N543" s="0" t="inlineStr">
        <is>
          <t xml:space="preserve">2025-07</t>
        </is>
      </c>
      <c r="O543" s="0">
        <f>INDEX(Journaux!$E$5:$E$18,MATCH("2025|"&amp;A543,Journaux!$A$5:$A$18,0))</f>
      </c>
      <c r="P543" s="0">
        <f>INDEX(Comptes!$K$5:$K$42,MATCH(E543,Comptes!$A$5:$A$42,0))</f>
      </c>
      <c r="Q543" s="0" t="inlineStr">
        <is>
          <t xml:space="preserve">4</t>
        </is>
      </c>
    </row>
    <row r="544">
      <c r="A544" s="4" t="inlineStr">
        <is>
          <t xml:space="preserve">BQ</t>
        </is>
      </c>
      <c r="B544" s="0" t="inlineStr">
        <is>
          <t xml:space="preserve">Banque Fictive</t>
        </is>
      </c>
      <c r="C544" s="0" t="inlineStr">
        <is>
          <t xml:space="preserve">BQ00019</t>
        </is>
      </c>
      <c r="D544" s="10">
        <v>45869</v>
      </c>
      <c r="E544" s="4" t="inlineStr">
        <is>
          <t xml:space="preserve">421000</t>
        </is>
      </c>
      <c r="F544" s="0" t="inlineStr">
        <is>
          <t xml:space="preserve">Personnel remunerations dues</t>
        </is>
      </c>
      <c r="G544" s="0" t="inlineStr">
        <is>
          <t xml:space="preserve">VIRSAL202507</t>
        </is>
      </c>
      <c r="H544" s="0" t="inlineStr">
        <is>
          <t xml:space="preserve">Virement salaires 07/2025</t>
        </is>
      </c>
      <c r="I544" s="8">
        <v>39629.34</v>
      </c>
      <c r="J544" s="8">
        <v>0</v>
      </c>
      <c r="K544" s="0"/>
      <c r="L544" s="0"/>
      <c r="M544" s="8">
        <f>I544-J544</f>
      </c>
      <c r="N544" s="0" t="inlineStr">
        <is>
          <t xml:space="preserve">2025-07</t>
        </is>
      </c>
      <c r="O544" s="0">
        <f>INDEX(Journaux!$E$5:$E$18,MATCH("2025|"&amp;A544,Journaux!$A$5:$A$18,0))</f>
      </c>
      <c r="P544" s="0">
        <f>INDEX(Comptes!$K$5:$K$42,MATCH(E544,Comptes!$A$5:$A$42,0))</f>
      </c>
      <c r="Q544" s="0" t="inlineStr">
        <is>
          <t xml:space="preserve">4</t>
        </is>
      </c>
    </row>
    <row r="545">
      <c r="A545" s="4" t="inlineStr">
        <is>
          <t xml:space="preserve">BQ</t>
        </is>
      </c>
      <c r="B545" s="0" t="inlineStr">
        <is>
          <t xml:space="preserve">Banque Fictive</t>
        </is>
      </c>
      <c r="C545" s="0" t="inlineStr">
        <is>
          <t xml:space="preserve">BQ00019</t>
        </is>
      </c>
      <c r="D545" s="10">
        <v>45869</v>
      </c>
      <c r="E545" s="4" t="inlineStr">
        <is>
          <t xml:space="preserve">512000</t>
        </is>
      </c>
      <c r="F545" s="0" t="inlineStr">
        <is>
          <t xml:space="preserve">Banque Fictive</t>
        </is>
      </c>
      <c r="G545" s="0" t="inlineStr">
        <is>
          <t xml:space="preserve">VIRSAL202507</t>
        </is>
      </c>
      <c r="H545" s="0" t="inlineStr">
        <is>
          <t xml:space="preserve">Virement salaires 07/2025</t>
        </is>
      </c>
      <c r="I545" s="8">
        <v>0</v>
      </c>
      <c r="J545" s="8">
        <v>39629.34</v>
      </c>
      <c r="K545" s="0"/>
      <c r="L545" s="0"/>
      <c r="M545" s="8">
        <f>I545-J545</f>
      </c>
      <c r="N545" s="0" t="inlineStr">
        <is>
          <t xml:space="preserve">2025-07</t>
        </is>
      </c>
      <c r="O545" s="0">
        <f>INDEX(Journaux!$E$5:$E$18,MATCH("2025|"&amp;A545,Journaux!$A$5:$A$18,0))</f>
      </c>
      <c r="P545" s="0">
        <f>INDEX(Comptes!$K$5:$K$42,MATCH(E545,Comptes!$A$5:$A$42,0))</f>
      </c>
      <c r="Q545" s="0" t="inlineStr">
        <is>
          <t xml:space="preserve">5</t>
        </is>
      </c>
    </row>
    <row r="546">
      <c r="A546" s="4" t="inlineStr">
        <is>
          <t xml:space="preserve">BQ</t>
        </is>
      </c>
      <c r="B546" s="0" t="inlineStr">
        <is>
          <t xml:space="preserve">Banque Fictive</t>
        </is>
      </c>
      <c r="C546" s="0" t="inlineStr">
        <is>
          <t xml:space="preserve">BQ00021</t>
        </is>
      </c>
      <c r="D546" s="10">
        <v>45869</v>
      </c>
      <c r="E546" s="4" t="inlineStr">
        <is>
          <t xml:space="preserve">627000</t>
        </is>
      </c>
      <c r="F546" s="0" t="inlineStr">
        <is>
          <t xml:space="preserve">Services bancaires</t>
        </is>
      </c>
      <c r="G546" s="0" t="inlineStr">
        <is>
          <t xml:space="preserve">FRB202507</t>
        </is>
      </c>
      <c r="H546" s="0" t="inlineStr">
        <is>
          <t xml:space="preserve">Frais bancaires 07/2025</t>
        </is>
      </c>
      <c r="I546" s="8">
        <v>85</v>
      </c>
      <c r="J546" s="8">
        <v>0</v>
      </c>
      <c r="K546" s="0"/>
      <c r="L546" s="0"/>
      <c r="M546" s="8">
        <f>I546-J546</f>
      </c>
      <c r="N546" s="0" t="inlineStr">
        <is>
          <t xml:space="preserve">2025-07</t>
        </is>
      </c>
      <c r="O546" s="0">
        <f>INDEX(Journaux!$E$5:$E$18,MATCH("2025|"&amp;A546,Journaux!$A$5:$A$18,0))</f>
      </c>
      <c r="P546" s="0">
        <f>INDEX(Comptes!$K$5:$K$42,MATCH(E546,Comptes!$A$5:$A$42,0))</f>
      </c>
      <c r="Q546" s="0" t="inlineStr">
        <is>
          <t xml:space="preserve">6</t>
        </is>
      </c>
    </row>
    <row r="547">
      <c r="A547" s="4" t="inlineStr">
        <is>
          <t xml:space="preserve">BQ</t>
        </is>
      </c>
      <c r="B547" s="0" t="inlineStr">
        <is>
          <t xml:space="preserve">Banque Fictive</t>
        </is>
      </c>
      <c r="C547" s="0" t="inlineStr">
        <is>
          <t xml:space="preserve">BQ00021</t>
        </is>
      </c>
      <c r="D547" s="10">
        <v>45869</v>
      </c>
      <c r="E547" s="4" t="inlineStr">
        <is>
          <t xml:space="preserve">512000</t>
        </is>
      </c>
      <c r="F547" s="0" t="inlineStr">
        <is>
          <t xml:space="preserve">Banque Fictive</t>
        </is>
      </c>
      <c r="G547" s="0" t="inlineStr">
        <is>
          <t xml:space="preserve">FRB202507</t>
        </is>
      </c>
      <c r="H547" s="0" t="inlineStr">
        <is>
          <t xml:space="preserve">Frais bancaires 07/2025</t>
        </is>
      </c>
      <c r="I547" s="8">
        <v>0</v>
      </c>
      <c r="J547" s="8">
        <v>85</v>
      </c>
      <c r="K547" s="0"/>
      <c r="L547" s="0"/>
      <c r="M547" s="8">
        <f>I547-J547</f>
      </c>
      <c r="N547" s="0" t="inlineStr">
        <is>
          <t xml:space="preserve">2025-07</t>
        </is>
      </c>
      <c r="O547" s="0">
        <f>INDEX(Journaux!$E$5:$E$18,MATCH("2025|"&amp;A547,Journaux!$A$5:$A$18,0))</f>
      </c>
      <c r="P547" s="0">
        <f>INDEX(Comptes!$K$5:$K$42,MATCH(E547,Comptes!$A$5:$A$42,0))</f>
      </c>
      <c r="Q547" s="0" t="inlineStr">
        <is>
          <t xml:space="preserve">5</t>
        </is>
      </c>
    </row>
    <row r="548">
      <c r="A548" s="4" t="inlineStr">
        <is>
          <t xml:space="preserve">OD</t>
        </is>
      </c>
      <c r="B548" s="0" t="inlineStr">
        <is>
          <t xml:space="preserve">Operations diverses</t>
        </is>
      </c>
      <c r="C548" s="0" t="inlineStr">
        <is>
          <t xml:space="preserve">OD00007</t>
        </is>
      </c>
      <c r="D548" s="10">
        <v>45869</v>
      </c>
      <c r="E548" s="4" t="inlineStr">
        <is>
          <t xml:space="preserve">445710</t>
        </is>
      </c>
      <c r="F548" s="0" t="inlineStr">
        <is>
          <t xml:space="preserve">TVA collectee</t>
        </is>
      </c>
      <c r="G548" s="0" t="inlineStr">
        <is>
          <t xml:space="preserve">CA3-202507</t>
        </is>
      </c>
      <c r="H548" s="0" t="inlineStr">
        <is>
          <t xml:space="preserve">Declaration TVA 07/2025</t>
        </is>
      </c>
      <c r="I548" s="8">
        <v>22166.67</v>
      </c>
      <c r="J548" s="8">
        <v>0</v>
      </c>
      <c r="K548" s="0"/>
      <c r="L548" s="0"/>
      <c r="M548" s="8">
        <f>I548-J548</f>
      </c>
      <c r="N548" s="0" t="inlineStr">
        <is>
          <t xml:space="preserve">2025-07</t>
        </is>
      </c>
      <c r="O548" s="0">
        <f>INDEX(Journaux!$E$5:$E$18,MATCH("2025|"&amp;A548,Journaux!$A$5:$A$18,0))</f>
      </c>
      <c r="P548" s="0">
        <f>INDEX(Comptes!$K$5:$K$42,MATCH(E548,Comptes!$A$5:$A$42,0))</f>
      </c>
      <c r="Q548" s="0" t="inlineStr">
        <is>
          <t xml:space="preserve">4</t>
        </is>
      </c>
    </row>
    <row r="549">
      <c r="A549" s="4" t="inlineStr">
        <is>
          <t xml:space="preserve">OD</t>
        </is>
      </c>
      <c r="B549" s="0" t="inlineStr">
        <is>
          <t xml:space="preserve">Operations diverses</t>
        </is>
      </c>
      <c r="C549" s="0" t="inlineStr">
        <is>
          <t xml:space="preserve">OD00007</t>
        </is>
      </c>
      <c r="D549" s="10">
        <v>45869</v>
      </c>
      <c r="E549" s="4" t="inlineStr">
        <is>
          <t xml:space="preserve">445660</t>
        </is>
      </c>
      <c r="F549" s="0" t="inlineStr">
        <is>
          <t xml:space="preserve">TVA deductible sur ABS</t>
        </is>
      </c>
      <c r="G549" s="0" t="inlineStr">
        <is>
          <t xml:space="preserve">CA3-202507</t>
        </is>
      </c>
      <c r="H549" s="0" t="inlineStr">
        <is>
          <t xml:space="preserve">Declaration TVA 07/2025</t>
        </is>
      </c>
      <c r="I549" s="8">
        <v>0</v>
      </c>
      <c r="J549" s="8">
        <v>12881.71</v>
      </c>
      <c r="K549" s="0"/>
      <c r="L549" s="0"/>
      <c r="M549" s="8">
        <f>I549-J549</f>
      </c>
      <c r="N549" s="0" t="inlineStr">
        <is>
          <t xml:space="preserve">2025-07</t>
        </is>
      </c>
      <c r="O549" s="0">
        <f>INDEX(Journaux!$E$5:$E$18,MATCH("2025|"&amp;A549,Journaux!$A$5:$A$18,0))</f>
      </c>
      <c r="P549" s="0">
        <f>INDEX(Comptes!$K$5:$K$42,MATCH(E549,Comptes!$A$5:$A$42,0))</f>
      </c>
      <c r="Q549" s="0" t="inlineStr">
        <is>
          <t xml:space="preserve">4</t>
        </is>
      </c>
    </row>
    <row r="550">
      <c r="A550" s="4" t="inlineStr">
        <is>
          <t xml:space="preserve">OD</t>
        </is>
      </c>
      <c r="B550" s="0" t="inlineStr">
        <is>
          <t xml:space="preserve">Operations diverses</t>
        </is>
      </c>
      <c r="C550" s="0" t="inlineStr">
        <is>
          <t xml:space="preserve">OD00007</t>
        </is>
      </c>
      <c r="D550" s="10">
        <v>45869</v>
      </c>
      <c r="E550" s="4" t="inlineStr">
        <is>
          <t xml:space="preserve">445510</t>
        </is>
      </c>
      <c r="F550" s="0" t="inlineStr">
        <is>
          <t xml:space="preserve">TVA a decaisser</t>
        </is>
      </c>
      <c r="G550" s="0" t="inlineStr">
        <is>
          <t xml:space="preserve">CA3-202507</t>
        </is>
      </c>
      <c r="H550" s="0" t="inlineStr">
        <is>
          <t xml:space="preserve">Declaration TVA 07/2025</t>
        </is>
      </c>
      <c r="I550" s="8">
        <v>0</v>
      </c>
      <c r="J550" s="8">
        <v>9284.96</v>
      </c>
      <c r="K550" s="0"/>
      <c r="L550" s="0"/>
      <c r="M550" s="8">
        <f>I550-J550</f>
      </c>
      <c r="N550" s="0" t="inlineStr">
        <is>
          <t xml:space="preserve">2025-07</t>
        </is>
      </c>
      <c r="O550" s="0">
        <f>INDEX(Journaux!$E$5:$E$18,MATCH("2025|"&amp;A550,Journaux!$A$5:$A$18,0))</f>
      </c>
      <c r="P550" s="0">
        <f>INDEX(Comptes!$K$5:$K$42,MATCH(E550,Comptes!$A$5:$A$42,0))</f>
      </c>
      <c r="Q550" s="0" t="inlineStr">
        <is>
          <t xml:space="preserve">4</t>
        </is>
      </c>
    </row>
    <row r="551">
      <c r="A551" s="4" t="inlineStr">
        <is>
          <t xml:space="preserve">SA</t>
        </is>
      </c>
      <c r="B551" s="0" t="inlineStr">
        <is>
          <t xml:space="preserve">Salaires</t>
        </is>
      </c>
      <c r="C551" s="0" t="inlineStr">
        <is>
          <t xml:space="preserve">SA00007</t>
        </is>
      </c>
      <c r="D551" s="10">
        <v>45869</v>
      </c>
      <c r="E551" s="4" t="inlineStr">
        <is>
          <t xml:space="preserve">641000</t>
        </is>
      </c>
      <c r="F551" s="0" t="inlineStr">
        <is>
          <t xml:space="preserve">Remunerations du personnel</t>
        </is>
      </c>
      <c r="G551" s="0" t="inlineStr">
        <is>
          <t xml:space="preserve">PAIE202507</t>
        </is>
      </c>
      <c r="H551" s="0" t="inlineStr">
        <is>
          <t xml:space="preserve">Paie 07/2025</t>
        </is>
      </c>
      <c r="I551" s="8">
        <v>50806.85</v>
      </c>
      <c r="J551" s="8">
        <v>0</v>
      </c>
      <c r="K551" s="0"/>
      <c r="L551" s="0"/>
      <c r="M551" s="8">
        <f>I551-J551</f>
      </c>
      <c r="N551" s="0" t="inlineStr">
        <is>
          <t xml:space="preserve">2025-07</t>
        </is>
      </c>
      <c r="O551" s="0">
        <f>INDEX(Journaux!$E$5:$E$18,MATCH("2025|"&amp;A551,Journaux!$A$5:$A$18,0))</f>
      </c>
      <c r="P551" s="0">
        <f>INDEX(Comptes!$K$5:$K$42,MATCH(E551,Comptes!$A$5:$A$42,0))</f>
      </c>
      <c r="Q551" s="0" t="inlineStr">
        <is>
          <t xml:space="preserve">6</t>
        </is>
      </c>
    </row>
    <row r="552">
      <c r="A552" s="4" t="inlineStr">
        <is>
          <t xml:space="preserve">SA</t>
        </is>
      </c>
      <c r="B552" s="0" t="inlineStr">
        <is>
          <t xml:space="preserve">Salaires</t>
        </is>
      </c>
      <c r="C552" s="0" t="inlineStr">
        <is>
          <t xml:space="preserve">SA00007</t>
        </is>
      </c>
      <c r="D552" s="10">
        <v>45869</v>
      </c>
      <c r="E552" s="4" t="inlineStr">
        <is>
          <t xml:space="preserve">645100</t>
        </is>
      </c>
      <c r="F552" s="0" t="inlineStr">
        <is>
          <t xml:space="preserve">Cotisations URSSAF</t>
        </is>
      </c>
      <c r="G552" s="0" t="inlineStr">
        <is>
          <t xml:space="preserve">PAIE202507</t>
        </is>
      </c>
      <c r="H552" s="0" t="inlineStr">
        <is>
          <t xml:space="preserve">Paie 07/2025</t>
        </is>
      </c>
      <c r="I552" s="8">
        <v>21338.88</v>
      </c>
      <c r="J552" s="8">
        <v>0</v>
      </c>
      <c r="K552" s="0"/>
      <c r="L552" s="0"/>
      <c r="M552" s="8">
        <f>I552-J552</f>
      </c>
      <c r="N552" s="0" t="inlineStr">
        <is>
          <t xml:space="preserve">2025-07</t>
        </is>
      </c>
      <c r="O552" s="0">
        <f>INDEX(Journaux!$E$5:$E$18,MATCH("2025|"&amp;A552,Journaux!$A$5:$A$18,0))</f>
      </c>
      <c r="P552" s="0">
        <f>INDEX(Comptes!$K$5:$K$42,MATCH(E552,Comptes!$A$5:$A$42,0))</f>
      </c>
      <c r="Q552" s="0" t="inlineStr">
        <is>
          <t xml:space="preserve">6</t>
        </is>
      </c>
    </row>
    <row r="553">
      <c r="A553" s="4" t="inlineStr">
        <is>
          <t xml:space="preserve">SA</t>
        </is>
      </c>
      <c r="B553" s="0" t="inlineStr">
        <is>
          <t xml:space="preserve">Salaires</t>
        </is>
      </c>
      <c r="C553" s="0" t="inlineStr">
        <is>
          <t xml:space="preserve">SA00007</t>
        </is>
      </c>
      <c r="D553" s="10">
        <v>45869</v>
      </c>
      <c r="E553" s="4" t="inlineStr">
        <is>
          <t xml:space="preserve">421000</t>
        </is>
      </c>
      <c r="F553" s="0" t="inlineStr">
        <is>
          <t xml:space="preserve">Personnel remunerations dues</t>
        </is>
      </c>
      <c r="G553" s="0" t="inlineStr">
        <is>
          <t xml:space="preserve">PAIE202507</t>
        </is>
      </c>
      <c r="H553" s="0" t="inlineStr">
        <is>
          <t xml:space="preserve">Paie 07/2025</t>
        </is>
      </c>
      <c r="I553" s="8">
        <v>0</v>
      </c>
      <c r="J553" s="8">
        <v>39629.34</v>
      </c>
      <c r="K553" s="0"/>
      <c r="L553" s="0"/>
      <c r="M553" s="8">
        <f>I553-J553</f>
      </c>
      <c r="N553" s="0" t="inlineStr">
        <is>
          <t xml:space="preserve">2025-07</t>
        </is>
      </c>
      <c r="O553" s="0">
        <f>INDEX(Journaux!$E$5:$E$18,MATCH("2025|"&amp;A553,Journaux!$A$5:$A$18,0))</f>
      </c>
      <c r="P553" s="0">
        <f>INDEX(Comptes!$K$5:$K$42,MATCH(E553,Comptes!$A$5:$A$42,0))</f>
      </c>
      <c r="Q553" s="0" t="inlineStr">
        <is>
          <t xml:space="preserve">4</t>
        </is>
      </c>
    </row>
    <row r="554">
      <c r="A554" s="4" t="inlineStr">
        <is>
          <t xml:space="preserve">SA</t>
        </is>
      </c>
      <c r="B554" s="0" t="inlineStr">
        <is>
          <t xml:space="preserve">Salaires</t>
        </is>
      </c>
      <c r="C554" s="0" t="inlineStr">
        <is>
          <t xml:space="preserve">SA00007</t>
        </is>
      </c>
      <c r="D554" s="10">
        <v>45869</v>
      </c>
      <c r="E554" s="4" t="inlineStr">
        <is>
          <t xml:space="preserve">431000</t>
        </is>
      </c>
      <c r="F554" s="0" t="inlineStr">
        <is>
          <t xml:space="preserve">Securite sociale</t>
        </is>
      </c>
      <c r="G554" s="0" t="inlineStr">
        <is>
          <t xml:space="preserve">PAIE202507</t>
        </is>
      </c>
      <c r="H554" s="0" t="inlineStr">
        <is>
          <t xml:space="preserve">Paie 07/2025</t>
        </is>
      </c>
      <c r="I554" s="8">
        <v>0</v>
      </c>
      <c r="J554" s="8">
        <v>32516.39</v>
      </c>
      <c r="K554" s="0"/>
      <c r="L554" s="0"/>
      <c r="M554" s="8">
        <f>I554-J554</f>
      </c>
      <c r="N554" s="0" t="inlineStr">
        <is>
          <t xml:space="preserve">2025-07</t>
        </is>
      </c>
      <c r="O554" s="0">
        <f>INDEX(Journaux!$E$5:$E$18,MATCH("2025|"&amp;A554,Journaux!$A$5:$A$18,0))</f>
      </c>
      <c r="P554" s="0">
        <f>INDEX(Comptes!$K$5:$K$42,MATCH(E554,Comptes!$A$5:$A$42,0))</f>
      </c>
      <c r="Q554" s="0" t="inlineStr">
        <is>
          <t xml:space="preserve">4</t>
        </is>
      </c>
    </row>
    <row r="555">
      <c r="A555" s="4" t="inlineStr">
        <is>
          <t xml:space="preserve">VT</t>
        </is>
      </c>
      <c r="B555" s="0" t="inlineStr">
        <is>
          <t xml:space="preserve">Journal des ventes</t>
        </is>
      </c>
      <c r="C555" s="0" t="inlineStr">
        <is>
          <t xml:space="preserve">VT00033</t>
        </is>
      </c>
      <c r="D555" s="10">
        <v>45869</v>
      </c>
      <c r="E555" s="4" t="inlineStr">
        <is>
          <t xml:space="preserve">411000</t>
        </is>
      </c>
      <c r="F555" s="0" t="inlineStr">
        <is>
          <t xml:space="preserve">Clients</t>
        </is>
      </c>
      <c r="G555" s="0" t="inlineStr">
        <is>
          <t xml:space="preserve">FA2025-0033</t>
        </is>
      </c>
      <c r="H555" s="0" t="inlineStr">
        <is>
          <t xml:space="preserve">Facture FA2025-0033 Boutique Hetre et Chene</t>
        </is>
      </c>
      <c r="I555" s="8">
        <v>23206.55</v>
      </c>
      <c r="J555" s="8">
        <v>0</v>
      </c>
      <c r="K555" s="0" t="inlineStr">
        <is>
          <t xml:space="preserve">AAO</t>
        </is>
      </c>
      <c r="L555" s="0" t="inlineStr">
        <is>
          <t xml:space="preserve">Boutique Hetre et Chene</t>
        </is>
      </c>
      <c r="M555" s="8">
        <f>I555-J555</f>
      </c>
      <c r="N555" s="0" t="inlineStr">
        <is>
          <t xml:space="preserve">2025-07</t>
        </is>
      </c>
      <c r="O555" s="0">
        <f>INDEX(Journaux!$E$5:$E$18,MATCH("2025|"&amp;A555,Journaux!$A$5:$A$18,0))</f>
      </c>
      <c r="P555" s="0">
        <f>INDEX(Comptes!$K$5:$K$42,MATCH(E555,Comptes!$A$5:$A$42,0))</f>
      </c>
      <c r="Q555" s="0" t="inlineStr">
        <is>
          <t xml:space="preserve">4</t>
        </is>
      </c>
      <c r="R555" s="7" t="inlineStr">
        <is>
          <t xml:space="preserve">411000|C007</t>
        </is>
      </c>
    </row>
    <row r="556">
      <c r="A556" s="4" t="inlineStr">
        <is>
          <t xml:space="preserve">VT</t>
        </is>
      </c>
      <c r="B556" s="0" t="inlineStr">
        <is>
          <t xml:space="preserve">Journal des ventes</t>
        </is>
      </c>
      <c r="C556" s="0" t="inlineStr">
        <is>
          <t xml:space="preserve">VT00033</t>
        </is>
      </c>
      <c r="D556" s="10">
        <v>45869</v>
      </c>
      <c r="E556" s="4" t="inlineStr">
        <is>
          <t xml:space="preserve">701000</t>
        </is>
      </c>
      <c r="F556" s="0" t="inlineStr">
        <is>
          <t xml:space="preserve">Ventes de produits finis</t>
        </is>
      </c>
      <c r="G556" s="0" t="inlineStr">
        <is>
          <t xml:space="preserve">FA2025-0033</t>
        </is>
      </c>
      <c r="H556" s="0" t="inlineStr">
        <is>
          <t xml:space="preserve">Facture FA2025-0033 Boutique Hetre et Chene</t>
        </is>
      </c>
      <c r="I556" s="8">
        <v>0</v>
      </c>
      <c r="J556" s="8">
        <v>19338.79</v>
      </c>
      <c r="K556" s="0"/>
      <c r="L556" s="0"/>
      <c r="M556" s="8">
        <f>I556-J556</f>
      </c>
      <c r="N556" s="0" t="inlineStr">
        <is>
          <t xml:space="preserve">2025-07</t>
        </is>
      </c>
      <c r="O556" s="0">
        <f>INDEX(Journaux!$E$5:$E$18,MATCH("2025|"&amp;A556,Journaux!$A$5:$A$18,0))</f>
      </c>
      <c r="P556" s="0">
        <f>INDEX(Comptes!$K$5:$K$42,MATCH(E556,Comptes!$A$5:$A$42,0))</f>
      </c>
      <c r="Q556" s="0" t="inlineStr">
        <is>
          <t xml:space="preserve">7</t>
        </is>
      </c>
    </row>
    <row r="557">
      <c r="A557" s="4" t="inlineStr">
        <is>
          <t xml:space="preserve">VT</t>
        </is>
      </c>
      <c r="B557" s="0" t="inlineStr">
        <is>
          <t xml:space="preserve">Journal des ventes</t>
        </is>
      </c>
      <c r="C557" s="0" t="inlineStr">
        <is>
          <t xml:space="preserve">VT00033</t>
        </is>
      </c>
      <c r="D557" s="10">
        <v>45869</v>
      </c>
      <c r="E557" s="4" t="inlineStr">
        <is>
          <t xml:space="preserve">445710</t>
        </is>
      </c>
      <c r="F557" s="0" t="inlineStr">
        <is>
          <t xml:space="preserve">TVA collectee</t>
        </is>
      </c>
      <c r="G557" s="0" t="inlineStr">
        <is>
          <t xml:space="preserve">FA2025-0033</t>
        </is>
      </c>
      <c r="H557" s="0" t="inlineStr">
        <is>
          <t xml:space="preserve">Facture FA2025-0033 Boutique Hetre et Chene</t>
        </is>
      </c>
      <c r="I557" s="8">
        <v>0</v>
      </c>
      <c r="J557" s="8">
        <v>3867.76</v>
      </c>
      <c r="K557" s="0"/>
      <c r="L557" s="0"/>
      <c r="M557" s="8">
        <f>I557-J557</f>
      </c>
      <c r="N557" s="0" t="inlineStr">
        <is>
          <t xml:space="preserve">2025-07</t>
        </is>
      </c>
      <c r="O557" s="0">
        <f>INDEX(Journaux!$E$5:$E$18,MATCH("2025|"&amp;A557,Journaux!$A$5:$A$18,0))</f>
      </c>
      <c r="P557" s="0">
        <f>INDEX(Comptes!$K$5:$K$42,MATCH(E557,Comptes!$A$5:$A$42,0))</f>
      </c>
      <c r="Q557" s="0" t="inlineStr">
        <is>
          <t xml:space="preserve">4</t>
        </is>
      </c>
    </row>
    <row r="558">
      <c r="A558" s="4" t="inlineStr">
        <is>
          <t xml:space="preserve">BQ</t>
        </is>
      </c>
      <c r="B558" s="0" t="inlineStr">
        <is>
          <t xml:space="preserve">Banque Fictive</t>
        </is>
      </c>
      <c r="C558" s="0" t="inlineStr">
        <is>
          <t xml:space="preserve">BQ00148</t>
        </is>
      </c>
      <c r="D558" s="10">
        <v>45873</v>
      </c>
      <c r="E558" s="4" t="inlineStr">
        <is>
          <t xml:space="preserve">401000</t>
        </is>
      </c>
      <c r="F558" s="0" t="inlineStr">
        <is>
          <t xml:space="preserve">Fournisseurs</t>
        </is>
      </c>
      <c r="G558" s="0" t="inlineStr">
        <is>
          <t xml:space="preserve">DEC-F002-2025052</t>
        </is>
      </c>
      <c r="H558" s="0" t="inlineStr">
        <is>
          <t xml:space="preserve">Reglement fournisseur Quincaillerie Pro Est F002-2025052</t>
        </is>
      </c>
      <c r="I558" s="8">
        <v>39655.21</v>
      </c>
      <c r="J558" s="8">
        <v>0</v>
      </c>
      <c r="K558" s="0" t="inlineStr">
        <is>
          <t xml:space="preserve">ACK</t>
        </is>
      </c>
      <c r="L558" s="0" t="inlineStr">
        <is>
          <t xml:space="preserve">Quincaillerie Pro Est</t>
        </is>
      </c>
      <c r="M558" s="8">
        <f>I558-J558</f>
      </c>
      <c r="N558" s="0" t="inlineStr">
        <is>
          <t xml:space="preserve">2025-08</t>
        </is>
      </c>
      <c r="O558" s="0">
        <f>INDEX(Journaux!$E$5:$E$18,MATCH("2025|"&amp;A558,Journaux!$A$5:$A$18,0))</f>
      </c>
      <c r="P558" s="0">
        <f>INDEX(Comptes!$K$5:$K$42,MATCH(E558,Comptes!$A$5:$A$42,0))</f>
      </c>
      <c r="Q558" s="0" t="inlineStr">
        <is>
          <t xml:space="preserve">4</t>
        </is>
      </c>
      <c r="R558" s="7" t="inlineStr">
        <is>
          <t xml:space="preserve">401000|F002</t>
        </is>
      </c>
    </row>
    <row r="559">
      <c r="A559" s="4" t="inlineStr">
        <is>
          <t xml:space="preserve">BQ</t>
        </is>
      </c>
      <c r="B559" s="0" t="inlineStr">
        <is>
          <t xml:space="preserve">Banque Fictive</t>
        </is>
      </c>
      <c r="C559" s="0" t="inlineStr">
        <is>
          <t xml:space="preserve">BQ00148</t>
        </is>
      </c>
      <c r="D559" s="10">
        <v>45873</v>
      </c>
      <c r="E559" s="4" t="inlineStr">
        <is>
          <t xml:space="preserve">512000</t>
        </is>
      </c>
      <c r="F559" s="0" t="inlineStr">
        <is>
          <t xml:space="preserve">Banque Fictive</t>
        </is>
      </c>
      <c r="G559" s="0" t="inlineStr">
        <is>
          <t xml:space="preserve">DEC-F002-2025052</t>
        </is>
      </c>
      <c r="H559" s="0" t="inlineStr">
        <is>
          <t xml:space="preserve">Reglement fournisseur Quincaillerie Pro Est F002-2025052</t>
        </is>
      </c>
      <c r="I559" s="8">
        <v>0</v>
      </c>
      <c r="J559" s="8">
        <v>39655.21</v>
      </c>
      <c r="K559" s="0"/>
      <c r="L559" s="0"/>
      <c r="M559" s="8">
        <f>I559-J559</f>
      </c>
      <c r="N559" s="0" t="inlineStr">
        <is>
          <t xml:space="preserve">2025-08</t>
        </is>
      </c>
      <c r="O559" s="0">
        <f>INDEX(Journaux!$E$5:$E$18,MATCH("2025|"&amp;A559,Journaux!$A$5:$A$18,0))</f>
      </c>
      <c r="P559" s="0">
        <f>INDEX(Comptes!$K$5:$K$42,MATCH(E559,Comptes!$A$5:$A$42,0))</f>
      </c>
      <c r="Q559" s="0" t="inlineStr">
        <is>
          <t xml:space="preserve">5</t>
        </is>
      </c>
    </row>
    <row r="560">
      <c r="A560" s="4" t="inlineStr">
        <is>
          <t xml:space="preserve">BQ</t>
        </is>
      </c>
      <c r="B560" s="0" t="inlineStr">
        <is>
          <t xml:space="preserve">Banque Fictive</t>
        </is>
      </c>
      <c r="C560" s="0" t="inlineStr">
        <is>
          <t xml:space="preserve">BQ00161</t>
        </is>
      </c>
      <c r="D560" s="10">
        <v>45873</v>
      </c>
      <c r="E560" s="4" t="inlineStr">
        <is>
          <t xml:space="preserve">401000</t>
        </is>
      </c>
      <c r="F560" s="0" t="inlineStr">
        <is>
          <t xml:space="preserve">Fournisseurs</t>
        </is>
      </c>
      <c r="G560" s="0" t="inlineStr">
        <is>
          <t xml:space="preserve">DEC-F004-202507</t>
        </is>
      </c>
      <c r="H560" s="0" t="inlineStr">
        <is>
          <t xml:space="preserve">Reglement fournisseur SCI Les Halles F004-202507</t>
        </is>
      </c>
      <c r="I560" s="8">
        <v>10200</v>
      </c>
      <c r="J560" s="8">
        <v>0</v>
      </c>
      <c r="K560" s="0" t="inlineStr">
        <is>
          <t xml:space="preserve">ACX</t>
        </is>
      </c>
      <c r="L560" s="0" t="inlineStr">
        <is>
          <t xml:space="preserve">SCI Les Halles</t>
        </is>
      </c>
      <c r="M560" s="8">
        <f>I560-J560</f>
      </c>
      <c r="N560" s="0" t="inlineStr">
        <is>
          <t xml:space="preserve">2025-08</t>
        </is>
      </c>
      <c r="O560" s="0">
        <f>INDEX(Journaux!$E$5:$E$18,MATCH("2025|"&amp;A560,Journaux!$A$5:$A$18,0))</f>
      </c>
      <c r="P560" s="0">
        <f>INDEX(Comptes!$K$5:$K$42,MATCH(E560,Comptes!$A$5:$A$42,0))</f>
      </c>
      <c r="Q560" s="0" t="inlineStr">
        <is>
          <t xml:space="preserve">4</t>
        </is>
      </c>
      <c r="R560" s="7" t="inlineStr">
        <is>
          <t xml:space="preserve">401000|F004</t>
        </is>
      </c>
    </row>
    <row r="561">
      <c r="A561" s="4" t="inlineStr">
        <is>
          <t xml:space="preserve">BQ</t>
        </is>
      </c>
      <c r="B561" s="0" t="inlineStr">
        <is>
          <t xml:space="preserve">Banque Fictive</t>
        </is>
      </c>
      <c r="C561" s="0" t="inlineStr">
        <is>
          <t xml:space="preserve">BQ00161</t>
        </is>
      </c>
      <c r="D561" s="10">
        <v>45873</v>
      </c>
      <c r="E561" s="4" t="inlineStr">
        <is>
          <t xml:space="preserve">512000</t>
        </is>
      </c>
      <c r="F561" s="0" t="inlineStr">
        <is>
          <t xml:space="preserve">Banque Fictive</t>
        </is>
      </c>
      <c r="G561" s="0" t="inlineStr">
        <is>
          <t xml:space="preserve">DEC-F004-202507</t>
        </is>
      </c>
      <c r="H561" s="0" t="inlineStr">
        <is>
          <t xml:space="preserve">Reglement fournisseur SCI Les Halles F004-202507</t>
        </is>
      </c>
      <c r="I561" s="8">
        <v>0</v>
      </c>
      <c r="J561" s="8">
        <v>10200</v>
      </c>
      <c r="K561" s="0"/>
      <c r="L561" s="0"/>
      <c r="M561" s="8">
        <f>I561-J561</f>
      </c>
      <c r="N561" s="0" t="inlineStr">
        <is>
          <t xml:space="preserve">2025-08</t>
        </is>
      </c>
      <c r="O561" s="0">
        <f>INDEX(Journaux!$E$5:$E$18,MATCH("2025|"&amp;A561,Journaux!$A$5:$A$18,0))</f>
      </c>
      <c r="P561" s="0">
        <f>INDEX(Comptes!$K$5:$K$42,MATCH(E561,Comptes!$A$5:$A$42,0))</f>
      </c>
      <c r="Q561" s="0" t="inlineStr">
        <is>
          <t xml:space="preserve">5</t>
        </is>
      </c>
    </row>
    <row r="562">
      <c r="A562" s="4" t="inlineStr">
        <is>
          <t xml:space="preserve">BQ</t>
        </is>
      </c>
      <c r="B562" s="0" t="inlineStr">
        <is>
          <t xml:space="preserve">Banque Fictive</t>
        </is>
      </c>
      <c r="C562" s="0" t="inlineStr">
        <is>
          <t xml:space="preserve">BQ00162</t>
        </is>
      </c>
      <c r="D562" s="10">
        <v>45873</v>
      </c>
      <c r="E562" s="4" t="inlineStr">
        <is>
          <t xml:space="preserve">401000</t>
        </is>
      </c>
      <c r="F562" s="0" t="inlineStr">
        <is>
          <t xml:space="preserve">Fournisseurs</t>
        </is>
      </c>
      <c r="G562" s="0" t="inlineStr">
        <is>
          <t xml:space="preserve">DEC-F005-202507</t>
        </is>
      </c>
      <c r="H562" s="0" t="inlineStr">
        <is>
          <t xml:space="preserve">Reglement fournisseur Energie Plus F005-202507</t>
        </is>
      </c>
      <c r="I562" s="8">
        <v>4004.28</v>
      </c>
      <c r="J562" s="8">
        <v>0</v>
      </c>
      <c r="K562" s="0" t="inlineStr">
        <is>
          <t xml:space="preserve">ACY</t>
        </is>
      </c>
      <c r="L562" s="0" t="inlineStr">
        <is>
          <t xml:space="preserve">Energie Plus</t>
        </is>
      </c>
      <c r="M562" s="8">
        <f>I562-J562</f>
      </c>
      <c r="N562" s="0" t="inlineStr">
        <is>
          <t xml:space="preserve">2025-08</t>
        </is>
      </c>
      <c r="O562" s="0">
        <f>INDEX(Journaux!$E$5:$E$18,MATCH("2025|"&amp;A562,Journaux!$A$5:$A$18,0))</f>
      </c>
      <c r="P562" s="0">
        <f>INDEX(Comptes!$K$5:$K$42,MATCH(E562,Comptes!$A$5:$A$42,0))</f>
      </c>
      <c r="Q562" s="0" t="inlineStr">
        <is>
          <t xml:space="preserve">4</t>
        </is>
      </c>
      <c r="R562" s="7" t="inlineStr">
        <is>
          <t xml:space="preserve">401000|F005</t>
        </is>
      </c>
    </row>
    <row r="563">
      <c r="A563" s="4" t="inlineStr">
        <is>
          <t xml:space="preserve">BQ</t>
        </is>
      </c>
      <c r="B563" s="0" t="inlineStr">
        <is>
          <t xml:space="preserve">Banque Fictive</t>
        </is>
      </c>
      <c r="C563" s="0" t="inlineStr">
        <is>
          <t xml:space="preserve">BQ00162</t>
        </is>
      </c>
      <c r="D563" s="10">
        <v>45873</v>
      </c>
      <c r="E563" s="4" t="inlineStr">
        <is>
          <t xml:space="preserve">512000</t>
        </is>
      </c>
      <c r="F563" s="0" t="inlineStr">
        <is>
          <t xml:space="preserve">Banque Fictive</t>
        </is>
      </c>
      <c r="G563" s="0" t="inlineStr">
        <is>
          <t xml:space="preserve">DEC-F005-202507</t>
        </is>
      </c>
      <c r="H563" s="0" t="inlineStr">
        <is>
          <t xml:space="preserve">Reglement fournisseur Energie Plus F005-202507</t>
        </is>
      </c>
      <c r="I563" s="8">
        <v>0</v>
      </c>
      <c r="J563" s="8">
        <v>4004.28</v>
      </c>
      <c r="K563" s="0"/>
      <c r="L563" s="0"/>
      <c r="M563" s="8">
        <f>I563-J563</f>
      </c>
      <c r="N563" s="0" t="inlineStr">
        <is>
          <t xml:space="preserve">2025-08</t>
        </is>
      </c>
      <c r="O563" s="0">
        <f>INDEX(Journaux!$E$5:$E$18,MATCH("2025|"&amp;A563,Journaux!$A$5:$A$18,0))</f>
      </c>
      <c r="P563" s="0">
        <f>INDEX(Comptes!$K$5:$K$42,MATCH(E563,Comptes!$A$5:$A$42,0))</f>
      </c>
      <c r="Q563" s="0" t="inlineStr">
        <is>
          <t xml:space="preserve">5</t>
        </is>
      </c>
    </row>
    <row r="564">
      <c r="A564" s="4" t="inlineStr">
        <is>
          <t xml:space="preserve">BQ</t>
        </is>
      </c>
      <c r="B564" s="0" t="inlineStr">
        <is>
          <t xml:space="preserve">Banque Fictive</t>
        </is>
      </c>
      <c r="C564" s="0" t="inlineStr">
        <is>
          <t xml:space="preserve">BQ00163</t>
        </is>
      </c>
      <c r="D564" s="10">
        <v>45873</v>
      </c>
      <c r="E564" s="4" t="inlineStr">
        <is>
          <t xml:space="preserve">401000</t>
        </is>
      </c>
      <c r="F564" s="0" t="inlineStr">
        <is>
          <t xml:space="preserve">Fournisseurs</t>
        </is>
      </c>
      <c r="G564" s="0" t="inlineStr">
        <is>
          <t xml:space="preserve">DEC-F008-202507</t>
        </is>
      </c>
      <c r="H564" s="0" t="inlineStr">
        <is>
          <t xml:space="preserve">Reglement fournisseur Telecom Pro F008-202507</t>
        </is>
      </c>
      <c r="I564" s="8">
        <v>576</v>
      </c>
      <c r="J564" s="8">
        <v>0</v>
      </c>
      <c r="K564" s="0" t="inlineStr">
        <is>
          <t xml:space="preserve">ACZ</t>
        </is>
      </c>
      <c r="L564" s="0" t="inlineStr">
        <is>
          <t xml:space="preserve">Telecom Pro</t>
        </is>
      </c>
      <c r="M564" s="8">
        <f>I564-J564</f>
      </c>
      <c r="N564" s="0" t="inlineStr">
        <is>
          <t xml:space="preserve">2025-08</t>
        </is>
      </c>
      <c r="O564" s="0">
        <f>INDEX(Journaux!$E$5:$E$18,MATCH("2025|"&amp;A564,Journaux!$A$5:$A$18,0))</f>
      </c>
      <c r="P564" s="0">
        <f>INDEX(Comptes!$K$5:$K$42,MATCH(E564,Comptes!$A$5:$A$42,0))</f>
      </c>
      <c r="Q564" s="0" t="inlineStr">
        <is>
          <t xml:space="preserve">4</t>
        </is>
      </c>
      <c r="R564" s="7" t="inlineStr">
        <is>
          <t xml:space="preserve">401000|F008</t>
        </is>
      </c>
    </row>
    <row r="565">
      <c r="A565" s="4" t="inlineStr">
        <is>
          <t xml:space="preserve">BQ</t>
        </is>
      </c>
      <c r="B565" s="0" t="inlineStr">
        <is>
          <t xml:space="preserve">Banque Fictive</t>
        </is>
      </c>
      <c r="C565" s="0" t="inlineStr">
        <is>
          <t xml:space="preserve">BQ00163</t>
        </is>
      </c>
      <c r="D565" s="10">
        <v>45873</v>
      </c>
      <c r="E565" s="4" t="inlineStr">
        <is>
          <t xml:space="preserve">512000</t>
        </is>
      </c>
      <c r="F565" s="0" t="inlineStr">
        <is>
          <t xml:space="preserve">Banque Fictive</t>
        </is>
      </c>
      <c r="G565" s="0" t="inlineStr">
        <is>
          <t xml:space="preserve">DEC-F008-202507</t>
        </is>
      </c>
      <c r="H565" s="0" t="inlineStr">
        <is>
          <t xml:space="preserve">Reglement fournisseur Telecom Pro F008-202507</t>
        </is>
      </c>
      <c r="I565" s="8">
        <v>0</v>
      </c>
      <c r="J565" s="8">
        <v>576</v>
      </c>
      <c r="K565" s="0"/>
      <c r="L565" s="0"/>
      <c r="M565" s="8">
        <f>I565-J565</f>
      </c>
      <c r="N565" s="0" t="inlineStr">
        <is>
          <t xml:space="preserve">2025-08</t>
        </is>
      </c>
      <c r="O565" s="0">
        <f>INDEX(Journaux!$E$5:$E$18,MATCH("2025|"&amp;A565,Journaux!$A$5:$A$18,0))</f>
      </c>
      <c r="P565" s="0">
        <f>INDEX(Comptes!$K$5:$K$42,MATCH(E565,Comptes!$A$5:$A$42,0))</f>
      </c>
      <c r="Q565" s="0" t="inlineStr">
        <is>
          <t xml:space="preserve">5</t>
        </is>
      </c>
    </row>
    <row r="566">
      <c r="A566" s="4" t="inlineStr">
        <is>
          <t xml:space="preserve">BQ</t>
        </is>
      </c>
      <c r="B566" s="0" t="inlineStr">
        <is>
          <t xml:space="preserve">Banque Fictive</t>
        </is>
      </c>
      <c r="C566" s="0" t="inlineStr">
        <is>
          <t xml:space="preserve">BQ00164</t>
        </is>
      </c>
      <c r="D566" s="10">
        <v>45873</v>
      </c>
      <c r="E566" s="4" t="inlineStr">
        <is>
          <t xml:space="preserve">401000</t>
        </is>
      </c>
      <c r="F566" s="0" t="inlineStr">
        <is>
          <t xml:space="preserve">Fournisseurs</t>
        </is>
      </c>
      <c r="G566" s="0" t="inlineStr">
        <is>
          <t xml:space="preserve">DEC-F006-202507</t>
        </is>
      </c>
      <c r="H566" s="0" t="inlineStr">
        <is>
          <t xml:space="preserve">Reglement fournisseur Assurances Mutuelles Exemple F006-202507</t>
        </is>
      </c>
      <c r="I566" s="8">
        <v>3000</v>
      </c>
      <c r="J566" s="8">
        <v>0</v>
      </c>
      <c r="K566" s="0" t="inlineStr">
        <is>
          <t xml:space="preserve">ADA</t>
        </is>
      </c>
      <c r="L566" s="0" t="inlineStr">
        <is>
          <t xml:space="preserve">Assurances Mutuelles Exemple</t>
        </is>
      </c>
      <c r="M566" s="8">
        <f>I566-J566</f>
      </c>
      <c r="N566" s="0" t="inlineStr">
        <is>
          <t xml:space="preserve">2025-08</t>
        </is>
      </c>
      <c r="O566" s="0">
        <f>INDEX(Journaux!$E$5:$E$18,MATCH("2025|"&amp;A566,Journaux!$A$5:$A$18,0))</f>
      </c>
      <c r="P566" s="0">
        <f>INDEX(Comptes!$K$5:$K$42,MATCH(E566,Comptes!$A$5:$A$42,0))</f>
      </c>
      <c r="Q566" s="0" t="inlineStr">
        <is>
          <t xml:space="preserve">4</t>
        </is>
      </c>
      <c r="R566" s="7" t="inlineStr">
        <is>
          <t xml:space="preserve">401000|F006</t>
        </is>
      </c>
    </row>
    <row r="567">
      <c r="A567" s="4" t="inlineStr">
        <is>
          <t xml:space="preserve">BQ</t>
        </is>
      </c>
      <c r="B567" s="0" t="inlineStr">
        <is>
          <t xml:space="preserve">Banque Fictive</t>
        </is>
      </c>
      <c r="C567" s="0" t="inlineStr">
        <is>
          <t xml:space="preserve">BQ00164</t>
        </is>
      </c>
      <c r="D567" s="10">
        <v>45873</v>
      </c>
      <c r="E567" s="4" t="inlineStr">
        <is>
          <t xml:space="preserve">512000</t>
        </is>
      </c>
      <c r="F567" s="0" t="inlineStr">
        <is>
          <t xml:space="preserve">Banque Fictive</t>
        </is>
      </c>
      <c r="G567" s="0" t="inlineStr">
        <is>
          <t xml:space="preserve">DEC-F006-202507</t>
        </is>
      </c>
      <c r="H567" s="0" t="inlineStr">
        <is>
          <t xml:space="preserve">Reglement fournisseur Assurances Mutuelles Exemple F006-202507</t>
        </is>
      </c>
      <c r="I567" s="8">
        <v>0</v>
      </c>
      <c r="J567" s="8">
        <v>3000</v>
      </c>
      <c r="K567" s="0"/>
      <c r="L567" s="0"/>
      <c r="M567" s="8">
        <f>I567-J567</f>
      </c>
      <c r="N567" s="0" t="inlineStr">
        <is>
          <t xml:space="preserve">2025-08</t>
        </is>
      </c>
      <c r="O567" s="0">
        <f>INDEX(Journaux!$E$5:$E$18,MATCH("2025|"&amp;A567,Journaux!$A$5:$A$18,0))</f>
      </c>
      <c r="P567" s="0">
        <f>INDEX(Comptes!$K$5:$K$42,MATCH(E567,Comptes!$A$5:$A$42,0))</f>
      </c>
      <c r="Q567" s="0" t="inlineStr">
        <is>
          <t xml:space="preserve">5</t>
        </is>
      </c>
    </row>
    <row r="568">
      <c r="A568" s="4" t="inlineStr">
        <is>
          <t xml:space="preserve">AC</t>
        </is>
      </c>
      <c r="B568" s="0" t="inlineStr">
        <is>
          <t xml:space="preserve">Journal des achats</t>
        </is>
      </c>
      <c r="C568" s="0" t="inlineStr">
        <is>
          <t xml:space="preserve">AC00048</t>
        </is>
      </c>
      <c r="D568" s="10">
        <v>45874</v>
      </c>
      <c r="E568" s="4" t="inlineStr">
        <is>
          <t xml:space="preserve">613200</t>
        </is>
      </c>
      <c r="F568" s="0" t="inlineStr">
        <is>
          <t xml:space="preserve">Locations immobilieres</t>
        </is>
      </c>
      <c r="G568" s="0" t="inlineStr">
        <is>
          <t xml:space="preserve">F004-202508</t>
        </is>
      </c>
      <c r="H568" s="0" t="inlineStr">
        <is>
          <t xml:space="preserve">Facture SCI Les Halles 2025-08</t>
        </is>
      </c>
      <c r="I568" s="8">
        <v>8500</v>
      </c>
      <c r="J568" s="8">
        <v>0</v>
      </c>
      <c r="K568" s="0"/>
      <c r="L568" s="0"/>
      <c r="M568" s="8">
        <f>I568-J568</f>
      </c>
      <c r="N568" s="0" t="inlineStr">
        <is>
          <t xml:space="preserve">2025-08</t>
        </is>
      </c>
      <c r="O568" s="0">
        <f>INDEX(Journaux!$E$5:$E$18,MATCH("2025|"&amp;A568,Journaux!$A$5:$A$18,0))</f>
      </c>
      <c r="P568" s="0">
        <f>INDEX(Comptes!$K$5:$K$42,MATCH(E568,Comptes!$A$5:$A$42,0))</f>
      </c>
      <c r="Q568" s="0" t="inlineStr">
        <is>
          <t xml:space="preserve">6</t>
        </is>
      </c>
    </row>
    <row r="569">
      <c r="A569" s="4" t="inlineStr">
        <is>
          <t xml:space="preserve">AC</t>
        </is>
      </c>
      <c r="B569" s="0" t="inlineStr">
        <is>
          <t xml:space="preserve">Journal des achats</t>
        </is>
      </c>
      <c r="C569" s="0" t="inlineStr">
        <is>
          <t xml:space="preserve">AC00048</t>
        </is>
      </c>
      <c r="D569" s="10">
        <v>45874</v>
      </c>
      <c r="E569" s="4" t="inlineStr">
        <is>
          <t xml:space="preserve">445660</t>
        </is>
      </c>
      <c r="F569" s="0" t="inlineStr">
        <is>
          <t xml:space="preserve">TVA deductible sur ABS</t>
        </is>
      </c>
      <c r="G569" s="0" t="inlineStr">
        <is>
          <t xml:space="preserve">F004-202508</t>
        </is>
      </c>
      <c r="H569" s="0" t="inlineStr">
        <is>
          <t xml:space="preserve">Facture SCI Les Halles 2025-08</t>
        </is>
      </c>
      <c r="I569" s="8">
        <v>1700</v>
      </c>
      <c r="J569" s="8">
        <v>0</v>
      </c>
      <c r="K569" s="0"/>
      <c r="L569" s="0"/>
      <c r="M569" s="8">
        <f>I569-J569</f>
      </c>
      <c r="N569" s="0" t="inlineStr">
        <is>
          <t xml:space="preserve">2025-08</t>
        </is>
      </c>
      <c r="O569" s="0">
        <f>INDEX(Journaux!$E$5:$E$18,MATCH("2025|"&amp;A569,Journaux!$A$5:$A$18,0))</f>
      </c>
      <c r="P569" s="0">
        <f>INDEX(Comptes!$K$5:$K$42,MATCH(E569,Comptes!$A$5:$A$42,0))</f>
      </c>
      <c r="Q569" s="0" t="inlineStr">
        <is>
          <t xml:space="preserve">4</t>
        </is>
      </c>
    </row>
    <row r="570">
      <c r="A570" s="4" t="inlineStr">
        <is>
          <t xml:space="preserve">AC</t>
        </is>
      </c>
      <c r="B570" s="0" t="inlineStr">
        <is>
          <t xml:space="preserve">Journal des achats</t>
        </is>
      </c>
      <c r="C570" s="0" t="inlineStr">
        <is>
          <t xml:space="preserve">AC00048</t>
        </is>
      </c>
      <c r="D570" s="10">
        <v>45874</v>
      </c>
      <c r="E570" s="4" t="inlineStr">
        <is>
          <t xml:space="preserve">401000</t>
        </is>
      </c>
      <c r="F570" s="0" t="inlineStr">
        <is>
          <t xml:space="preserve">Fournisseurs</t>
        </is>
      </c>
      <c r="G570" s="0" t="inlineStr">
        <is>
          <t xml:space="preserve">F004-202508</t>
        </is>
      </c>
      <c r="H570" s="0" t="inlineStr">
        <is>
          <t xml:space="preserve">Facture SCI Les Halles 2025-08</t>
        </is>
      </c>
      <c r="I570" s="8">
        <v>0</v>
      </c>
      <c r="J570" s="8">
        <v>10200</v>
      </c>
      <c r="K570" s="0" t="inlineStr">
        <is>
          <t xml:space="preserve">ADD</t>
        </is>
      </c>
      <c r="L570" s="0" t="inlineStr">
        <is>
          <t xml:space="preserve">SCI Les Halles</t>
        </is>
      </c>
      <c r="M570" s="8">
        <f>I570-J570</f>
      </c>
      <c r="N570" s="0" t="inlineStr">
        <is>
          <t xml:space="preserve">2025-08</t>
        </is>
      </c>
      <c r="O570" s="0">
        <f>INDEX(Journaux!$E$5:$E$18,MATCH("2025|"&amp;A570,Journaux!$A$5:$A$18,0))</f>
      </c>
      <c r="P570" s="0">
        <f>INDEX(Comptes!$K$5:$K$42,MATCH(E570,Comptes!$A$5:$A$42,0))</f>
      </c>
      <c r="Q570" s="0" t="inlineStr">
        <is>
          <t xml:space="preserve">4</t>
        </is>
      </c>
      <c r="R570" s="7" t="inlineStr">
        <is>
          <t xml:space="preserve">401000|F004</t>
        </is>
      </c>
    </row>
    <row r="571">
      <c r="A571" s="4" t="inlineStr">
        <is>
          <t xml:space="preserve">AC</t>
        </is>
      </c>
      <c r="B571" s="0" t="inlineStr">
        <is>
          <t xml:space="preserve">Journal des achats</t>
        </is>
      </c>
      <c r="C571" s="0" t="inlineStr">
        <is>
          <t xml:space="preserve">AC00049</t>
        </is>
      </c>
      <c r="D571" s="10">
        <v>45874</v>
      </c>
      <c r="E571" s="4" t="inlineStr">
        <is>
          <t xml:space="preserve">606100</t>
        </is>
      </c>
      <c r="F571" s="0" t="inlineStr">
        <is>
          <t xml:space="preserve">Fournitures non stockables energie</t>
        </is>
      </c>
      <c r="G571" s="0" t="inlineStr">
        <is>
          <t xml:space="preserve">F005-202508</t>
        </is>
      </c>
      <c r="H571" s="0" t="inlineStr">
        <is>
          <t xml:space="preserve">Facture Energie Plus 2025-08</t>
        </is>
      </c>
      <c r="I571" s="8">
        <v>3314.77</v>
      </c>
      <c r="J571" s="8">
        <v>0</v>
      </c>
      <c r="K571" s="0"/>
      <c r="L571" s="0"/>
      <c r="M571" s="8">
        <f>I571-J571</f>
      </c>
      <c r="N571" s="0" t="inlineStr">
        <is>
          <t xml:space="preserve">2025-08</t>
        </is>
      </c>
      <c r="O571" s="0">
        <f>INDEX(Journaux!$E$5:$E$18,MATCH("2025|"&amp;A571,Journaux!$A$5:$A$18,0))</f>
      </c>
      <c r="P571" s="0">
        <f>INDEX(Comptes!$K$5:$K$42,MATCH(E571,Comptes!$A$5:$A$42,0))</f>
      </c>
      <c r="Q571" s="0" t="inlineStr">
        <is>
          <t xml:space="preserve">6</t>
        </is>
      </c>
    </row>
    <row r="572">
      <c r="A572" s="4" t="inlineStr">
        <is>
          <t xml:space="preserve">AC</t>
        </is>
      </c>
      <c r="B572" s="0" t="inlineStr">
        <is>
          <t xml:space="preserve">Journal des achats</t>
        </is>
      </c>
      <c r="C572" s="0" t="inlineStr">
        <is>
          <t xml:space="preserve">AC00049</t>
        </is>
      </c>
      <c r="D572" s="10">
        <v>45874</v>
      </c>
      <c r="E572" s="4" t="inlineStr">
        <is>
          <t xml:space="preserve">445660</t>
        </is>
      </c>
      <c r="F572" s="0" t="inlineStr">
        <is>
          <t xml:space="preserve">TVA deductible sur ABS</t>
        </is>
      </c>
      <c r="G572" s="0" t="inlineStr">
        <is>
          <t xml:space="preserve">F005-202508</t>
        </is>
      </c>
      <c r="H572" s="0" t="inlineStr">
        <is>
          <t xml:space="preserve">Facture Energie Plus 2025-08</t>
        </is>
      </c>
      <c r="I572" s="8">
        <v>662.95</v>
      </c>
      <c r="J572" s="8">
        <v>0</v>
      </c>
      <c r="K572" s="0"/>
      <c r="L572" s="0"/>
      <c r="M572" s="8">
        <f>I572-J572</f>
      </c>
      <c r="N572" s="0" t="inlineStr">
        <is>
          <t xml:space="preserve">2025-08</t>
        </is>
      </c>
      <c r="O572" s="0">
        <f>INDEX(Journaux!$E$5:$E$18,MATCH("2025|"&amp;A572,Journaux!$A$5:$A$18,0))</f>
      </c>
      <c r="P572" s="0">
        <f>INDEX(Comptes!$K$5:$K$42,MATCH(E572,Comptes!$A$5:$A$42,0))</f>
      </c>
      <c r="Q572" s="0" t="inlineStr">
        <is>
          <t xml:space="preserve">4</t>
        </is>
      </c>
    </row>
    <row r="573">
      <c r="A573" s="4" t="inlineStr">
        <is>
          <t xml:space="preserve">AC</t>
        </is>
      </c>
      <c r="B573" s="0" t="inlineStr">
        <is>
          <t xml:space="preserve">Journal des achats</t>
        </is>
      </c>
      <c r="C573" s="0" t="inlineStr">
        <is>
          <t xml:space="preserve">AC00049</t>
        </is>
      </c>
      <c r="D573" s="10">
        <v>45874</v>
      </c>
      <c r="E573" s="4" t="inlineStr">
        <is>
          <t xml:space="preserve">401000</t>
        </is>
      </c>
      <c r="F573" s="0" t="inlineStr">
        <is>
          <t xml:space="preserve">Fournisseurs</t>
        </is>
      </c>
      <c r="G573" s="0" t="inlineStr">
        <is>
          <t xml:space="preserve">F005-202508</t>
        </is>
      </c>
      <c r="H573" s="0" t="inlineStr">
        <is>
          <t xml:space="preserve">Facture Energie Plus 2025-08</t>
        </is>
      </c>
      <c r="I573" s="8">
        <v>0</v>
      </c>
      <c r="J573" s="8">
        <v>3977.72</v>
      </c>
      <c r="K573" s="0" t="inlineStr">
        <is>
          <t xml:space="preserve">ADE</t>
        </is>
      </c>
      <c r="L573" s="0" t="inlineStr">
        <is>
          <t xml:space="preserve">Energie Plus</t>
        </is>
      </c>
      <c r="M573" s="8">
        <f>I573-J573</f>
      </c>
      <c r="N573" s="0" t="inlineStr">
        <is>
          <t xml:space="preserve">2025-08</t>
        </is>
      </c>
      <c r="O573" s="0">
        <f>INDEX(Journaux!$E$5:$E$18,MATCH("2025|"&amp;A573,Journaux!$A$5:$A$18,0))</f>
      </c>
      <c r="P573" s="0">
        <f>INDEX(Comptes!$K$5:$K$42,MATCH(E573,Comptes!$A$5:$A$42,0))</f>
      </c>
      <c r="Q573" s="0" t="inlineStr">
        <is>
          <t xml:space="preserve">4</t>
        </is>
      </c>
      <c r="R573" s="7" t="inlineStr">
        <is>
          <t xml:space="preserve">401000|F005</t>
        </is>
      </c>
    </row>
    <row r="574">
      <c r="A574" s="4" t="inlineStr">
        <is>
          <t xml:space="preserve">AC</t>
        </is>
      </c>
      <c r="B574" s="0" t="inlineStr">
        <is>
          <t xml:space="preserve">Journal des achats</t>
        </is>
      </c>
      <c r="C574" s="0" t="inlineStr">
        <is>
          <t xml:space="preserve">AC00050</t>
        </is>
      </c>
      <c r="D574" s="10">
        <v>45874</v>
      </c>
      <c r="E574" s="4" t="inlineStr">
        <is>
          <t xml:space="preserve">626000</t>
        </is>
      </c>
      <c r="F574" s="0" t="inlineStr">
        <is>
          <t xml:space="preserve">Frais postaux et telecommunications</t>
        </is>
      </c>
      <c r="G574" s="0" t="inlineStr">
        <is>
          <t xml:space="preserve">F008-202508</t>
        </is>
      </c>
      <c r="H574" s="0" t="inlineStr">
        <is>
          <t xml:space="preserve">Facture Telecom Pro 2025-08</t>
        </is>
      </c>
      <c r="I574" s="8">
        <v>480</v>
      </c>
      <c r="J574" s="8">
        <v>0</v>
      </c>
      <c r="K574" s="0"/>
      <c r="L574" s="0"/>
      <c r="M574" s="8">
        <f>I574-J574</f>
      </c>
      <c r="N574" s="0" t="inlineStr">
        <is>
          <t xml:space="preserve">2025-08</t>
        </is>
      </c>
      <c r="O574" s="0">
        <f>INDEX(Journaux!$E$5:$E$18,MATCH("2025|"&amp;A574,Journaux!$A$5:$A$18,0))</f>
      </c>
      <c r="P574" s="0">
        <f>INDEX(Comptes!$K$5:$K$42,MATCH(E574,Comptes!$A$5:$A$42,0))</f>
      </c>
      <c r="Q574" s="0" t="inlineStr">
        <is>
          <t xml:space="preserve">6</t>
        </is>
      </c>
    </row>
    <row r="575">
      <c r="A575" s="4" t="inlineStr">
        <is>
          <t xml:space="preserve">AC</t>
        </is>
      </c>
      <c r="B575" s="0" t="inlineStr">
        <is>
          <t xml:space="preserve">Journal des achats</t>
        </is>
      </c>
      <c r="C575" s="0" t="inlineStr">
        <is>
          <t xml:space="preserve">AC00050</t>
        </is>
      </c>
      <c r="D575" s="10">
        <v>45874</v>
      </c>
      <c r="E575" s="4" t="inlineStr">
        <is>
          <t xml:space="preserve">445660</t>
        </is>
      </c>
      <c r="F575" s="0" t="inlineStr">
        <is>
          <t xml:space="preserve">TVA deductible sur ABS</t>
        </is>
      </c>
      <c r="G575" s="0" t="inlineStr">
        <is>
          <t xml:space="preserve">F008-202508</t>
        </is>
      </c>
      <c r="H575" s="0" t="inlineStr">
        <is>
          <t xml:space="preserve">Facture Telecom Pro 2025-08</t>
        </is>
      </c>
      <c r="I575" s="8">
        <v>96</v>
      </c>
      <c r="J575" s="8">
        <v>0</v>
      </c>
      <c r="K575" s="0"/>
      <c r="L575" s="0"/>
      <c r="M575" s="8">
        <f>I575-J575</f>
      </c>
      <c r="N575" s="0" t="inlineStr">
        <is>
          <t xml:space="preserve">2025-08</t>
        </is>
      </c>
      <c r="O575" s="0">
        <f>INDEX(Journaux!$E$5:$E$18,MATCH("2025|"&amp;A575,Journaux!$A$5:$A$18,0))</f>
      </c>
      <c r="P575" s="0">
        <f>INDEX(Comptes!$K$5:$K$42,MATCH(E575,Comptes!$A$5:$A$42,0))</f>
      </c>
      <c r="Q575" s="0" t="inlineStr">
        <is>
          <t xml:space="preserve">4</t>
        </is>
      </c>
    </row>
    <row r="576">
      <c r="A576" s="4" t="inlineStr">
        <is>
          <t xml:space="preserve">AC</t>
        </is>
      </c>
      <c r="B576" s="0" t="inlineStr">
        <is>
          <t xml:space="preserve">Journal des achats</t>
        </is>
      </c>
      <c r="C576" s="0" t="inlineStr">
        <is>
          <t xml:space="preserve">AC00050</t>
        </is>
      </c>
      <c r="D576" s="10">
        <v>45874</v>
      </c>
      <c r="E576" s="4" t="inlineStr">
        <is>
          <t xml:space="preserve">401000</t>
        </is>
      </c>
      <c r="F576" s="0" t="inlineStr">
        <is>
          <t xml:space="preserve">Fournisseurs</t>
        </is>
      </c>
      <c r="G576" s="0" t="inlineStr">
        <is>
          <t xml:space="preserve">F008-202508</t>
        </is>
      </c>
      <c r="H576" s="0" t="inlineStr">
        <is>
          <t xml:space="preserve">Facture Telecom Pro 2025-08</t>
        </is>
      </c>
      <c r="I576" s="8">
        <v>0</v>
      </c>
      <c r="J576" s="8">
        <v>576</v>
      </c>
      <c r="K576" s="0" t="inlineStr">
        <is>
          <t xml:space="preserve">ADF</t>
        </is>
      </c>
      <c r="L576" s="0" t="inlineStr">
        <is>
          <t xml:space="preserve">Telecom Pro</t>
        </is>
      </c>
      <c r="M576" s="8">
        <f>I576-J576</f>
      </c>
      <c r="N576" s="0" t="inlineStr">
        <is>
          <t xml:space="preserve">2025-08</t>
        </is>
      </c>
      <c r="O576" s="0">
        <f>INDEX(Journaux!$E$5:$E$18,MATCH("2025|"&amp;A576,Journaux!$A$5:$A$18,0))</f>
      </c>
      <c r="P576" s="0">
        <f>INDEX(Comptes!$K$5:$K$42,MATCH(E576,Comptes!$A$5:$A$42,0))</f>
      </c>
      <c r="Q576" s="0" t="inlineStr">
        <is>
          <t xml:space="preserve">4</t>
        </is>
      </c>
      <c r="R576" s="7" t="inlineStr">
        <is>
          <t xml:space="preserve">401000|F008</t>
        </is>
      </c>
    </row>
    <row r="577">
      <c r="A577" s="4" t="inlineStr">
        <is>
          <t xml:space="preserve">VT</t>
        </is>
      </c>
      <c r="B577" s="0" t="inlineStr">
        <is>
          <t xml:space="preserve">Journal des ventes</t>
        </is>
      </c>
      <c r="C577" s="0" t="inlineStr">
        <is>
          <t xml:space="preserve">VT00035</t>
        </is>
      </c>
      <c r="D577" s="10">
        <v>45875</v>
      </c>
      <c r="E577" s="4" t="inlineStr">
        <is>
          <t xml:space="preserve">411000</t>
        </is>
      </c>
      <c r="F577" s="0" t="inlineStr">
        <is>
          <t xml:space="preserve">Clients</t>
        </is>
      </c>
      <c r="G577" s="0" t="inlineStr">
        <is>
          <t xml:space="preserve">FA2025-0035</t>
        </is>
      </c>
      <c r="H577" s="0" t="inlineStr">
        <is>
          <t xml:space="preserve">Facture FA2025-0035 Residence Bel Air</t>
        </is>
      </c>
      <c r="I577" s="8">
        <v>18946.39</v>
      </c>
      <c r="J577" s="8">
        <v>0</v>
      </c>
      <c r="K577" s="0" t="inlineStr">
        <is>
          <t xml:space="preserve">AAQ</t>
        </is>
      </c>
      <c r="L577" s="0" t="inlineStr">
        <is>
          <t xml:space="preserve">Residence Bel Air</t>
        </is>
      </c>
      <c r="M577" s="8">
        <f>I577-J577</f>
      </c>
      <c r="N577" s="0" t="inlineStr">
        <is>
          <t xml:space="preserve">2025-08</t>
        </is>
      </c>
      <c r="O577" s="0">
        <f>INDEX(Journaux!$E$5:$E$18,MATCH("2025|"&amp;A577,Journaux!$A$5:$A$18,0))</f>
      </c>
      <c r="P577" s="0">
        <f>INDEX(Comptes!$K$5:$K$42,MATCH(E577,Comptes!$A$5:$A$42,0))</f>
      </c>
      <c r="Q577" s="0" t="inlineStr">
        <is>
          <t xml:space="preserve">4</t>
        </is>
      </c>
      <c r="R577" s="7" t="inlineStr">
        <is>
          <t xml:space="preserve">411000|C003</t>
        </is>
      </c>
    </row>
    <row r="578">
      <c r="A578" s="4" t="inlineStr">
        <is>
          <t xml:space="preserve">VT</t>
        </is>
      </c>
      <c r="B578" s="0" t="inlineStr">
        <is>
          <t xml:space="preserve">Journal des ventes</t>
        </is>
      </c>
      <c r="C578" s="0" t="inlineStr">
        <is>
          <t xml:space="preserve">VT00035</t>
        </is>
      </c>
      <c r="D578" s="10">
        <v>45875</v>
      </c>
      <c r="E578" s="4" t="inlineStr">
        <is>
          <t xml:space="preserve">701000</t>
        </is>
      </c>
      <c r="F578" s="0" t="inlineStr">
        <is>
          <t xml:space="preserve">Ventes de produits finis</t>
        </is>
      </c>
      <c r="G578" s="0" t="inlineStr">
        <is>
          <t xml:space="preserve">FA2025-0035</t>
        </is>
      </c>
      <c r="H578" s="0" t="inlineStr">
        <is>
          <t xml:space="preserve">Facture FA2025-0035 Residence Bel Air</t>
        </is>
      </c>
      <c r="I578" s="8">
        <v>0</v>
      </c>
      <c r="J578" s="8">
        <v>15788.66</v>
      </c>
      <c r="K578" s="0"/>
      <c r="L578" s="0"/>
      <c r="M578" s="8">
        <f>I578-J578</f>
      </c>
      <c r="N578" s="0" t="inlineStr">
        <is>
          <t xml:space="preserve">2025-08</t>
        </is>
      </c>
      <c r="O578" s="0">
        <f>INDEX(Journaux!$E$5:$E$18,MATCH("2025|"&amp;A578,Journaux!$A$5:$A$18,0))</f>
      </c>
      <c r="P578" s="0">
        <f>INDEX(Comptes!$K$5:$K$42,MATCH(E578,Comptes!$A$5:$A$42,0))</f>
      </c>
      <c r="Q578" s="0" t="inlineStr">
        <is>
          <t xml:space="preserve">7</t>
        </is>
      </c>
    </row>
    <row r="579">
      <c r="A579" s="4" t="inlineStr">
        <is>
          <t xml:space="preserve">VT</t>
        </is>
      </c>
      <c r="B579" s="0" t="inlineStr">
        <is>
          <t xml:space="preserve">Journal des ventes</t>
        </is>
      </c>
      <c r="C579" s="0" t="inlineStr">
        <is>
          <t xml:space="preserve">VT00035</t>
        </is>
      </c>
      <c r="D579" s="10">
        <v>45875</v>
      </c>
      <c r="E579" s="4" t="inlineStr">
        <is>
          <t xml:space="preserve">445710</t>
        </is>
      </c>
      <c r="F579" s="0" t="inlineStr">
        <is>
          <t xml:space="preserve">TVA collectee</t>
        </is>
      </c>
      <c r="G579" s="0" t="inlineStr">
        <is>
          <t xml:space="preserve">FA2025-0035</t>
        </is>
      </c>
      <c r="H579" s="0" t="inlineStr">
        <is>
          <t xml:space="preserve">Facture FA2025-0035 Residence Bel Air</t>
        </is>
      </c>
      <c r="I579" s="8">
        <v>0</v>
      </c>
      <c r="J579" s="8">
        <v>3157.73</v>
      </c>
      <c r="K579" s="0"/>
      <c r="L579" s="0"/>
      <c r="M579" s="8">
        <f>I579-J579</f>
      </c>
      <c r="N579" s="0" t="inlineStr">
        <is>
          <t xml:space="preserve">2025-08</t>
        </is>
      </c>
      <c r="O579" s="0">
        <f>INDEX(Journaux!$E$5:$E$18,MATCH("2025|"&amp;A579,Journaux!$A$5:$A$18,0))</f>
      </c>
      <c r="P579" s="0">
        <f>INDEX(Comptes!$K$5:$K$42,MATCH(E579,Comptes!$A$5:$A$42,0))</f>
      </c>
      <c r="Q579" s="0" t="inlineStr">
        <is>
          <t xml:space="preserve">4</t>
        </is>
      </c>
    </row>
    <row r="580">
      <c r="A580" s="4" t="inlineStr">
        <is>
          <t xml:space="preserve">BQ</t>
        </is>
      </c>
      <c r="B580" s="0" t="inlineStr">
        <is>
          <t xml:space="preserve">Banque Fictive</t>
        </is>
      </c>
      <c r="C580" s="0" t="inlineStr">
        <is>
          <t xml:space="preserve">BQ00023</t>
        </is>
      </c>
      <c r="D580" s="10">
        <v>45879</v>
      </c>
      <c r="E580" s="4" t="inlineStr">
        <is>
          <t xml:space="preserve">164000</t>
        </is>
      </c>
      <c r="F580" s="0" t="inlineStr">
        <is>
          <t xml:space="preserve">Emprunts aupres des etablissements de credit</t>
        </is>
      </c>
      <c r="G580" s="0" t="inlineStr">
        <is>
          <t xml:space="preserve">ECH202508</t>
        </is>
      </c>
      <c r="H580" s="0" t="inlineStr">
        <is>
          <t xml:space="preserve">Echeance emprunt 08/2025</t>
        </is>
      </c>
      <c r="I580" s="8">
        <v>2000</v>
      </c>
      <c r="J580" s="8">
        <v>0</v>
      </c>
      <c r="K580" s="0"/>
      <c r="L580" s="0"/>
      <c r="M580" s="8">
        <f>I580-J580</f>
      </c>
      <c r="N580" s="0" t="inlineStr">
        <is>
          <t xml:space="preserve">2025-08</t>
        </is>
      </c>
      <c r="O580" s="0">
        <f>INDEX(Journaux!$E$5:$E$18,MATCH("2025|"&amp;A580,Journaux!$A$5:$A$18,0))</f>
      </c>
      <c r="P580" s="0">
        <f>INDEX(Comptes!$K$5:$K$42,MATCH(E580,Comptes!$A$5:$A$42,0))</f>
      </c>
      <c r="Q580" s="0" t="inlineStr">
        <is>
          <t xml:space="preserve">1</t>
        </is>
      </c>
    </row>
    <row r="581">
      <c r="A581" s="4" t="inlineStr">
        <is>
          <t xml:space="preserve">BQ</t>
        </is>
      </c>
      <c r="B581" s="0" t="inlineStr">
        <is>
          <t xml:space="preserve">Banque Fictive</t>
        </is>
      </c>
      <c r="C581" s="0" t="inlineStr">
        <is>
          <t xml:space="preserve">BQ00023</t>
        </is>
      </c>
      <c r="D581" s="10">
        <v>45879</v>
      </c>
      <c r="E581" s="4" t="inlineStr">
        <is>
          <t xml:space="preserve">661100</t>
        </is>
      </c>
      <c r="F581" s="0" t="inlineStr">
        <is>
          <t xml:space="preserve">Interets des emprunts</t>
        </is>
      </c>
      <c r="G581" s="0" t="inlineStr">
        <is>
          <t xml:space="preserve">ECH202508</t>
        </is>
      </c>
      <c r="H581" s="0" t="inlineStr">
        <is>
          <t xml:space="preserve">Echeance emprunt 08/2025</t>
        </is>
      </c>
      <c r="I581" s="8">
        <v>173.33</v>
      </c>
      <c r="J581" s="8">
        <v>0</v>
      </c>
      <c r="K581" s="0"/>
      <c r="L581" s="0"/>
      <c r="M581" s="8">
        <f>I581-J581</f>
      </c>
      <c r="N581" s="0" t="inlineStr">
        <is>
          <t xml:space="preserve">2025-08</t>
        </is>
      </c>
      <c r="O581" s="0">
        <f>INDEX(Journaux!$E$5:$E$18,MATCH("2025|"&amp;A581,Journaux!$A$5:$A$18,0))</f>
      </c>
      <c r="P581" s="0">
        <f>INDEX(Comptes!$K$5:$K$42,MATCH(E581,Comptes!$A$5:$A$42,0))</f>
      </c>
      <c r="Q581" s="0" t="inlineStr">
        <is>
          <t xml:space="preserve">6</t>
        </is>
      </c>
    </row>
    <row r="582">
      <c r="A582" s="4" t="inlineStr">
        <is>
          <t xml:space="preserve">BQ</t>
        </is>
      </c>
      <c r="B582" s="0" t="inlineStr">
        <is>
          <t xml:space="preserve">Banque Fictive</t>
        </is>
      </c>
      <c r="C582" s="0" t="inlineStr">
        <is>
          <t xml:space="preserve">BQ00023</t>
        </is>
      </c>
      <c r="D582" s="10">
        <v>45879</v>
      </c>
      <c r="E582" s="4" t="inlineStr">
        <is>
          <t xml:space="preserve">512000</t>
        </is>
      </c>
      <c r="F582" s="0" t="inlineStr">
        <is>
          <t xml:space="preserve">Banque Fictive</t>
        </is>
      </c>
      <c r="G582" s="0" t="inlineStr">
        <is>
          <t xml:space="preserve">ECH202508</t>
        </is>
      </c>
      <c r="H582" s="0" t="inlineStr">
        <is>
          <t xml:space="preserve">Echeance emprunt 08/2025</t>
        </is>
      </c>
      <c r="I582" s="8">
        <v>0</v>
      </c>
      <c r="J582" s="8">
        <v>2173.33</v>
      </c>
      <c r="K582" s="0"/>
      <c r="L582" s="0"/>
      <c r="M582" s="8">
        <f>I582-J582</f>
      </c>
      <c r="N582" s="0" t="inlineStr">
        <is>
          <t xml:space="preserve">2025-08</t>
        </is>
      </c>
      <c r="O582" s="0">
        <f>INDEX(Journaux!$E$5:$E$18,MATCH("2025|"&amp;A582,Journaux!$A$5:$A$18,0))</f>
      </c>
      <c r="P582" s="0">
        <f>INDEX(Comptes!$K$5:$K$42,MATCH(E582,Comptes!$A$5:$A$42,0))</f>
      </c>
      <c r="Q582" s="0" t="inlineStr">
        <is>
          <t xml:space="preserve">5</t>
        </is>
      </c>
    </row>
    <row r="583">
      <c r="A583" s="4" t="inlineStr">
        <is>
          <t xml:space="preserve">BQ</t>
        </is>
      </c>
      <c r="B583" s="0" t="inlineStr">
        <is>
          <t xml:space="preserve">Banque Fictive</t>
        </is>
      </c>
      <c r="C583" s="0" t="inlineStr">
        <is>
          <t xml:space="preserve">BQ00153</t>
        </is>
      </c>
      <c r="D583" s="10">
        <v>45880</v>
      </c>
      <c r="E583" s="4" t="inlineStr">
        <is>
          <t xml:space="preserve">401000</t>
        </is>
      </c>
      <c r="F583" s="0" t="inlineStr">
        <is>
          <t xml:space="preserve">Fournisseurs</t>
        </is>
      </c>
      <c r="G583" s="0" t="inlineStr">
        <is>
          <t xml:space="preserve">DEC-F001-2025062</t>
        </is>
      </c>
      <c r="H583" s="0" t="inlineStr">
        <is>
          <t xml:space="preserve">Reglement fournisseur Scierie du Nord F001-2025062</t>
        </is>
      </c>
      <c r="I583" s="8">
        <v>36256.5</v>
      </c>
      <c r="J583" s="8">
        <v>0</v>
      </c>
      <c r="K583" s="0" t="inlineStr">
        <is>
          <t xml:space="preserve">ACP</t>
        </is>
      </c>
      <c r="L583" s="0" t="inlineStr">
        <is>
          <t xml:space="preserve">Scierie du Nord</t>
        </is>
      </c>
      <c r="M583" s="8">
        <f>I583-J583</f>
      </c>
      <c r="N583" s="0" t="inlineStr">
        <is>
          <t xml:space="preserve">2025-08</t>
        </is>
      </c>
      <c r="O583" s="0">
        <f>INDEX(Journaux!$E$5:$E$18,MATCH("2025|"&amp;A583,Journaux!$A$5:$A$18,0))</f>
      </c>
      <c r="P583" s="0">
        <f>INDEX(Comptes!$K$5:$K$42,MATCH(E583,Comptes!$A$5:$A$42,0))</f>
      </c>
      <c r="Q583" s="0" t="inlineStr">
        <is>
          <t xml:space="preserve">4</t>
        </is>
      </c>
      <c r="R583" s="7" t="inlineStr">
        <is>
          <t xml:space="preserve">401000|F001</t>
        </is>
      </c>
    </row>
    <row r="584">
      <c r="A584" s="4" t="inlineStr">
        <is>
          <t xml:space="preserve">BQ</t>
        </is>
      </c>
      <c r="B584" s="0" t="inlineStr">
        <is>
          <t xml:space="preserve">Banque Fictive</t>
        </is>
      </c>
      <c r="C584" s="0" t="inlineStr">
        <is>
          <t xml:space="preserve">BQ00153</t>
        </is>
      </c>
      <c r="D584" s="10">
        <v>45880</v>
      </c>
      <c r="E584" s="4" t="inlineStr">
        <is>
          <t xml:space="preserve">512000</t>
        </is>
      </c>
      <c r="F584" s="0" t="inlineStr">
        <is>
          <t xml:space="preserve">Banque Fictive</t>
        </is>
      </c>
      <c r="G584" s="0" t="inlineStr">
        <is>
          <t xml:space="preserve">DEC-F001-2025062</t>
        </is>
      </c>
      <c r="H584" s="0" t="inlineStr">
        <is>
          <t xml:space="preserve">Reglement fournisseur Scierie du Nord F001-2025062</t>
        </is>
      </c>
      <c r="I584" s="8">
        <v>0</v>
      </c>
      <c r="J584" s="8">
        <v>36256.5</v>
      </c>
      <c r="K584" s="0"/>
      <c r="L584" s="0"/>
      <c r="M584" s="8">
        <f>I584-J584</f>
      </c>
      <c r="N584" s="0" t="inlineStr">
        <is>
          <t xml:space="preserve">2025-08</t>
        </is>
      </c>
      <c r="O584" s="0">
        <f>INDEX(Journaux!$E$5:$E$18,MATCH("2025|"&amp;A584,Journaux!$A$5:$A$18,0))</f>
      </c>
      <c r="P584" s="0">
        <f>INDEX(Comptes!$K$5:$K$42,MATCH(E584,Comptes!$A$5:$A$42,0))</f>
      </c>
      <c r="Q584" s="0" t="inlineStr">
        <is>
          <t xml:space="preserve">5</t>
        </is>
      </c>
    </row>
    <row r="585">
      <c r="A585" s="4" t="inlineStr">
        <is>
          <t xml:space="preserve">VT</t>
        </is>
      </c>
      <c r="B585" s="0" t="inlineStr">
        <is>
          <t xml:space="preserve">Journal des ventes</t>
        </is>
      </c>
      <c r="C585" s="0" t="inlineStr">
        <is>
          <t xml:space="preserve">VT00034</t>
        </is>
      </c>
      <c r="D585" s="10">
        <v>45883</v>
      </c>
      <c r="E585" s="4" t="inlineStr">
        <is>
          <t xml:space="preserve">411000</t>
        </is>
      </c>
      <c r="F585" s="0" t="inlineStr">
        <is>
          <t xml:space="preserve">Clients</t>
        </is>
      </c>
      <c r="G585" s="0" t="inlineStr">
        <is>
          <t xml:space="preserve">FA2025-0034</t>
        </is>
      </c>
      <c r="H585" s="0" t="inlineStr">
        <is>
          <t xml:space="preserve">Facture FA2025-0034 Cabinet Varenne Associes</t>
        </is>
      </c>
      <c r="I585" s="8">
        <v>25251.25</v>
      </c>
      <c r="J585" s="8">
        <v>0</v>
      </c>
      <c r="K585" s="0" t="inlineStr">
        <is>
          <t xml:space="preserve">AAP</t>
        </is>
      </c>
      <c r="L585" s="0" t="inlineStr">
        <is>
          <t xml:space="preserve">Cabinet Varenne Associes</t>
        </is>
      </c>
      <c r="M585" s="8">
        <f>I585-J585</f>
      </c>
      <c r="N585" s="0" t="inlineStr">
        <is>
          <t xml:space="preserve">2025-08</t>
        </is>
      </c>
      <c r="O585" s="0">
        <f>INDEX(Journaux!$E$5:$E$18,MATCH("2025|"&amp;A585,Journaux!$A$5:$A$18,0))</f>
      </c>
      <c r="P585" s="0">
        <f>INDEX(Comptes!$K$5:$K$42,MATCH(E585,Comptes!$A$5:$A$42,0))</f>
      </c>
      <c r="Q585" s="0" t="inlineStr">
        <is>
          <t xml:space="preserve">4</t>
        </is>
      </c>
      <c r="R585" s="7" t="inlineStr">
        <is>
          <t xml:space="preserve">411000|C004</t>
        </is>
      </c>
    </row>
    <row r="586">
      <c r="A586" s="4" t="inlineStr">
        <is>
          <t xml:space="preserve">VT</t>
        </is>
      </c>
      <c r="B586" s="0" t="inlineStr">
        <is>
          <t xml:space="preserve">Journal des ventes</t>
        </is>
      </c>
      <c r="C586" s="0" t="inlineStr">
        <is>
          <t xml:space="preserve">VT00034</t>
        </is>
      </c>
      <c r="D586" s="10">
        <v>45883</v>
      </c>
      <c r="E586" s="4" t="inlineStr">
        <is>
          <t xml:space="preserve">701000</t>
        </is>
      </c>
      <c r="F586" s="0" t="inlineStr">
        <is>
          <t xml:space="preserve">Ventes de produits finis</t>
        </is>
      </c>
      <c r="G586" s="0" t="inlineStr">
        <is>
          <t xml:space="preserve">FA2025-0034</t>
        </is>
      </c>
      <c r="H586" s="0" t="inlineStr">
        <is>
          <t xml:space="preserve">Facture FA2025-0034 Cabinet Varenne Associes</t>
        </is>
      </c>
      <c r="I586" s="8">
        <v>0</v>
      </c>
      <c r="J586" s="8">
        <v>21042.71</v>
      </c>
      <c r="K586" s="0"/>
      <c r="L586" s="0"/>
      <c r="M586" s="8">
        <f>I586-J586</f>
      </c>
      <c r="N586" s="0" t="inlineStr">
        <is>
          <t xml:space="preserve">2025-08</t>
        </is>
      </c>
      <c r="O586" s="0">
        <f>INDEX(Journaux!$E$5:$E$18,MATCH("2025|"&amp;A586,Journaux!$A$5:$A$18,0))</f>
      </c>
      <c r="P586" s="0">
        <f>INDEX(Comptes!$K$5:$K$42,MATCH(E586,Comptes!$A$5:$A$42,0))</f>
      </c>
      <c r="Q586" s="0" t="inlineStr">
        <is>
          <t xml:space="preserve">7</t>
        </is>
      </c>
    </row>
    <row r="587">
      <c r="A587" s="4" t="inlineStr">
        <is>
          <t xml:space="preserve">VT</t>
        </is>
      </c>
      <c r="B587" s="0" t="inlineStr">
        <is>
          <t xml:space="preserve">Journal des ventes</t>
        </is>
      </c>
      <c r="C587" s="0" t="inlineStr">
        <is>
          <t xml:space="preserve">VT00034</t>
        </is>
      </c>
      <c r="D587" s="10">
        <v>45883</v>
      </c>
      <c r="E587" s="4" t="inlineStr">
        <is>
          <t xml:space="preserve">445710</t>
        </is>
      </c>
      <c r="F587" s="0" t="inlineStr">
        <is>
          <t xml:space="preserve">TVA collectee</t>
        </is>
      </c>
      <c r="G587" s="0" t="inlineStr">
        <is>
          <t xml:space="preserve">FA2025-0034</t>
        </is>
      </c>
      <c r="H587" s="0" t="inlineStr">
        <is>
          <t xml:space="preserve">Facture FA2025-0034 Cabinet Varenne Associes</t>
        </is>
      </c>
      <c r="I587" s="8">
        <v>0</v>
      </c>
      <c r="J587" s="8">
        <v>4208.54</v>
      </c>
      <c r="K587" s="0"/>
      <c r="L587" s="0"/>
      <c r="M587" s="8">
        <f>I587-J587</f>
      </c>
      <c r="N587" s="0" t="inlineStr">
        <is>
          <t xml:space="preserve">2025-08</t>
        </is>
      </c>
      <c r="O587" s="0">
        <f>INDEX(Journaux!$E$5:$E$18,MATCH("2025|"&amp;A587,Journaux!$A$5:$A$18,0))</f>
      </c>
      <c r="P587" s="0">
        <f>INDEX(Comptes!$K$5:$K$42,MATCH(E587,Comptes!$A$5:$A$42,0))</f>
      </c>
      <c r="Q587" s="0" t="inlineStr">
        <is>
          <t xml:space="preserve">4</t>
        </is>
      </c>
    </row>
    <row r="588">
      <c r="A588" s="4" t="inlineStr">
        <is>
          <t xml:space="preserve">BQ</t>
        </is>
      </c>
      <c r="B588" s="0" t="inlineStr">
        <is>
          <t xml:space="preserve">Banque Fictive</t>
        </is>
      </c>
      <c r="C588" s="0" t="inlineStr">
        <is>
          <t xml:space="preserve">BQ00052</t>
        </is>
      </c>
      <c r="D588" s="10">
        <v>45884</v>
      </c>
      <c r="E588" s="4" t="inlineStr">
        <is>
          <t xml:space="preserve">431000</t>
        </is>
      </c>
      <c r="F588" s="0" t="inlineStr">
        <is>
          <t xml:space="preserve">Securite sociale</t>
        </is>
      </c>
      <c r="G588" s="0" t="inlineStr">
        <is>
          <t xml:space="preserve">URSSAF202507</t>
        </is>
      </c>
      <c r="H588" s="0" t="inlineStr">
        <is>
          <t xml:space="preserve">Reglement URSSAF 07/2025</t>
        </is>
      </c>
      <c r="I588" s="8">
        <v>32516.39</v>
      </c>
      <c r="J588" s="8">
        <v>0</v>
      </c>
      <c r="K588" s="0"/>
      <c r="L588" s="0"/>
      <c r="M588" s="8">
        <f>I588-J588</f>
      </c>
      <c r="N588" s="0" t="inlineStr">
        <is>
          <t xml:space="preserve">2025-08</t>
        </is>
      </c>
      <c r="O588" s="0">
        <f>INDEX(Journaux!$E$5:$E$18,MATCH("2025|"&amp;A588,Journaux!$A$5:$A$18,0))</f>
      </c>
      <c r="P588" s="0">
        <f>INDEX(Comptes!$K$5:$K$42,MATCH(E588,Comptes!$A$5:$A$42,0))</f>
      </c>
      <c r="Q588" s="0" t="inlineStr">
        <is>
          <t xml:space="preserve">4</t>
        </is>
      </c>
    </row>
    <row r="589">
      <c r="A589" s="4" t="inlineStr">
        <is>
          <t xml:space="preserve">BQ</t>
        </is>
      </c>
      <c r="B589" s="0" t="inlineStr">
        <is>
          <t xml:space="preserve">Banque Fictive</t>
        </is>
      </c>
      <c r="C589" s="0" t="inlineStr">
        <is>
          <t xml:space="preserve">BQ00052</t>
        </is>
      </c>
      <c r="D589" s="10">
        <v>45884</v>
      </c>
      <c r="E589" s="4" t="inlineStr">
        <is>
          <t xml:space="preserve">512000</t>
        </is>
      </c>
      <c r="F589" s="0" t="inlineStr">
        <is>
          <t xml:space="preserve">Banque Fictive</t>
        </is>
      </c>
      <c r="G589" s="0" t="inlineStr">
        <is>
          <t xml:space="preserve">URSSAF202507</t>
        </is>
      </c>
      <c r="H589" s="0" t="inlineStr">
        <is>
          <t xml:space="preserve">Reglement URSSAF 07/2025</t>
        </is>
      </c>
      <c r="I589" s="8">
        <v>0</v>
      </c>
      <c r="J589" s="8">
        <v>32516.39</v>
      </c>
      <c r="K589" s="0"/>
      <c r="L589" s="0"/>
      <c r="M589" s="8">
        <f>I589-J589</f>
      </c>
      <c r="N589" s="0" t="inlineStr">
        <is>
          <t xml:space="preserve">2025-08</t>
        </is>
      </c>
      <c r="O589" s="0">
        <f>INDEX(Journaux!$E$5:$E$18,MATCH("2025|"&amp;A589,Journaux!$A$5:$A$18,0))</f>
      </c>
      <c r="P589" s="0">
        <f>INDEX(Comptes!$K$5:$K$42,MATCH(E589,Comptes!$A$5:$A$42,0))</f>
      </c>
      <c r="Q589" s="0" t="inlineStr">
        <is>
          <t xml:space="preserve">5</t>
        </is>
      </c>
    </row>
    <row r="590">
      <c r="A590" s="4" t="inlineStr">
        <is>
          <t xml:space="preserve">BQ</t>
        </is>
      </c>
      <c r="B590" s="0" t="inlineStr">
        <is>
          <t xml:space="preserve">Banque Fictive</t>
        </is>
      </c>
      <c r="C590" s="0" t="inlineStr">
        <is>
          <t xml:space="preserve">BQ00091</t>
        </is>
      </c>
      <c r="D590" s="10">
        <v>45887</v>
      </c>
      <c r="E590" s="4" t="inlineStr">
        <is>
          <t xml:space="preserve">512000</t>
        </is>
      </c>
      <c r="F590" s="0" t="inlineStr">
        <is>
          <t xml:space="preserve">Banque Fictive</t>
        </is>
      </c>
      <c r="G590" s="0" t="inlineStr">
        <is>
          <t xml:space="preserve">ENC-FA2025-0024</t>
        </is>
      </c>
      <c r="H590" s="0" t="inlineStr">
        <is>
          <t xml:space="preserve">Reglement client Coworking Atelier 9 FA2025-0024</t>
        </is>
      </c>
      <c r="I590" s="8">
        <v>34265.09</v>
      </c>
      <c r="J590" s="8">
        <v>0</v>
      </c>
      <c r="K590" s="0"/>
      <c r="L590" s="0"/>
      <c r="M590" s="8">
        <f>I590-J590</f>
      </c>
      <c r="N590" s="0" t="inlineStr">
        <is>
          <t xml:space="preserve">2025-08</t>
        </is>
      </c>
      <c r="O590" s="0">
        <f>INDEX(Journaux!$E$5:$E$18,MATCH("2025|"&amp;A590,Journaux!$A$5:$A$18,0))</f>
      </c>
      <c r="P590" s="0">
        <f>INDEX(Comptes!$K$5:$K$42,MATCH(E590,Comptes!$A$5:$A$42,0))</f>
      </c>
      <c r="Q590" s="0" t="inlineStr">
        <is>
          <t xml:space="preserve">5</t>
        </is>
      </c>
    </row>
    <row r="591">
      <c r="A591" s="4" t="inlineStr">
        <is>
          <t xml:space="preserve">BQ</t>
        </is>
      </c>
      <c r="B591" s="0" t="inlineStr">
        <is>
          <t xml:space="preserve">Banque Fictive</t>
        </is>
      </c>
      <c r="C591" s="0" t="inlineStr">
        <is>
          <t xml:space="preserve">BQ00091</t>
        </is>
      </c>
      <c r="D591" s="10">
        <v>45887</v>
      </c>
      <c r="E591" s="4" t="inlineStr">
        <is>
          <t xml:space="preserve">411000</t>
        </is>
      </c>
      <c r="F591" s="0" t="inlineStr">
        <is>
          <t xml:space="preserve">Clients</t>
        </is>
      </c>
      <c r="G591" s="0" t="inlineStr">
        <is>
          <t xml:space="preserve">ENC-FA2025-0024</t>
        </is>
      </c>
      <c r="H591" s="0" t="inlineStr">
        <is>
          <t xml:space="preserve">Reglement client Coworking Atelier 9 FA2025-0024</t>
        </is>
      </c>
      <c r="I591" s="8">
        <v>0</v>
      </c>
      <c r="J591" s="8">
        <v>34265.09</v>
      </c>
      <c r="K591" s="0" t="inlineStr">
        <is>
          <t xml:space="preserve">AAF</t>
        </is>
      </c>
      <c r="L591" s="0" t="inlineStr">
        <is>
          <t xml:space="preserve">Coworking Atelier 9</t>
        </is>
      </c>
      <c r="M591" s="8">
        <f>I591-J591</f>
      </c>
      <c r="N591" s="0" t="inlineStr">
        <is>
          <t xml:space="preserve">2025-08</t>
        </is>
      </c>
      <c r="O591" s="0">
        <f>INDEX(Journaux!$E$5:$E$18,MATCH("2025|"&amp;A591,Journaux!$A$5:$A$18,0))</f>
      </c>
      <c r="P591" s="0">
        <f>INDEX(Comptes!$K$5:$K$42,MATCH(E591,Comptes!$A$5:$A$42,0))</f>
      </c>
      <c r="Q591" s="0" t="inlineStr">
        <is>
          <t xml:space="preserve">4</t>
        </is>
      </c>
      <c r="R591" s="7" t="inlineStr">
        <is>
          <t xml:space="preserve">411000|C008</t>
        </is>
      </c>
    </row>
    <row r="592">
      <c r="A592" s="4" t="inlineStr">
        <is>
          <t xml:space="preserve">BQ</t>
        </is>
      </c>
      <c r="B592" s="0" t="inlineStr">
        <is>
          <t xml:space="preserve">Banque Fictive</t>
        </is>
      </c>
      <c r="C592" s="0" t="inlineStr">
        <is>
          <t xml:space="preserve">BQ00092</t>
        </is>
      </c>
      <c r="D592" s="10">
        <v>45887</v>
      </c>
      <c r="E592" s="4" t="inlineStr">
        <is>
          <t xml:space="preserve">512000</t>
        </is>
      </c>
      <c r="F592" s="0" t="inlineStr">
        <is>
          <t xml:space="preserve">Banque Fictive</t>
        </is>
      </c>
      <c r="G592" s="0" t="inlineStr">
        <is>
          <t xml:space="preserve">ENC-FA2025-0025</t>
        </is>
      </c>
      <c r="H592" s="0" t="inlineStr">
        <is>
          <t xml:space="preserve">Reglement client Coworking Atelier 9 FA2025-0025</t>
        </is>
      </c>
      <c r="I592" s="8">
        <v>22533.72</v>
      </c>
      <c r="J592" s="8">
        <v>0</v>
      </c>
      <c r="K592" s="0"/>
      <c r="L592" s="0"/>
      <c r="M592" s="8">
        <f>I592-J592</f>
      </c>
      <c r="N592" s="0" t="inlineStr">
        <is>
          <t xml:space="preserve">2025-08</t>
        </is>
      </c>
      <c r="O592" s="0">
        <f>INDEX(Journaux!$E$5:$E$18,MATCH("2025|"&amp;A592,Journaux!$A$5:$A$18,0))</f>
      </c>
      <c r="P592" s="0">
        <f>INDEX(Comptes!$K$5:$K$42,MATCH(E592,Comptes!$A$5:$A$42,0))</f>
      </c>
      <c r="Q592" s="0" t="inlineStr">
        <is>
          <t xml:space="preserve">5</t>
        </is>
      </c>
    </row>
    <row r="593">
      <c r="A593" s="4" t="inlineStr">
        <is>
          <t xml:space="preserve">BQ</t>
        </is>
      </c>
      <c r="B593" s="0" t="inlineStr">
        <is>
          <t xml:space="preserve">Banque Fictive</t>
        </is>
      </c>
      <c r="C593" s="0" t="inlineStr">
        <is>
          <t xml:space="preserve">BQ00092</t>
        </is>
      </c>
      <c r="D593" s="10">
        <v>45887</v>
      </c>
      <c r="E593" s="4" t="inlineStr">
        <is>
          <t xml:space="preserve">411000</t>
        </is>
      </c>
      <c r="F593" s="0" t="inlineStr">
        <is>
          <t xml:space="preserve">Clients</t>
        </is>
      </c>
      <c r="G593" s="0" t="inlineStr">
        <is>
          <t xml:space="preserve">ENC-FA2025-0025</t>
        </is>
      </c>
      <c r="H593" s="0" t="inlineStr">
        <is>
          <t xml:space="preserve">Reglement client Coworking Atelier 9 FA2025-0025</t>
        </is>
      </c>
      <c r="I593" s="8">
        <v>0</v>
      </c>
      <c r="J593" s="8">
        <v>22533.72</v>
      </c>
      <c r="K593" s="0" t="inlineStr">
        <is>
          <t xml:space="preserve">AAG</t>
        </is>
      </c>
      <c r="L593" s="0" t="inlineStr">
        <is>
          <t xml:space="preserve">Coworking Atelier 9</t>
        </is>
      </c>
      <c r="M593" s="8">
        <f>I593-J593</f>
      </c>
      <c r="N593" s="0" t="inlineStr">
        <is>
          <t xml:space="preserve">2025-08</t>
        </is>
      </c>
      <c r="O593" s="0">
        <f>INDEX(Journaux!$E$5:$E$18,MATCH("2025|"&amp;A593,Journaux!$A$5:$A$18,0))</f>
      </c>
      <c r="P593" s="0">
        <f>INDEX(Comptes!$K$5:$K$42,MATCH(E593,Comptes!$A$5:$A$42,0))</f>
      </c>
      <c r="Q593" s="0" t="inlineStr">
        <is>
          <t xml:space="preserve">4</t>
        </is>
      </c>
      <c r="R593" s="7" t="inlineStr">
        <is>
          <t xml:space="preserve">411000|C008</t>
        </is>
      </c>
    </row>
    <row r="594">
      <c r="A594" s="4" t="inlineStr">
        <is>
          <t xml:space="preserve">VT</t>
        </is>
      </c>
      <c r="B594" s="0" t="inlineStr">
        <is>
          <t xml:space="preserve">Journal des ventes</t>
        </is>
      </c>
      <c r="C594" s="0" t="inlineStr">
        <is>
          <t xml:space="preserve">VT00037</t>
        </is>
      </c>
      <c r="D594" s="10">
        <v>45888</v>
      </c>
      <c r="E594" s="4" t="inlineStr">
        <is>
          <t xml:space="preserve">411000</t>
        </is>
      </c>
      <c r="F594" s="0" t="inlineStr">
        <is>
          <t xml:space="preserve">Clients</t>
        </is>
      </c>
      <c r="G594" s="0" t="inlineStr">
        <is>
          <t xml:space="preserve">FA2025-0037</t>
        </is>
      </c>
      <c r="H594" s="0" t="inlineStr">
        <is>
          <t xml:space="preserve">Facture FA2025-0037 Coworking Atelier 9</t>
        </is>
      </c>
      <c r="I594" s="8">
        <v>27749.93</v>
      </c>
      <c r="J594" s="8">
        <v>0</v>
      </c>
      <c r="K594" s="0" t="inlineStr">
        <is>
          <t xml:space="preserve">AAS</t>
        </is>
      </c>
      <c r="L594" s="0" t="inlineStr">
        <is>
          <t xml:space="preserve">Coworking Atelier 9</t>
        </is>
      </c>
      <c r="M594" s="8">
        <f>I594-J594</f>
      </c>
      <c r="N594" s="0" t="inlineStr">
        <is>
          <t xml:space="preserve">2025-08</t>
        </is>
      </c>
      <c r="O594" s="0">
        <f>INDEX(Journaux!$E$5:$E$18,MATCH("2025|"&amp;A594,Journaux!$A$5:$A$18,0))</f>
      </c>
      <c r="P594" s="0">
        <f>INDEX(Comptes!$K$5:$K$42,MATCH(E594,Comptes!$A$5:$A$42,0))</f>
      </c>
      <c r="Q594" s="0" t="inlineStr">
        <is>
          <t xml:space="preserve">4</t>
        </is>
      </c>
      <c r="R594" s="7" t="inlineStr">
        <is>
          <t xml:space="preserve">411000|C008</t>
        </is>
      </c>
    </row>
    <row r="595">
      <c r="A595" s="4" t="inlineStr">
        <is>
          <t xml:space="preserve">VT</t>
        </is>
      </c>
      <c r="B595" s="0" t="inlineStr">
        <is>
          <t xml:space="preserve">Journal des ventes</t>
        </is>
      </c>
      <c r="C595" s="0" t="inlineStr">
        <is>
          <t xml:space="preserve">VT00037</t>
        </is>
      </c>
      <c r="D595" s="10">
        <v>45888</v>
      </c>
      <c r="E595" s="4" t="inlineStr">
        <is>
          <t xml:space="preserve">701000</t>
        </is>
      </c>
      <c r="F595" s="0" t="inlineStr">
        <is>
          <t xml:space="preserve">Ventes de produits finis</t>
        </is>
      </c>
      <c r="G595" s="0" t="inlineStr">
        <is>
          <t xml:space="preserve">FA2025-0037</t>
        </is>
      </c>
      <c r="H595" s="0" t="inlineStr">
        <is>
          <t xml:space="preserve">Facture FA2025-0037 Coworking Atelier 9</t>
        </is>
      </c>
      <c r="I595" s="8">
        <v>0</v>
      </c>
      <c r="J595" s="8">
        <v>23124.94</v>
      </c>
      <c r="K595" s="0"/>
      <c r="L595" s="0"/>
      <c r="M595" s="8">
        <f>I595-J595</f>
      </c>
      <c r="N595" s="0" t="inlineStr">
        <is>
          <t xml:space="preserve">2025-08</t>
        </is>
      </c>
      <c r="O595" s="0">
        <f>INDEX(Journaux!$E$5:$E$18,MATCH("2025|"&amp;A595,Journaux!$A$5:$A$18,0))</f>
      </c>
      <c r="P595" s="0">
        <f>INDEX(Comptes!$K$5:$K$42,MATCH(E595,Comptes!$A$5:$A$42,0))</f>
      </c>
      <c r="Q595" s="0" t="inlineStr">
        <is>
          <t xml:space="preserve">7</t>
        </is>
      </c>
    </row>
    <row r="596">
      <c r="A596" s="4" t="inlineStr">
        <is>
          <t xml:space="preserve">VT</t>
        </is>
      </c>
      <c r="B596" s="0" t="inlineStr">
        <is>
          <t xml:space="preserve">Journal des ventes</t>
        </is>
      </c>
      <c r="C596" s="0" t="inlineStr">
        <is>
          <t xml:space="preserve">VT00037</t>
        </is>
      </c>
      <c r="D596" s="10">
        <v>45888</v>
      </c>
      <c r="E596" s="4" t="inlineStr">
        <is>
          <t xml:space="preserve">445710</t>
        </is>
      </c>
      <c r="F596" s="0" t="inlineStr">
        <is>
          <t xml:space="preserve">TVA collectee</t>
        </is>
      </c>
      <c r="G596" s="0" t="inlineStr">
        <is>
          <t xml:space="preserve">FA2025-0037</t>
        </is>
      </c>
      <c r="H596" s="0" t="inlineStr">
        <is>
          <t xml:space="preserve">Facture FA2025-0037 Coworking Atelier 9</t>
        </is>
      </c>
      <c r="I596" s="8">
        <v>0</v>
      </c>
      <c r="J596" s="8">
        <v>4624.99</v>
      </c>
      <c r="K596" s="0"/>
      <c r="L596" s="0"/>
      <c r="M596" s="8">
        <f>I596-J596</f>
      </c>
      <c r="N596" s="0" t="inlineStr">
        <is>
          <t xml:space="preserve">2025-08</t>
        </is>
      </c>
      <c r="O596" s="0">
        <f>INDEX(Journaux!$E$5:$E$18,MATCH("2025|"&amp;A596,Journaux!$A$5:$A$18,0))</f>
      </c>
      <c r="P596" s="0">
        <f>INDEX(Comptes!$K$5:$K$42,MATCH(E596,Comptes!$A$5:$A$42,0))</f>
      </c>
      <c r="Q596" s="0" t="inlineStr">
        <is>
          <t xml:space="preserve">4</t>
        </is>
      </c>
    </row>
    <row r="597">
      <c r="A597" s="4" t="inlineStr">
        <is>
          <t xml:space="preserve">BQ</t>
        </is>
      </c>
      <c r="B597" s="0" t="inlineStr">
        <is>
          <t xml:space="preserve">Banque Fictive</t>
        </is>
      </c>
      <c r="C597" s="0" t="inlineStr">
        <is>
          <t xml:space="preserve">BQ00053</t>
        </is>
      </c>
      <c r="D597" s="10">
        <v>45889</v>
      </c>
      <c r="E597" s="4" t="inlineStr">
        <is>
          <t xml:space="preserve">445510</t>
        </is>
      </c>
      <c r="F597" s="0" t="inlineStr">
        <is>
          <t xml:space="preserve">TVA a decaisser</t>
        </is>
      </c>
      <c r="G597" s="0" t="inlineStr">
        <is>
          <t xml:space="preserve">TVA202507</t>
        </is>
      </c>
      <c r="H597" s="0" t="inlineStr">
        <is>
          <t xml:space="preserve">Reglement TVA 07/2025</t>
        </is>
      </c>
      <c r="I597" s="8">
        <v>9284.96</v>
      </c>
      <c r="J597" s="8">
        <v>0</v>
      </c>
      <c r="K597" s="0"/>
      <c r="L597" s="0"/>
      <c r="M597" s="8">
        <f>I597-J597</f>
      </c>
      <c r="N597" s="0" t="inlineStr">
        <is>
          <t xml:space="preserve">2025-08</t>
        </is>
      </c>
      <c r="O597" s="0">
        <f>INDEX(Journaux!$E$5:$E$18,MATCH("2025|"&amp;A597,Journaux!$A$5:$A$18,0))</f>
      </c>
      <c r="P597" s="0">
        <f>INDEX(Comptes!$K$5:$K$42,MATCH(E597,Comptes!$A$5:$A$42,0))</f>
      </c>
      <c r="Q597" s="0" t="inlineStr">
        <is>
          <t xml:space="preserve">4</t>
        </is>
      </c>
    </row>
    <row r="598">
      <c r="A598" s="4" t="inlineStr">
        <is>
          <t xml:space="preserve">BQ</t>
        </is>
      </c>
      <c r="B598" s="0" t="inlineStr">
        <is>
          <t xml:space="preserve">Banque Fictive</t>
        </is>
      </c>
      <c r="C598" s="0" t="inlineStr">
        <is>
          <t xml:space="preserve">BQ00053</t>
        </is>
      </c>
      <c r="D598" s="10">
        <v>45889</v>
      </c>
      <c r="E598" s="4" t="inlineStr">
        <is>
          <t xml:space="preserve">512000</t>
        </is>
      </c>
      <c r="F598" s="0" t="inlineStr">
        <is>
          <t xml:space="preserve">Banque Fictive</t>
        </is>
      </c>
      <c r="G598" s="0" t="inlineStr">
        <is>
          <t xml:space="preserve">TVA202507</t>
        </is>
      </c>
      <c r="H598" s="0" t="inlineStr">
        <is>
          <t xml:space="preserve">Reglement TVA 07/2025</t>
        </is>
      </c>
      <c r="I598" s="8">
        <v>0</v>
      </c>
      <c r="J598" s="8">
        <v>9284.96</v>
      </c>
      <c r="K598" s="0"/>
      <c r="L598" s="0"/>
      <c r="M598" s="8">
        <f>I598-J598</f>
      </c>
      <c r="N598" s="0" t="inlineStr">
        <is>
          <t xml:space="preserve">2025-08</t>
        </is>
      </c>
      <c r="O598" s="0">
        <f>INDEX(Journaux!$E$5:$E$18,MATCH("2025|"&amp;A598,Journaux!$A$5:$A$18,0))</f>
      </c>
      <c r="P598" s="0">
        <f>INDEX(Comptes!$K$5:$K$42,MATCH(E598,Comptes!$A$5:$A$42,0))</f>
      </c>
      <c r="Q598" s="0" t="inlineStr">
        <is>
          <t xml:space="preserve">5</t>
        </is>
      </c>
    </row>
    <row r="599">
      <c r="A599" s="4" t="inlineStr">
        <is>
          <t xml:space="preserve">VT</t>
        </is>
      </c>
      <c r="B599" s="0" t="inlineStr">
        <is>
          <t xml:space="preserve">Journal des ventes</t>
        </is>
      </c>
      <c r="C599" s="0" t="inlineStr">
        <is>
          <t xml:space="preserve">VT00036</t>
        </is>
      </c>
      <c r="D599" s="10">
        <v>45889</v>
      </c>
      <c r="E599" s="4" t="inlineStr">
        <is>
          <t xml:space="preserve">411000</t>
        </is>
      </c>
      <c r="F599" s="0" t="inlineStr">
        <is>
          <t xml:space="preserve">Clients</t>
        </is>
      </c>
      <c r="G599" s="0" t="inlineStr">
        <is>
          <t xml:space="preserve">FA2025-0036</t>
        </is>
      </c>
      <c r="H599" s="0" t="inlineStr">
        <is>
          <t xml:space="preserve">Facture FA2025-0036 Boutique Hetre et Chene</t>
        </is>
      </c>
      <c r="I599" s="8">
        <v>26052.44</v>
      </c>
      <c r="J599" s="8">
        <v>0</v>
      </c>
      <c r="K599" s="0" t="inlineStr">
        <is>
          <t xml:space="preserve">AAR</t>
        </is>
      </c>
      <c r="L599" s="0" t="inlineStr">
        <is>
          <t xml:space="preserve">Boutique Hetre et Chene</t>
        </is>
      </c>
      <c r="M599" s="8">
        <f>I599-J599</f>
      </c>
      <c r="N599" s="0" t="inlineStr">
        <is>
          <t xml:space="preserve">2025-08</t>
        </is>
      </c>
      <c r="O599" s="0">
        <f>INDEX(Journaux!$E$5:$E$18,MATCH("2025|"&amp;A599,Journaux!$A$5:$A$18,0))</f>
      </c>
      <c r="P599" s="0">
        <f>INDEX(Comptes!$K$5:$K$42,MATCH(E599,Comptes!$A$5:$A$42,0))</f>
      </c>
      <c r="Q599" s="0" t="inlineStr">
        <is>
          <t xml:space="preserve">4</t>
        </is>
      </c>
      <c r="R599" s="7" t="inlineStr">
        <is>
          <t xml:space="preserve">411000|C007</t>
        </is>
      </c>
    </row>
    <row r="600">
      <c r="A600" s="4" t="inlineStr">
        <is>
          <t xml:space="preserve">VT</t>
        </is>
      </c>
      <c r="B600" s="0" t="inlineStr">
        <is>
          <t xml:space="preserve">Journal des ventes</t>
        </is>
      </c>
      <c r="C600" s="0" t="inlineStr">
        <is>
          <t xml:space="preserve">VT00036</t>
        </is>
      </c>
      <c r="D600" s="10">
        <v>45889</v>
      </c>
      <c r="E600" s="4" t="inlineStr">
        <is>
          <t xml:space="preserve">701000</t>
        </is>
      </c>
      <c r="F600" s="0" t="inlineStr">
        <is>
          <t xml:space="preserve">Ventes de produits finis</t>
        </is>
      </c>
      <c r="G600" s="0" t="inlineStr">
        <is>
          <t xml:space="preserve">FA2025-0036</t>
        </is>
      </c>
      <c r="H600" s="0" t="inlineStr">
        <is>
          <t xml:space="preserve">Facture FA2025-0036 Boutique Hetre et Chene</t>
        </is>
      </c>
      <c r="I600" s="8">
        <v>0</v>
      </c>
      <c r="J600" s="8">
        <v>21710.37</v>
      </c>
      <c r="K600" s="0"/>
      <c r="L600" s="0"/>
      <c r="M600" s="8">
        <f>I600-J600</f>
      </c>
      <c r="N600" s="0" t="inlineStr">
        <is>
          <t xml:space="preserve">2025-08</t>
        </is>
      </c>
      <c r="O600" s="0">
        <f>INDEX(Journaux!$E$5:$E$18,MATCH("2025|"&amp;A600,Journaux!$A$5:$A$18,0))</f>
      </c>
      <c r="P600" s="0">
        <f>INDEX(Comptes!$K$5:$K$42,MATCH(E600,Comptes!$A$5:$A$42,0))</f>
      </c>
      <c r="Q600" s="0" t="inlineStr">
        <is>
          <t xml:space="preserve">7</t>
        </is>
      </c>
    </row>
    <row r="601">
      <c r="A601" s="4" t="inlineStr">
        <is>
          <t xml:space="preserve">VT</t>
        </is>
      </c>
      <c r="B601" s="0" t="inlineStr">
        <is>
          <t xml:space="preserve">Journal des ventes</t>
        </is>
      </c>
      <c r="C601" s="0" t="inlineStr">
        <is>
          <t xml:space="preserve">VT00036</t>
        </is>
      </c>
      <c r="D601" s="10">
        <v>45889</v>
      </c>
      <c r="E601" s="4" t="inlineStr">
        <is>
          <t xml:space="preserve">445710</t>
        </is>
      </c>
      <c r="F601" s="0" t="inlineStr">
        <is>
          <t xml:space="preserve">TVA collectee</t>
        </is>
      </c>
      <c r="G601" s="0" t="inlineStr">
        <is>
          <t xml:space="preserve">FA2025-0036</t>
        </is>
      </c>
      <c r="H601" s="0" t="inlineStr">
        <is>
          <t xml:space="preserve">Facture FA2025-0036 Boutique Hetre et Chene</t>
        </is>
      </c>
      <c r="I601" s="8">
        <v>0</v>
      </c>
      <c r="J601" s="8">
        <v>4342.07</v>
      </c>
      <c r="K601" s="0"/>
      <c r="L601" s="0"/>
      <c r="M601" s="8">
        <f>I601-J601</f>
      </c>
      <c r="N601" s="0" t="inlineStr">
        <is>
          <t xml:space="preserve">2025-08</t>
        </is>
      </c>
      <c r="O601" s="0">
        <f>INDEX(Journaux!$E$5:$E$18,MATCH("2025|"&amp;A601,Journaux!$A$5:$A$18,0))</f>
      </c>
      <c r="P601" s="0">
        <f>INDEX(Comptes!$K$5:$K$42,MATCH(E601,Comptes!$A$5:$A$42,0))</f>
      </c>
      <c r="Q601" s="0" t="inlineStr">
        <is>
          <t xml:space="preserve">4</t>
        </is>
      </c>
    </row>
    <row r="602">
      <c r="A602" s="4" t="inlineStr">
        <is>
          <t xml:space="preserve">AC</t>
        </is>
      </c>
      <c r="B602" s="0" t="inlineStr">
        <is>
          <t xml:space="preserve">Journal des achats</t>
        </is>
      </c>
      <c r="C602" s="0" t="inlineStr">
        <is>
          <t xml:space="preserve">AC00046</t>
        </is>
      </c>
      <c r="D602" s="10">
        <v>45891</v>
      </c>
      <c r="E602" s="4" t="inlineStr">
        <is>
          <t xml:space="preserve">601000</t>
        </is>
      </c>
      <c r="F602" s="0" t="inlineStr">
        <is>
          <t xml:space="preserve">Achats de matieres premieres</t>
        </is>
      </c>
      <c r="G602" s="0" t="inlineStr">
        <is>
          <t xml:space="preserve">F002-2025081</t>
        </is>
      </c>
      <c r="H602" s="0" t="inlineStr">
        <is>
          <t xml:space="preserve">Facture Quincaillerie Pro Est F002-2025081</t>
        </is>
      </c>
      <c r="I602" s="8">
        <v>20495.93</v>
      </c>
      <c r="J602" s="8">
        <v>0</v>
      </c>
      <c r="K602" s="0"/>
      <c r="L602" s="0"/>
      <c r="M602" s="8">
        <f>I602-J602</f>
      </c>
      <c r="N602" s="0" t="inlineStr">
        <is>
          <t xml:space="preserve">2025-08</t>
        </is>
      </c>
      <c r="O602" s="0">
        <f>INDEX(Journaux!$E$5:$E$18,MATCH("2025|"&amp;A602,Journaux!$A$5:$A$18,0))</f>
      </c>
      <c r="P602" s="0">
        <f>INDEX(Comptes!$K$5:$K$42,MATCH(E602,Comptes!$A$5:$A$42,0))</f>
      </c>
      <c r="Q602" s="0" t="inlineStr">
        <is>
          <t xml:space="preserve">6</t>
        </is>
      </c>
    </row>
    <row r="603">
      <c r="A603" s="4" t="inlineStr">
        <is>
          <t xml:space="preserve">AC</t>
        </is>
      </c>
      <c r="B603" s="0" t="inlineStr">
        <is>
          <t xml:space="preserve">Journal des achats</t>
        </is>
      </c>
      <c r="C603" s="0" t="inlineStr">
        <is>
          <t xml:space="preserve">AC00046</t>
        </is>
      </c>
      <c r="D603" s="10">
        <v>45891</v>
      </c>
      <c r="E603" s="4" t="inlineStr">
        <is>
          <t xml:space="preserve">445660</t>
        </is>
      </c>
      <c r="F603" s="0" t="inlineStr">
        <is>
          <t xml:space="preserve">TVA deductible sur ABS</t>
        </is>
      </c>
      <c r="G603" s="0" t="inlineStr">
        <is>
          <t xml:space="preserve">F002-2025081</t>
        </is>
      </c>
      <c r="H603" s="0" t="inlineStr">
        <is>
          <t xml:space="preserve">Facture Quincaillerie Pro Est F002-2025081</t>
        </is>
      </c>
      <c r="I603" s="8">
        <v>4099.19</v>
      </c>
      <c r="J603" s="8">
        <v>0</v>
      </c>
      <c r="K603" s="0"/>
      <c r="L603" s="0"/>
      <c r="M603" s="8">
        <f>I603-J603</f>
      </c>
      <c r="N603" s="0" t="inlineStr">
        <is>
          <t xml:space="preserve">2025-08</t>
        </is>
      </c>
      <c r="O603" s="0">
        <f>INDEX(Journaux!$E$5:$E$18,MATCH("2025|"&amp;A603,Journaux!$A$5:$A$18,0))</f>
      </c>
      <c r="P603" s="0">
        <f>INDEX(Comptes!$K$5:$K$42,MATCH(E603,Comptes!$A$5:$A$42,0))</f>
      </c>
      <c r="Q603" s="0" t="inlineStr">
        <is>
          <t xml:space="preserve">4</t>
        </is>
      </c>
    </row>
    <row r="604">
      <c r="A604" s="4" t="inlineStr">
        <is>
          <t xml:space="preserve">AC</t>
        </is>
      </c>
      <c r="B604" s="0" t="inlineStr">
        <is>
          <t xml:space="preserve">Journal des achats</t>
        </is>
      </c>
      <c r="C604" s="0" t="inlineStr">
        <is>
          <t xml:space="preserve">AC00046</t>
        </is>
      </c>
      <c r="D604" s="10">
        <v>45891</v>
      </c>
      <c r="E604" s="4" t="inlineStr">
        <is>
          <t xml:space="preserve">401000</t>
        </is>
      </c>
      <c r="F604" s="0" t="inlineStr">
        <is>
          <t xml:space="preserve">Fournisseurs</t>
        </is>
      </c>
      <c r="G604" s="0" t="inlineStr">
        <is>
          <t xml:space="preserve">F002-2025081</t>
        </is>
      </c>
      <c r="H604" s="0" t="inlineStr">
        <is>
          <t xml:space="preserve">Facture Quincaillerie Pro Est F002-2025081</t>
        </is>
      </c>
      <c r="I604" s="8">
        <v>0</v>
      </c>
      <c r="J604" s="8">
        <v>24595.12</v>
      </c>
      <c r="K604" s="0" t="inlineStr">
        <is>
          <t xml:space="preserve">ADB</t>
        </is>
      </c>
      <c r="L604" s="0" t="inlineStr">
        <is>
          <t xml:space="preserve">Quincaillerie Pro Est</t>
        </is>
      </c>
      <c r="M604" s="8">
        <f>I604-J604</f>
      </c>
      <c r="N604" s="0" t="inlineStr">
        <is>
          <t xml:space="preserve">2025-08</t>
        </is>
      </c>
      <c r="O604" s="0">
        <f>INDEX(Journaux!$E$5:$E$18,MATCH("2025|"&amp;A604,Journaux!$A$5:$A$18,0))</f>
      </c>
      <c r="P604" s="0">
        <f>INDEX(Comptes!$K$5:$K$42,MATCH(E604,Comptes!$A$5:$A$42,0))</f>
      </c>
      <c r="Q604" s="0" t="inlineStr">
        <is>
          <t xml:space="preserve">4</t>
        </is>
      </c>
      <c r="R604" s="7" t="inlineStr">
        <is>
          <t xml:space="preserve">401000|F002</t>
        </is>
      </c>
    </row>
    <row r="605">
      <c r="A605" s="4" t="inlineStr">
        <is>
          <t xml:space="preserve">BQ</t>
        </is>
      </c>
      <c r="B605" s="0" t="inlineStr">
        <is>
          <t xml:space="preserve">Banque Fictive</t>
        </is>
      </c>
      <c r="C605" s="0" t="inlineStr">
        <is>
          <t xml:space="preserve">BQ00094</t>
        </is>
      </c>
      <c r="D605" s="10">
        <v>45891</v>
      </c>
      <c r="E605" s="4" t="inlineStr">
        <is>
          <t xml:space="preserve">512000</t>
        </is>
      </c>
      <c r="F605" s="0" t="inlineStr">
        <is>
          <t xml:space="preserve">Banque Fictive</t>
        </is>
      </c>
      <c r="G605" s="0" t="inlineStr">
        <is>
          <t xml:space="preserve">ENC-FA2025-0027</t>
        </is>
      </c>
      <c r="H605" s="0" t="inlineStr">
        <is>
          <t xml:space="preserve">Reglement client Cabinet Varenne Associes FA2025-0027</t>
        </is>
      </c>
      <c r="I605" s="8">
        <v>29168.32</v>
      </c>
      <c r="J605" s="8">
        <v>0</v>
      </c>
      <c r="K605" s="0"/>
      <c r="L605" s="0"/>
      <c r="M605" s="8">
        <f>I605-J605</f>
      </c>
      <c r="N605" s="0" t="inlineStr">
        <is>
          <t xml:space="preserve">2025-08</t>
        </is>
      </c>
      <c r="O605" s="0">
        <f>INDEX(Journaux!$E$5:$E$18,MATCH("2025|"&amp;A605,Journaux!$A$5:$A$18,0))</f>
      </c>
      <c r="P605" s="0">
        <f>INDEX(Comptes!$K$5:$K$42,MATCH(E605,Comptes!$A$5:$A$42,0))</f>
      </c>
      <c r="Q605" s="0" t="inlineStr">
        <is>
          <t xml:space="preserve">5</t>
        </is>
      </c>
    </row>
    <row r="606">
      <c r="A606" s="4" t="inlineStr">
        <is>
          <t xml:space="preserve">BQ</t>
        </is>
      </c>
      <c r="B606" s="0" t="inlineStr">
        <is>
          <t xml:space="preserve">Banque Fictive</t>
        </is>
      </c>
      <c r="C606" s="0" t="inlineStr">
        <is>
          <t xml:space="preserve">BQ00094</t>
        </is>
      </c>
      <c r="D606" s="10">
        <v>45891</v>
      </c>
      <c r="E606" s="4" t="inlineStr">
        <is>
          <t xml:space="preserve">411000</t>
        </is>
      </c>
      <c r="F606" s="0" t="inlineStr">
        <is>
          <t xml:space="preserve">Clients</t>
        </is>
      </c>
      <c r="G606" s="0" t="inlineStr">
        <is>
          <t xml:space="preserve">ENC-FA2025-0027</t>
        </is>
      </c>
      <c r="H606" s="0" t="inlineStr">
        <is>
          <t xml:space="preserve">Reglement client Cabinet Varenne Associes FA2025-0027</t>
        </is>
      </c>
      <c r="I606" s="8">
        <v>0</v>
      </c>
      <c r="J606" s="8">
        <v>29168.32</v>
      </c>
      <c r="K606" s="0" t="inlineStr">
        <is>
          <t xml:space="preserve">AAI</t>
        </is>
      </c>
      <c r="L606" s="0" t="inlineStr">
        <is>
          <t xml:space="preserve">Cabinet Varenne Associes</t>
        </is>
      </c>
      <c r="M606" s="8">
        <f>I606-J606</f>
      </c>
      <c r="N606" s="0" t="inlineStr">
        <is>
          <t xml:space="preserve">2025-08</t>
        </is>
      </c>
      <c r="O606" s="0">
        <f>INDEX(Journaux!$E$5:$E$18,MATCH("2025|"&amp;A606,Journaux!$A$5:$A$18,0))</f>
      </c>
      <c r="P606" s="0">
        <f>INDEX(Comptes!$K$5:$K$42,MATCH(E606,Comptes!$A$5:$A$42,0))</f>
      </c>
      <c r="Q606" s="0" t="inlineStr">
        <is>
          <t xml:space="preserve">4</t>
        </is>
      </c>
      <c r="R606" s="7" t="inlineStr">
        <is>
          <t xml:space="preserve">411000|C004</t>
        </is>
      </c>
    </row>
    <row r="607">
      <c r="A607" s="4" t="inlineStr">
        <is>
          <t xml:space="preserve">BQ</t>
        </is>
      </c>
      <c r="B607" s="0" t="inlineStr">
        <is>
          <t xml:space="preserve">Banque Fictive</t>
        </is>
      </c>
      <c r="C607" s="0" t="inlineStr">
        <is>
          <t xml:space="preserve">BQ00152</t>
        </is>
      </c>
      <c r="D607" s="10">
        <v>45896</v>
      </c>
      <c r="E607" s="4" t="inlineStr">
        <is>
          <t xml:space="preserve">401000</t>
        </is>
      </c>
      <c r="F607" s="0" t="inlineStr">
        <is>
          <t xml:space="preserve">Fournisseurs</t>
        </is>
      </c>
      <c r="G607" s="0" t="inlineStr">
        <is>
          <t xml:space="preserve">DEC-F003-2025061</t>
        </is>
      </c>
      <c r="H607" s="0" t="inlineStr">
        <is>
          <t xml:space="preserve">Reglement fournisseur Vernis et Finitions F003-2025061</t>
        </is>
      </c>
      <c r="I607" s="8">
        <v>32833.5</v>
      </c>
      <c r="J607" s="8">
        <v>0</v>
      </c>
      <c r="K607" s="0" t="inlineStr">
        <is>
          <t xml:space="preserve">ACO</t>
        </is>
      </c>
      <c r="L607" s="0" t="inlineStr">
        <is>
          <t xml:space="preserve">Vernis et Finitions</t>
        </is>
      </c>
      <c r="M607" s="8">
        <f>I607-J607</f>
      </c>
      <c r="N607" s="0" t="inlineStr">
        <is>
          <t xml:space="preserve">2025-08</t>
        </is>
      </c>
      <c r="O607" s="0">
        <f>INDEX(Journaux!$E$5:$E$18,MATCH("2025|"&amp;A607,Journaux!$A$5:$A$18,0))</f>
      </c>
      <c r="P607" s="0">
        <f>INDEX(Comptes!$K$5:$K$42,MATCH(E607,Comptes!$A$5:$A$42,0))</f>
      </c>
      <c r="Q607" s="0" t="inlineStr">
        <is>
          <t xml:space="preserve">4</t>
        </is>
      </c>
      <c r="R607" s="7" t="inlineStr">
        <is>
          <t xml:space="preserve">401000|F003</t>
        </is>
      </c>
    </row>
    <row r="608">
      <c r="A608" s="4" t="inlineStr">
        <is>
          <t xml:space="preserve">BQ</t>
        </is>
      </c>
      <c r="B608" s="0" t="inlineStr">
        <is>
          <t xml:space="preserve">Banque Fictive</t>
        </is>
      </c>
      <c r="C608" s="0" t="inlineStr">
        <is>
          <t xml:space="preserve">BQ00152</t>
        </is>
      </c>
      <c r="D608" s="10">
        <v>45896</v>
      </c>
      <c r="E608" s="4" t="inlineStr">
        <is>
          <t xml:space="preserve">512000</t>
        </is>
      </c>
      <c r="F608" s="0" t="inlineStr">
        <is>
          <t xml:space="preserve">Banque Fictive</t>
        </is>
      </c>
      <c r="G608" s="0" t="inlineStr">
        <is>
          <t xml:space="preserve">DEC-F003-2025061</t>
        </is>
      </c>
      <c r="H608" s="0" t="inlineStr">
        <is>
          <t xml:space="preserve">Reglement fournisseur Vernis et Finitions F003-2025061</t>
        </is>
      </c>
      <c r="I608" s="8">
        <v>0</v>
      </c>
      <c r="J608" s="8">
        <v>32833.5</v>
      </c>
      <c r="K608" s="0"/>
      <c r="L608" s="0"/>
      <c r="M608" s="8">
        <f>I608-J608</f>
      </c>
      <c r="N608" s="0" t="inlineStr">
        <is>
          <t xml:space="preserve">2025-08</t>
        </is>
      </c>
      <c r="O608" s="0">
        <f>INDEX(Journaux!$E$5:$E$18,MATCH("2025|"&amp;A608,Journaux!$A$5:$A$18,0))</f>
      </c>
      <c r="P608" s="0">
        <f>INDEX(Comptes!$K$5:$K$42,MATCH(E608,Comptes!$A$5:$A$42,0))</f>
      </c>
      <c r="Q608" s="0" t="inlineStr">
        <is>
          <t xml:space="preserve">5</t>
        </is>
      </c>
    </row>
    <row r="609">
      <c r="A609" s="4" t="inlineStr">
        <is>
          <t xml:space="preserve">AC</t>
        </is>
      </c>
      <c r="B609" s="0" t="inlineStr">
        <is>
          <t xml:space="preserve">Journal des achats</t>
        </is>
      </c>
      <c r="C609" s="0" t="inlineStr">
        <is>
          <t xml:space="preserve">AC00047</t>
        </is>
      </c>
      <c r="D609" s="10">
        <v>45898</v>
      </c>
      <c r="E609" s="4" t="inlineStr">
        <is>
          <t xml:space="preserve">601000</t>
        </is>
      </c>
      <c r="F609" s="0" t="inlineStr">
        <is>
          <t xml:space="preserve">Achats de matieres premieres</t>
        </is>
      </c>
      <c r="G609" s="0" t="inlineStr">
        <is>
          <t xml:space="preserve">F003-2025082</t>
        </is>
      </c>
      <c r="H609" s="0" t="inlineStr">
        <is>
          <t xml:space="preserve">Facture Vernis et Finitions F003-2025082</t>
        </is>
      </c>
      <c r="I609" s="8">
        <v>17887.41</v>
      </c>
      <c r="J609" s="8">
        <v>0</v>
      </c>
      <c r="K609" s="0"/>
      <c r="L609" s="0"/>
      <c r="M609" s="8">
        <f>I609-J609</f>
      </c>
      <c r="N609" s="0" t="inlineStr">
        <is>
          <t xml:space="preserve">2025-08</t>
        </is>
      </c>
      <c r="O609" s="0">
        <f>INDEX(Journaux!$E$5:$E$18,MATCH("2025|"&amp;A609,Journaux!$A$5:$A$18,0))</f>
      </c>
      <c r="P609" s="0">
        <f>INDEX(Comptes!$K$5:$K$42,MATCH(E609,Comptes!$A$5:$A$42,0))</f>
      </c>
      <c r="Q609" s="0" t="inlineStr">
        <is>
          <t xml:space="preserve">6</t>
        </is>
      </c>
    </row>
    <row r="610">
      <c r="A610" s="4" t="inlineStr">
        <is>
          <t xml:space="preserve">AC</t>
        </is>
      </c>
      <c r="B610" s="0" t="inlineStr">
        <is>
          <t xml:space="preserve">Journal des achats</t>
        </is>
      </c>
      <c r="C610" s="0" t="inlineStr">
        <is>
          <t xml:space="preserve">AC00047</t>
        </is>
      </c>
      <c r="D610" s="10">
        <v>45898</v>
      </c>
      <c r="E610" s="4" t="inlineStr">
        <is>
          <t xml:space="preserve">445660</t>
        </is>
      </c>
      <c r="F610" s="0" t="inlineStr">
        <is>
          <t xml:space="preserve">TVA deductible sur ABS</t>
        </is>
      </c>
      <c r="G610" s="0" t="inlineStr">
        <is>
          <t xml:space="preserve">F003-2025082</t>
        </is>
      </c>
      <c r="H610" s="0" t="inlineStr">
        <is>
          <t xml:space="preserve">Facture Vernis et Finitions F003-2025082</t>
        </is>
      </c>
      <c r="I610" s="8">
        <v>3577.48</v>
      </c>
      <c r="J610" s="8">
        <v>0</v>
      </c>
      <c r="K610" s="0"/>
      <c r="L610" s="0"/>
      <c r="M610" s="8">
        <f>I610-J610</f>
      </c>
      <c r="N610" s="0" t="inlineStr">
        <is>
          <t xml:space="preserve">2025-08</t>
        </is>
      </c>
      <c r="O610" s="0">
        <f>INDEX(Journaux!$E$5:$E$18,MATCH("2025|"&amp;A610,Journaux!$A$5:$A$18,0))</f>
      </c>
      <c r="P610" s="0">
        <f>INDEX(Comptes!$K$5:$K$42,MATCH(E610,Comptes!$A$5:$A$42,0))</f>
      </c>
      <c r="Q610" s="0" t="inlineStr">
        <is>
          <t xml:space="preserve">4</t>
        </is>
      </c>
    </row>
    <row r="611">
      <c r="A611" s="4" t="inlineStr">
        <is>
          <t xml:space="preserve">AC</t>
        </is>
      </c>
      <c r="B611" s="0" t="inlineStr">
        <is>
          <t xml:space="preserve">Journal des achats</t>
        </is>
      </c>
      <c r="C611" s="0" t="inlineStr">
        <is>
          <t xml:space="preserve">AC00047</t>
        </is>
      </c>
      <c r="D611" s="10">
        <v>45898</v>
      </c>
      <c r="E611" s="4" t="inlineStr">
        <is>
          <t xml:space="preserve">401000</t>
        </is>
      </c>
      <c r="F611" s="0" t="inlineStr">
        <is>
          <t xml:space="preserve">Fournisseurs</t>
        </is>
      </c>
      <c r="G611" s="0" t="inlineStr">
        <is>
          <t xml:space="preserve">F003-2025082</t>
        </is>
      </c>
      <c r="H611" s="0" t="inlineStr">
        <is>
          <t xml:space="preserve">Facture Vernis et Finitions F003-2025082</t>
        </is>
      </c>
      <c r="I611" s="8">
        <v>0</v>
      </c>
      <c r="J611" s="8">
        <v>21464.89</v>
      </c>
      <c r="K611" s="0" t="inlineStr">
        <is>
          <t xml:space="preserve">ADC</t>
        </is>
      </c>
      <c r="L611" s="0" t="inlineStr">
        <is>
          <t xml:space="preserve">Vernis et Finitions</t>
        </is>
      </c>
      <c r="M611" s="8">
        <f>I611-J611</f>
      </c>
      <c r="N611" s="0" t="inlineStr">
        <is>
          <t xml:space="preserve">2025-08</t>
        </is>
      </c>
      <c r="O611" s="0">
        <f>INDEX(Journaux!$E$5:$E$18,MATCH("2025|"&amp;A611,Journaux!$A$5:$A$18,0))</f>
      </c>
      <c r="P611" s="0">
        <f>INDEX(Comptes!$K$5:$K$42,MATCH(E611,Comptes!$A$5:$A$42,0))</f>
      </c>
      <c r="Q611" s="0" t="inlineStr">
        <is>
          <t xml:space="preserve">4</t>
        </is>
      </c>
      <c r="R611" s="7" t="inlineStr">
        <is>
          <t xml:space="preserve">401000|F003</t>
        </is>
      </c>
    </row>
    <row r="612">
      <c r="A612" s="4" t="inlineStr">
        <is>
          <t xml:space="preserve">BQ</t>
        </is>
      </c>
      <c r="B612" s="0" t="inlineStr">
        <is>
          <t xml:space="preserve">Banque Fictive</t>
        </is>
      </c>
      <c r="C612" s="0" t="inlineStr">
        <is>
          <t xml:space="preserve">BQ00022</t>
        </is>
      </c>
      <c r="D612" s="10">
        <v>45900</v>
      </c>
      <c r="E612" s="4" t="inlineStr">
        <is>
          <t xml:space="preserve">421000</t>
        </is>
      </c>
      <c r="F612" s="0" t="inlineStr">
        <is>
          <t xml:space="preserve">Personnel remunerations dues</t>
        </is>
      </c>
      <c r="G612" s="0" t="inlineStr">
        <is>
          <t xml:space="preserve">VIRSAL202508</t>
        </is>
      </c>
      <c r="H612" s="0" t="inlineStr">
        <is>
          <t xml:space="preserve">Virement salaires 08/2025</t>
        </is>
      </c>
      <c r="I612" s="8">
        <v>38466.44</v>
      </c>
      <c r="J612" s="8">
        <v>0</v>
      </c>
      <c r="K612" s="0"/>
      <c r="L612" s="0"/>
      <c r="M612" s="8">
        <f>I612-J612</f>
      </c>
      <c r="N612" s="0" t="inlineStr">
        <is>
          <t xml:space="preserve">2025-08</t>
        </is>
      </c>
      <c r="O612" s="0">
        <f>INDEX(Journaux!$E$5:$E$18,MATCH("2025|"&amp;A612,Journaux!$A$5:$A$18,0))</f>
      </c>
      <c r="P612" s="0">
        <f>INDEX(Comptes!$K$5:$K$42,MATCH(E612,Comptes!$A$5:$A$42,0))</f>
      </c>
      <c r="Q612" s="0" t="inlineStr">
        <is>
          <t xml:space="preserve">4</t>
        </is>
      </c>
    </row>
    <row r="613">
      <c r="A613" s="4" t="inlineStr">
        <is>
          <t xml:space="preserve">BQ</t>
        </is>
      </c>
      <c r="B613" s="0" t="inlineStr">
        <is>
          <t xml:space="preserve">Banque Fictive</t>
        </is>
      </c>
      <c r="C613" s="0" t="inlineStr">
        <is>
          <t xml:space="preserve">BQ00022</t>
        </is>
      </c>
      <c r="D613" s="10">
        <v>45900</v>
      </c>
      <c r="E613" s="4" t="inlineStr">
        <is>
          <t xml:space="preserve">512000</t>
        </is>
      </c>
      <c r="F613" s="0" t="inlineStr">
        <is>
          <t xml:space="preserve">Banque Fictive</t>
        </is>
      </c>
      <c r="G613" s="0" t="inlineStr">
        <is>
          <t xml:space="preserve">VIRSAL202508</t>
        </is>
      </c>
      <c r="H613" s="0" t="inlineStr">
        <is>
          <t xml:space="preserve">Virement salaires 08/2025</t>
        </is>
      </c>
      <c r="I613" s="8">
        <v>0</v>
      </c>
      <c r="J613" s="8">
        <v>38466.44</v>
      </c>
      <c r="K613" s="0"/>
      <c r="L613" s="0"/>
      <c r="M613" s="8">
        <f>I613-J613</f>
      </c>
      <c r="N613" s="0" t="inlineStr">
        <is>
          <t xml:space="preserve">2025-08</t>
        </is>
      </c>
      <c r="O613" s="0">
        <f>INDEX(Journaux!$E$5:$E$18,MATCH("2025|"&amp;A613,Journaux!$A$5:$A$18,0))</f>
      </c>
      <c r="P613" s="0">
        <f>INDEX(Comptes!$K$5:$K$42,MATCH(E613,Comptes!$A$5:$A$42,0))</f>
      </c>
      <c r="Q613" s="0" t="inlineStr">
        <is>
          <t xml:space="preserve">5</t>
        </is>
      </c>
    </row>
    <row r="614">
      <c r="A614" s="4" t="inlineStr">
        <is>
          <t xml:space="preserve">BQ</t>
        </is>
      </c>
      <c r="B614" s="0" t="inlineStr">
        <is>
          <t xml:space="preserve">Banque Fictive</t>
        </is>
      </c>
      <c r="C614" s="0" t="inlineStr">
        <is>
          <t xml:space="preserve">BQ00024</t>
        </is>
      </c>
      <c r="D614" s="10">
        <v>45900</v>
      </c>
      <c r="E614" s="4" t="inlineStr">
        <is>
          <t xml:space="preserve">627000</t>
        </is>
      </c>
      <c r="F614" s="0" t="inlineStr">
        <is>
          <t xml:space="preserve">Services bancaires</t>
        </is>
      </c>
      <c r="G614" s="0" t="inlineStr">
        <is>
          <t xml:space="preserve">FRB202508</t>
        </is>
      </c>
      <c r="H614" s="0" t="inlineStr">
        <is>
          <t xml:space="preserve">Frais bancaires 08/2025</t>
        </is>
      </c>
      <c r="I614" s="8">
        <v>85</v>
      </c>
      <c r="J614" s="8">
        <v>0</v>
      </c>
      <c r="K614" s="0"/>
      <c r="L614" s="0"/>
      <c r="M614" s="8">
        <f>I614-J614</f>
      </c>
      <c r="N614" s="0" t="inlineStr">
        <is>
          <t xml:space="preserve">2025-08</t>
        </is>
      </c>
      <c r="O614" s="0">
        <f>INDEX(Journaux!$E$5:$E$18,MATCH("2025|"&amp;A614,Journaux!$A$5:$A$18,0))</f>
      </c>
      <c r="P614" s="0">
        <f>INDEX(Comptes!$K$5:$K$42,MATCH(E614,Comptes!$A$5:$A$42,0))</f>
      </c>
      <c r="Q614" s="0" t="inlineStr">
        <is>
          <t xml:space="preserve">6</t>
        </is>
      </c>
    </row>
    <row r="615">
      <c r="A615" s="4" t="inlineStr">
        <is>
          <t xml:space="preserve">BQ</t>
        </is>
      </c>
      <c r="B615" s="0" t="inlineStr">
        <is>
          <t xml:space="preserve">Banque Fictive</t>
        </is>
      </c>
      <c r="C615" s="0" t="inlineStr">
        <is>
          <t xml:space="preserve">BQ00024</t>
        </is>
      </c>
      <c r="D615" s="10">
        <v>45900</v>
      </c>
      <c r="E615" s="4" t="inlineStr">
        <is>
          <t xml:space="preserve">512000</t>
        </is>
      </c>
      <c r="F615" s="0" t="inlineStr">
        <is>
          <t xml:space="preserve">Banque Fictive</t>
        </is>
      </c>
      <c r="G615" s="0" t="inlineStr">
        <is>
          <t xml:space="preserve">FRB202508</t>
        </is>
      </c>
      <c r="H615" s="0" t="inlineStr">
        <is>
          <t xml:space="preserve">Frais bancaires 08/2025</t>
        </is>
      </c>
      <c r="I615" s="8">
        <v>0</v>
      </c>
      <c r="J615" s="8">
        <v>85</v>
      </c>
      <c r="K615" s="0"/>
      <c r="L615" s="0"/>
      <c r="M615" s="8">
        <f>I615-J615</f>
      </c>
      <c r="N615" s="0" t="inlineStr">
        <is>
          <t xml:space="preserve">2025-08</t>
        </is>
      </c>
      <c r="O615" s="0">
        <f>INDEX(Journaux!$E$5:$E$18,MATCH("2025|"&amp;A615,Journaux!$A$5:$A$18,0))</f>
      </c>
      <c r="P615" s="0">
        <f>INDEX(Comptes!$K$5:$K$42,MATCH(E615,Comptes!$A$5:$A$42,0))</f>
      </c>
      <c r="Q615" s="0" t="inlineStr">
        <is>
          <t xml:space="preserve">5</t>
        </is>
      </c>
    </row>
    <row r="616">
      <c r="A616" s="4" t="inlineStr">
        <is>
          <t xml:space="preserve">OD</t>
        </is>
      </c>
      <c r="B616" s="0" t="inlineStr">
        <is>
          <t xml:space="preserve">Operations diverses</t>
        </is>
      </c>
      <c r="C616" s="0" t="inlineStr">
        <is>
          <t xml:space="preserve">OD00008</t>
        </is>
      </c>
      <c r="D616" s="10">
        <v>45900</v>
      </c>
      <c r="E616" s="4" t="inlineStr">
        <is>
          <t xml:space="preserve">445710</t>
        </is>
      </c>
      <c r="F616" s="0" t="inlineStr">
        <is>
          <t xml:space="preserve">TVA collectee</t>
        </is>
      </c>
      <c r="G616" s="0" t="inlineStr">
        <is>
          <t xml:space="preserve">CA3-202508</t>
        </is>
      </c>
      <c r="H616" s="0" t="inlineStr">
        <is>
          <t xml:space="preserve">Declaration TVA 08/2025</t>
        </is>
      </c>
      <c r="I616" s="8">
        <v>16333.33</v>
      </c>
      <c r="J616" s="8">
        <v>0</v>
      </c>
      <c r="K616" s="0"/>
      <c r="L616" s="0"/>
      <c r="M616" s="8">
        <f>I616-J616</f>
      </c>
      <c r="N616" s="0" t="inlineStr">
        <is>
          <t xml:space="preserve">2025-08</t>
        </is>
      </c>
      <c r="O616" s="0">
        <f>INDEX(Journaux!$E$5:$E$18,MATCH("2025|"&amp;A616,Journaux!$A$5:$A$18,0))</f>
      </c>
      <c r="P616" s="0">
        <f>INDEX(Comptes!$K$5:$K$42,MATCH(E616,Comptes!$A$5:$A$42,0))</f>
      </c>
      <c r="Q616" s="0" t="inlineStr">
        <is>
          <t xml:space="preserve">4</t>
        </is>
      </c>
    </row>
    <row r="617">
      <c r="A617" s="4" t="inlineStr">
        <is>
          <t xml:space="preserve">OD</t>
        </is>
      </c>
      <c r="B617" s="0" t="inlineStr">
        <is>
          <t xml:space="preserve">Operations diverses</t>
        </is>
      </c>
      <c r="C617" s="0" t="inlineStr">
        <is>
          <t xml:space="preserve">OD00008</t>
        </is>
      </c>
      <c r="D617" s="10">
        <v>45900</v>
      </c>
      <c r="E617" s="4" t="inlineStr">
        <is>
          <t xml:space="preserve">445660</t>
        </is>
      </c>
      <c r="F617" s="0" t="inlineStr">
        <is>
          <t xml:space="preserve">TVA deductible sur ABS</t>
        </is>
      </c>
      <c r="G617" s="0" t="inlineStr">
        <is>
          <t xml:space="preserve">CA3-202508</t>
        </is>
      </c>
      <c r="H617" s="0" t="inlineStr">
        <is>
          <t xml:space="preserve">Declaration TVA 08/2025</t>
        </is>
      </c>
      <c r="I617" s="8">
        <v>0</v>
      </c>
      <c r="J617" s="8">
        <v>10135.62</v>
      </c>
      <c r="K617" s="0"/>
      <c r="L617" s="0"/>
      <c r="M617" s="8">
        <f>I617-J617</f>
      </c>
      <c r="N617" s="0" t="inlineStr">
        <is>
          <t xml:space="preserve">2025-08</t>
        </is>
      </c>
      <c r="O617" s="0">
        <f>INDEX(Journaux!$E$5:$E$18,MATCH("2025|"&amp;A617,Journaux!$A$5:$A$18,0))</f>
      </c>
      <c r="P617" s="0">
        <f>INDEX(Comptes!$K$5:$K$42,MATCH(E617,Comptes!$A$5:$A$42,0))</f>
      </c>
      <c r="Q617" s="0" t="inlineStr">
        <is>
          <t xml:space="preserve">4</t>
        </is>
      </c>
    </row>
    <row r="618">
      <c r="A618" s="4" t="inlineStr">
        <is>
          <t xml:space="preserve">OD</t>
        </is>
      </c>
      <c r="B618" s="0" t="inlineStr">
        <is>
          <t xml:space="preserve">Operations diverses</t>
        </is>
      </c>
      <c r="C618" s="0" t="inlineStr">
        <is>
          <t xml:space="preserve">OD00008</t>
        </is>
      </c>
      <c r="D618" s="10">
        <v>45900</v>
      </c>
      <c r="E618" s="4" t="inlineStr">
        <is>
          <t xml:space="preserve">445510</t>
        </is>
      </c>
      <c r="F618" s="0" t="inlineStr">
        <is>
          <t xml:space="preserve">TVA a decaisser</t>
        </is>
      </c>
      <c r="G618" s="0" t="inlineStr">
        <is>
          <t xml:space="preserve">CA3-202508</t>
        </is>
      </c>
      <c r="H618" s="0" t="inlineStr">
        <is>
          <t xml:space="preserve">Declaration TVA 08/2025</t>
        </is>
      </c>
      <c r="I618" s="8">
        <v>0</v>
      </c>
      <c r="J618" s="8">
        <v>6197.71</v>
      </c>
      <c r="K618" s="0"/>
      <c r="L618" s="0"/>
      <c r="M618" s="8">
        <f>I618-J618</f>
      </c>
      <c r="N618" s="0" t="inlineStr">
        <is>
          <t xml:space="preserve">2025-08</t>
        </is>
      </c>
      <c r="O618" s="0">
        <f>INDEX(Journaux!$E$5:$E$18,MATCH("2025|"&amp;A618,Journaux!$A$5:$A$18,0))</f>
      </c>
      <c r="P618" s="0">
        <f>INDEX(Comptes!$K$5:$K$42,MATCH(E618,Comptes!$A$5:$A$42,0))</f>
      </c>
      <c r="Q618" s="0" t="inlineStr">
        <is>
          <t xml:space="preserve">4</t>
        </is>
      </c>
    </row>
    <row r="619">
      <c r="A619" s="4" t="inlineStr">
        <is>
          <t xml:space="preserve">SA</t>
        </is>
      </c>
      <c r="B619" s="0" t="inlineStr">
        <is>
          <t xml:space="preserve">Salaires</t>
        </is>
      </c>
      <c r="C619" s="0" t="inlineStr">
        <is>
          <t xml:space="preserve">SA00008</t>
        </is>
      </c>
      <c r="D619" s="10">
        <v>45900</v>
      </c>
      <c r="E619" s="4" t="inlineStr">
        <is>
          <t xml:space="preserve">641000</t>
        </is>
      </c>
      <c r="F619" s="0" t="inlineStr">
        <is>
          <t xml:space="preserve">Remunerations du personnel</t>
        </is>
      </c>
      <c r="G619" s="0" t="inlineStr">
        <is>
          <t xml:space="preserve">PAIE202508</t>
        </is>
      </c>
      <c r="H619" s="0" t="inlineStr">
        <is>
          <t xml:space="preserve">Paie 08/2025</t>
        </is>
      </c>
      <c r="I619" s="8">
        <v>49315.95</v>
      </c>
      <c r="J619" s="8">
        <v>0</v>
      </c>
      <c r="K619" s="0"/>
      <c r="L619" s="0"/>
      <c r="M619" s="8">
        <f>I619-J619</f>
      </c>
      <c r="N619" s="0" t="inlineStr">
        <is>
          <t xml:space="preserve">2025-08</t>
        </is>
      </c>
      <c r="O619" s="0">
        <f>INDEX(Journaux!$E$5:$E$18,MATCH("2025|"&amp;A619,Journaux!$A$5:$A$18,0))</f>
      </c>
      <c r="P619" s="0">
        <f>INDEX(Comptes!$K$5:$K$42,MATCH(E619,Comptes!$A$5:$A$42,0))</f>
      </c>
      <c r="Q619" s="0" t="inlineStr">
        <is>
          <t xml:space="preserve">6</t>
        </is>
      </c>
    </row>
    <row r="620">
      <c r="A620" s="4" t="inlineStr">
        <is>
          <t xml:space="preserve">SA</t>
        </is>
      </c>
      <c r="B620" s="0" t="inlineStr">
        <is>
          <t xml:space="preserve">Salaires</t>
        </is>
      </c>
      <c r="C620" s="0" t="inlineStr">
        <is>
          <t xml:space="preserve">SA00008</t>
        </is>
      </c>
      <c r="D620" s="10">
        <v>45900</v>
      </c>
      <c r="E620" s="4" t="inlineStr">
        <is>
          <t xml:space="preserve">645100</t>
        </is>
      </c>
      <c r="F620" s="0" t="inlineStr">
        <is>
          <t xml:space="preserve">Cotisations URSSAF</t>
        </is>
      </c>
      <c r="G620" s="0" t="inlineStr">
        <is>
          <t xml:space="preserve">PAIE202508</t>
        </is>
      </c>
      <c r="H620" s="0" t="inlineStr">
        <is>
          <t xml:space="preserve">Paie 08/2025</t>
        </is>
      </c>
      <c r="I620" s="8">
        <v>20712.7</v>
      </c>
      <c r="J620" s="8">
        <v>0</v>
      </c>
      <c r="K620" s="0"/>
      <c r="L620" s="0"/>
      <c r="M620" s="8">
        <f>I620-J620</f>
      </c>
      <c r="N620" s="0" t="inlineStr">
        <is>
          <t xml:space="preserve">2025-08</t>
        </is>
      </c>
      <c r="O620" s="0">
        <f>INDEX(Journaux!$E$5:$E$18,MATCH("2025|"&amp;A620,Journaux!$A$5:$A$18,0))</f>
      </c>
      <c r="P620" s="0">
        <f>INDEX(Comptes!$K$5:$K$42,MATCH(E620,Comptes!$A$5:$A$42,0))</f>
      </c>
      <c r="Q620" s="0" t="inlineStr">
        <is>
          <t xml:space="preserve">6</t>
        </is>
      </c>
    </row>
    <row r="621">
      <c r="A621" s="4" t="inlineStr">
        <is>
          <t xml:space="preserve">SA</t>
        </is>
      </c>
      <c r="B621" s="0" t="inlineStr">
        <is>
          <t xml:space="preserve">Salaires</t>
        </is>
      </c>
      <c r="C621" s="0" t="inlineStr">
        <is>
          <t xml:space="preserve">SA00008</t>
        </is>
      </c>
      <c r="D621" s="10">
        <v>45900</v>
      </c>
      <c r="E621" s="4" t="inlineStr">
        <is>
          <t xml:space="preserve">421000</t>
        </is>
      </c>
      <c r="F621" s="0" t="inlineStr">
        <is>
          <t xml:space="preserve">Personnel remunerations dues</t>
        </is>
      </c>
      <c r="G621" s="0" t="inlineStr">
        <is>
          <t xml:space="preserve">PAIE202508</t>
        </is>
      </c>
      <c r="H621" s="0" t="inlineStr">
        <is>
          <t xml:space="preserve">Paie 08/2025</t>
        </is>
      </c>
      <c r="I621" s="8">
        <v>0</v>
      </c>
      <c r="J621" s="8">
        <v>38466.44</v>
      </c>
      <c r="K621" s="0"/>
      <c r="L621" s="0"/>
      <c r="M621" s="8">
        <f>I621-J621</f>
      </c>
      <c r="N621" s="0" t="inlineStr">
        <is>
          <t xml:space="preserve">2025-08</t>
        </is>
      </c>
      <c r="O621" s="0">
        <f>INDEX(Journaux!$E$5:$E$18,MATCH("2025|"&amp;A621,Journaux!$A$5:$A$18,0))</f>
      </c>
      <c r="P621" s="0">
        <f>INDEX(Comptes!$K$5:$K$42,MATCH(E621,Comptes!$A$5:$A$42,0))</f>
      </c>
      <c r="Q621" s="0" t="inlineStr">
        <is>
          <t xml:space="preserve">4</t>
        </is>
      </c>
    </row>
    <row r="622">
      <c r="A622" s="4" t="inlineStr">
        <is>
          <t xml:space="preserve">SA</t>
        </is>
      </c>
      <c r="B622" s="0" t="inlineStr">
        <is>
          <t xml:space="preserve">Salaires</t>
        </is>
      </c>
      <c r="C622" s="0" t="inlineStr">
        <is>
          <t xml:space="preserve">SA00008</t>
        </is>
      </c>
      <c r="D622" s="10">
        <v>45900</v>
      </c>
      <c r="E622" s="4" t="inlineStr">
        <is>
          <t xml:space="preserve">431000</t>
        </is>
      </c>
      <c r="F622" s="0" t="inlineStr">
        <is>
          <t xml:space="preserve">Securite sociale</t>
        </is>
      </c>
      <c r="G622" s="0" t="inlineStr">
        <is>
          <t xml:space="preserve">PAIE202508</t>
        </is>
      </c>
      <c r="H622" s="0" t="inlineStr">
        <is>
          <t xml:space="preserve">Paie 08/2025</t>
        </is>
      </c>
      <c r="I622" s="8">
        <v>0</v>
      </c>
      <c r="J622" s="8">
        <v>31562.21</v>
      </c>
      <c r="K622" s="0"/>
      <c r="L622" s="0"/>
      <c r="M622" s="8">
        <f>I622-J622</f>
      </c>
      <c r="N622" s="0" t="inlineStr">
        <is>
          <t xml:space="preserve">2025-08</t>
        </is>
      </c>
      <c r="O622" s="0">
        <f>INDEX(Journaux!$E$5:$E$18,MATCH("2025|"&amp;A622,Journaux!$A$5:$A$18,0))</f>
      </c>
      <c r="P622" s="0">
        <f>INDEX(Comptes!$K$5:$K$42,MATCH(E622,Comptes!$A$5:$A$42,0))</f>
      </c>
      <c r="Q622" s="0" t="inlineStr">
        <is>
          <t xml:space="preserve">4</t>
        </is>
      </c>
    </row>
    <row r="623">
      <c r="A623" s="4" t="inlineStr">
        <is>
          <t xml:space="preserve">BQ</t>
        </is>
      </c>
      <c r="B623" s="0" t="inlineStr">
        <is>
          <t xml:space="preserve">Banque Fictive</t>
        </is>
      </c>
      <c r="C623" s="0" t="inlineStr">
        <is>
          <t xml:space="preserve">BQ00093</t>
        </is>
      </c>
      <c r="D623" s="10">
        <v>45903</v>
      </c>
      <c r="E623" s="4" t="inlineStr">
        <is>
          <t xml:space="preserve">512000</t>
        </is>
      </c>
      <c r="F623" s="0" t="inlineStr">
        <is>
          <t xml:space="preserve">Banque Fictive</t>
        </is>
      </c>
      <c r="G623" s="0" t="inlineStr">
        <is>
          <t xml:space="preserve">ENC-FA2025-0026</t>
        </is>
      </c>
      <c r="H623" s="0" t="inlineStr">
        <is>
          <t xml:space="preserve">Reglement client Boutique Hetre et Chene FA2025-0026</t>
        </is>
      </c>
      <c r="I623" s="8">
        <v>22876.62</v>
      </c>
      <c r="J623" s="8">
        <v>0</v>
      </c>
      <c r="K623" s="0"/>
      <c r="L623" s="0"/>
      <c r="M623" s="8">
        <f>I623-J623</f>
      </c>
      <c r="N623" s="0" t="inlineStr">
        <is>
          <t xml:space="preserve">2025-09</t>
        </is>
      </c>
      <c r="O623" s="0">
        <f>INDEX(Journaux!$E$5:$E$18,MATCH("2025|"&amp;A623,Journaux!$A$5:$A$18,0))</f>
      </c>
      <c r="P623" s="0">
        <f>INDEX(Comptes!$K$5:$K$42,MATCH(E623,Comptes!$A$5:$A$42,0))</f>
      </c>
      <c r="Q623" s="0" t="inlineStr">
        <is>
          <t xml:space="preserve">5</t>
        </is>
      </c>
    </row>
    <row r="624">
      <c r="A624" s="4" t="inlineStr">
        <is>
          <t xml:space="preserve">BQ</t>
        </is>
      </c>
      <c r="B624" s="0" t="inlineStr">
        <is>
          <t xml:space="preserve">Banque Fictive</t>
        </is>
      </c>
      <c r="C624" s="0" t="inlineStr">
        <is>
          <t xml:space="preserve">BQ00093</t>
        </is>
      </c>
      <c r="D624" s="10">
        <v>45903</v>
      </c>
      <c r="E624" s="4" t="inlineStr">
        <is>
          <t xml:space="preserve">411000</t>
        </is>
      </c>
      <c r="F624" s="0" t="inlineStr">
        <is>
          <t xml:space="preserve">Clients</t>
        </is>
      </c>
      <c r="G624" s="0" t="inlineStr">
        <is>
          <t xml:space="preserve">ENC-FA2025-0026</t>
        </is>
      </c>
      <c r="H624" s="0" t="inlineStr">
        <is>
          <t xml:space="preserve">Reglement client Boutique Hetre et Chene FA2025-0026</t>
        </is>
      </c>
      <c r="I624" s="8">
        <v>0</v>
      </c>
      <c r="J624" s="8">
        <v>22876.62</v>
      </c>
      <c r="K624" s="0" t="inlineStr">
        <is>
          <t xml:space="preserve">AAH</t>
        </is>
      </c>
      <c r="L624" s="0" t="inlineStr">
        <is>
          <t xml:space="preserve">Boutique Hetre et Chene</t>
        </is>
      </c>
      <c r="M624" s="8">
        <f>I624-J624</f>
      </c>
      <c r="N624" s="0" t="inlineStr">
        <is>
          <t xml:space="preserve">2025-09</t>
        </is>
      </c>
      <c r="O624" s="0">
        <f>INDEX(Journaux!$E$5:$E$18,MATCH("2025|"&amp;A624,Journaux!$A$5:$A$18,0))</f>
      </c>
      <c r="P624" s="0">
        <f>INDEX(Comptes!$K$5:$K$42,MATCH(E624,Comptes!$A$5:$A$42,0))</f>
      </c>
      <c r="Q624" s="0" t="inlineStr">
        <is>
          <t xml:space="preserve">4</t>
        </is>
      </c>
      <c r="R624" s="7" t="inlineStr">
        <is>
          <t xml:space="preserve">411000|C007</t>
        </is>
      </c>
    </row>
    <row r="625">
      <c r="A625" s="4" t="inlineStr">
        <is>
          <t xml:space="preserve">BQ</t>
        </is>
      </c>
      <c r="B625" s="0" t="inlineStr">
        <is>
          <t xml:space="preserve">Banque Fictive</t>
        </is>
      </c>
      <c r="C625" s="0" t="inlineStr">
        <is>
          <t xml:space="preserve">BQ00158</t>
        </is>
      </c>
      <c r="D625" s="10">
        <v>45903</v>
      </c>
      <c r="E625" s="4" t="inlineStr">
        <is>
          <t xml:space="preserve">401000</t>
        </is>
      </c>
      <c r="F625" s="0" t="inlineStr">
        <is>
          <t xml:space="preserve">Fournisseurs</t>
        </is>
      </c>
      <c r="G625" s="0" t="inlineStr">
        <is>
          <t xml:space="preserve">DEC-F002-2025071</t>
        </is>
      </c>
      <c r="H625" s="0" t="inlineStr">
        <is>
          <t xml:space="preserve">Reglement fournisseur Quincaillerie Pro Est F002-2025071</t>
        </is>
      </c>
      <c r="I625" s="8">
        <v>28472.06</v>
      </c>
      <c r="J625" s="8">
        <v>0</v>
      </c>
      <c r="K625" s="0" t="inlineStr">
        <is>
          <t xml:space="preserve">ACU</t>
        </is>
      </c>
      <c r="L625" s="0" t="inlineStr">
        <is>
          <t xml:space="preserve">Quincaillerie Pro Est</t>
        </is>
      </c>
      <c r="M625" s="8">
        <f>I625-J625</f>
      </c>
      <c r="N625" s="0" t="inlineStr">
        <is>
          <t xml:space="preserve">2025-09</t>
        </is>
      </c>
      <c r="O625" s="0">
        <f>INDEX(Journaux!$E$5:$E$18,MATCH("2025|"&amp;A625,Journaux!$A$5:$A$18,0))</f>
      </c>
      <c r="P625" s="0">
        <f>INDEX(Comptes!$K$5:$K$42,MATCH(E625,Comptes!$A$5:$A$42,0))</f>
      </c>
      <c r="Q625" s="0" t="inlineStr">
        <is>
          <t xml:space="preserve">4</t>
        </is>
      </c>
      <c r="R625" s="7" t="inlineStr">
        <is>
          <t xml:space="preserve">401000|F002</t>
        </is>
      </c>
    </row>
    <row r="626">
      <c r="A626" s="4" t="inlineStr">
        <is>
          <t xml:space="preserve">BQ</t>
        </is>
      </c>
      <c r="B626" s="0" t="inlineStr">
        <is>
          <t xml:space="preserve">Banque Fictive</t>
        </is>
      </c>
      <c r="C626" s="0" t="inlineStr">
        <is>
          <t xml:space="preserve">BQ00158</t>
        </is>
      </c>
      <c r="D626" s="10">
        <v>45903</v>
      </c>
      <c r="E626" s="4" t="inlineStr">
        <is>
          <t xml:space="preserve">512000</t>
        </is>
      </c>
      <c r="F626" s="0" t="inlineStr">
        <is>
          <t xml:space="preserve">Banque Fictive</t>
        </is>
      </c>
      <c r="G626" s="0" t="inlineStr">
        <is>
          <t xml:space="preserve">DEC-F002-2025071</t>
        </is>
      </c>
      <c r="H626" s="0" t="inlineStr">
        <is>
          <t xml:space="preserve">Reglement fournisseur Quincaillerie Pro Est F002-2025071</t>
        </is>
      </c>
      <c r="I626" s="8">
        <v>0</v>
      </c>
      <c r="J626" s="8">
        <v>28472.06</v>
      </c>
      <c r="K626" s="0"/>
      <c r="L626" s="0"/>
      <c r="M626" s="8">
        <f>I626-J626</f>
      </c>
      <c r="N626" s="0" t="inlineStr">
        <is>
          <t xml:space="preserve">2025-09</t>
        </is>
      </c>
      <c r="O626" s="0">
        <f>INDEX(Journaux!$E$5:$E$18,MATCH("2025|"&amp;A626,Journaux!$A$5:$A$18,0))</f>
      </c>
      <c r="P626" s="0">
        <f>INDEX(Comptes!$K$5:$K$42,MATCH(E626,Comptes!$A$5:$A$42,0))</f>
      </c>
      <c r="Q626" s="0" t="inlineStr">
        <is>
          <t xml:space="preserve">5</t>
        </is>
      </c>
    </row>
    <row r="627">
      <c r="A627" s="4" t="inlineStr">
        <is>
          <t xml:space="preserve">BQ</t>
        </is>
      </c>
      <c r="B627" s="0" t="inlineStr">
        <is>
          <t xml:space="preserve">Banque Fictive</t>
        </is>
      </c>
      <c r="C627" s="0" t="inlineStr">
        <is>
          <t xml:space="preserve">BQ00095</t>
        </is>
      </c>
      <c r="D627" s="10">
        <v>45904</v>
      </c>
      <c r="E627" s="4" t="inlineStr">
        <is>
          <t xml:space="preserve">512000</t>
        </is>
      </c>
      <c r="F627" s="0" t="inlineStr">
        <is>
          <t xml:space="preserve">Banque Fictive</t>
        </is>
      </c>
      <c r="G627" s="0" t="inlineStr">
        <is>
          <t xml:space="preserve">ENC-FA2025-0028</t>
        </is>
      </c>
      <c r="H627" s="0" t="inlineStr">
        <is>
          <t xml:space="preserve">Reglement client Boutique Hetre et Chene FA2025-0028</t>
        </is>
      </c>
      <c r="I627" s="8">
        <v>38156.26</v>
      </c>
      <c r="J627" s="8">
        <v>0</v>
      </c>
      <c r="K627" s="0"/>
      <c r="L627" s="0"/>
      <c r="M627" s="8">
        <f>I627-J627</f>
      </c>
      <c r="N627" s="0" t="inlineStr">
        <is>
          <t xml:space="preserve">2025-09</t>
        </is>
      </c>
      <c r="O627" s="0">
        <f>INDEX(Journaux!$E$5:$E$18,MATCH("2025|"&amp;A627,Journaux!$A$5:$A$18,0))</f>
      </c>
      <c r="P627" s="0">
        <f>INDEX(Comptes!$K$5:$K$42,MATCH(E627,Comptes!$A$5:$A$42,0))</f>
      </c>
      <c r="Q627" s="0" t="inlineStr">
        <is>
          <t xml:space="preserve">5</t>
        </is>
      </c>
    </row>
    <row r="628">
      <c r="A628" s="4" t="inlineStr">
        <is>
          <t xml:space="preserve">BQ</t>
        </is>
      </c>
      <c r="B628" s="0" t="inlineStr">
        <is>
          <t xml:space="preserve">Banque Fictive</t>
        </is>
      </c>
      <c r="C628" s="0" t="inlineStr">
        <is>
          <t xml:space="preserve">BQ00095</t>
        </is>
      </c>
      <c r="D628" s="10">
        <v>45904</v>
      </c>
      <c r="E628" s="4" t="inlineStr">
        <is>
          <t xml:space="preserve">411000</t>
        </is>
      </c>
      <c r="F628" s="0" t="inlineStr">
        <is>
          <t xml:space="preserve">Clients</t>
        </is>
      </c>
      <c r="G628" s="0" t="inlineStr">
        <is>
          <t xml:space="preserve">ENC-FA2025-0028</t>
        </is>
      </c>
      <c r="H628" s="0" t="inlineStr">
        <is>
          <t xml:space="preserve">Reglement client Boutique Hetre et Chene FA2025-0028</t>
        </is>
      </c>
      <c r="I628" s="8">
        <v>0</v>
      </c>
      <c r="J628" s="8">
        <v>38156.26</v>
      </c>
      <c r="K628" s="0" t="inlineStr">
        <is>
          <t xml:space="preserve">AAJ</t>
        </is>
      </c>
      <c r="L628" s="0" t="inlineStr">
        <is>
          <t xml:space="preserve">Boutique Hetre et Chene</t>
        </is>
      </c>
      <c r="M628" s="8">
        <f>I628-J628</f>
      </c>
      <c r="N628" s="0" t="inlineStr">
        <is>
          <t xml:space="preserve">2025-09</t>
        </is>
      </c>
      <c r="O628" s="0">
        <f>INDEX(Journaux!$E$5:$E$18,MATCH("2025|"&amp;A628,Journaux!$A$5:$A$18,0))</f>
      </c>
      <c r="P628" s="0">
        <f>INDEX(Comptes!$K$5:$K$42,MATCH(E628,Comptes!$A$5:$A$42,0))</f>
      </c>
      <c r="Q628" s="0" t="inlineStr">
        <is>
          <t xml:space="preserve">4</t>
        </is>
      </c>
      <c r="R628" s="7" t="inlineStr">
        <is>
          <t xml:space="preserve">411000|C007</t>
        </is>
      </c>
    </row>
    <row r="629">
      <c r="A629" s="4" t="inlineStr">
        <is>
          <t xml:space="preserve">BQ</t>
        </is>
      </c>
      <c r="B629" s="0" t="inlineStr">
        <is>
          <t xml:space="preserve">Banque Fictive</t>
        </is>
      </c>
      <c r="C629" s="0" t="inlineStr">
        <is>
          <t xml:space="preserve">BQ00167</t>
        </is>
      </c>
      <c r="D629" s="10">
        <v>45904</v>
      </c>
      <c r="E629" s="4" t="inlineStr">
        <is>
          <t xml:space="preserve">401000</t>
        </is>
      </c>
      <c r="F629" s="0" t="inlineStr">
        <is>
          <t xml:space="preserve">Fournisseurs</t>
        </is>
      </c>
      <c r="G629" s="0" t="inlineStr">
        <is>
          <t xml:space="preserve">DEC-F004-202508</t>
        </is>
      </c>
      <c r="H629" s="0" t="inlineStr">
        <is>
          <t xml:space="preserve">Reglement fournisseur SCI Les Halles F004-202508</t>
        </is>
      </c>
      <c r="I629" s="8">
        <v>10200</v>
      </c>
      <c r="J629" s="8">
        <v>0</v>
      </c>
      <c r="K629" s="0" t="inlineStr">
        <is>
          <t xml:space="preserve">ADD</t>
        </is>
      </c>
      <c r="L629" s="0" t="inlineStr">
        <is>
          <t xml:space="preserve">SCI Les Halles</t>
        </is>
      </c>
      <c r="M629" s="8">
        <f>I629-J629</f>
      </c>
      <c r="N629" s="0" t="inlineStr">
        <is>
          <t xml:space="preserve">2025-09</t>
        </is>
      </c>
      <c r="O629" s="0">
        <f>INDEX(Journaux!$E$5:$E$18,MATCH("2025|"&amp;A629,Journaux!$A$5:$A$18,0))</f>
      </c>
      <c r="P629" s="0">
        <f>INDEX(Comptes!$K$5:$K$42,MATCH(E629,Comptes!$A$5:$A$42,0))</f>
      </c>
      <c r="Q629" s="0" t="inlineStr">
        <is>
          <t xml:space="preserve">4</t>
        </is>
      </c>
      <c r="R629" s="7" t="inlineStr">
        <is>
          <t xml:space="preserve">401000|F004</t>
        </is>
      </c>
    </row>
    <row r="630">
      <c r="A630" s="4" t="inlineStr">
        <is>
          <t xml:space="preserve">BQ</t>
        </is>
      </c>
      <c r="B630" s="0" t="inlineStr">
        <is>
          <t xml:space="preserve">Banque Fictive</t>
        </is>
      </c>
      <c r="C630" s="0" t="inlineStr">
        <is>
          <t xml:space="preserve">BQ00167</t>
        </is>
      </c>
      <c r="D630" s="10">
        <v>45904</v>
      </c>
      <c r="E630" s="4" t="inlineStr">
        <is>
          <t xml:space="preserve">512000</t>
        </is>
      </c>
      <c r="F630" s="0" t="inlineStr">
        <is>
          <t xml:space="preserve">Banque Fictive</t>
        </is>
      </c>
      <c r="G630" s="0" t="inlineStr">
        <is>
          <t xml:space="preserve">DEC-F004-202508</t>
        </is>
      </c>
      <c r="H630" s="0" t="inlineStr">
        <is>
          <t xml:space="preserve">Reglement fournisseur SCI Les Halles F004-202508</t>
        </is>
      </c>
      <c r="I630" s="8">
        <v>0</v>
      </c>
      <c r="J630" s="8">
        <v>10200</v>
      </c>
      <c r="K630" s="0"/>
      <c r="L630" s="0"/>
      <c r="M630" s="8">
        <f>I630-J630</f>
      </c>
      <c r="N630" s="0" t="inlineStr">
        <is>
          <t xml:space="preserve">2025-09</t>
        </is>
      </c>
      <c r="O630" s="0">
        <f>INDEX(Journaux!$E$5:$E$18,MATCH("2025|"&amp;A630,Journaux!$A$5:$A$18,0))</f>
      </c>
      <c r="P630" s="0">
        <f>INDEX(Comptes!$K$5:$K$42,MATCH(E630,Comptes!$A$5:$A$42,0))</f>
      </c>
      <c r="Q630" s="0" t="inlineStr">
        <is>
          <t xml:space="preserve">5</t>
        </is>
      </c>
    </row>
    <row r="631">
      <c r="A631" s="4" t="inlineStr">
        <is>
          <t xml:space="preserve">BQ</t>
        </is>
      </c>
      <c r="B631" s="0" t="inlineStr">
        <is>
          <t xml:space="preserve">Banque Fictive</t>
        </is>
      </c>
      <c r="C631" s="0" t="inlineStr">
        <is>
          <t xml:space="preserve">BQ00168</t>
        </is>
      </c>
      <c r="D631" s="10">
        <v>45904</v>
      </c>
      <c r="E631" s="4" t="inlineStr">
        <is>
          <t xml:space="preserve">401000</t>
        </is>
      </c>
      <c r="F631" s="0" t="inlineStr">
        <is>
          <t xml:space="preserve">Fournisseurs</t>
        </is>
      </c>
      <c r="G631" s="0" t="inlineStr">
        <is>
          <t xml:space="preserve">DEC-F005-202508</t>
        </is>
      </c>
      <c r="H631" s="0" t="inlineStr">
        <is>
          <t xml:space="preserve">Reglement fournisseur Energie Plus F005-202508</t>
        </is>
      </c>
      <c r="I631" s="8">
        <v>3977.72</v>
      </c>
      <c r="J631" s="8">
        <v>0</v>
      </c>
      <c r="K631" s="0" t="inlineStr">
        <is>
          <t xml:space="preserve">ADE</t>
        </is>
      </c>
      <c r="L631" s="0" t="inlineStr">
        <is>
          <t xml:space="preserve">Energie Plus</t>
        </is>
      </c>
      <c r="M631" s="8">
        <f>I631-J631</f>
      </c>
      <c r="N631" s="0" t="inlineStr">
        <is>
          <t xml:space="preserve">2025-09</t>
        </is>
      </c>
      <c r="O631" s="0">
        <f>INDEX(Journaux!$E$5:$E$18,MATCH("2025|"&amp;A631,Journaux!$A$5:$A$18,0))</f>
      </c>
      <c r="P631" s="0">
        <f>INDEX(Comptes!$K$5:$K$42,MATCH(E631,Comptes!$A$5:$A$42,0))</f>
      </c>
      <c r="Q631" s="0" t="inlineStr">
        <is>
          <t xml:space="preserve">4</t>
        </is>
      </c>
      <c r="R631" s="7" t="inlineStr">
        <is>
          <t xml:space="preserve">401000|F005</t>
        </is>
      </c>
    </row>
    <row r="632">
      <c r="A632" s="4" t="inlineStr">
        <is>
          <t xml:space="preserve">BQ</t>
        </is>
      </c>
      <c r="B632" s="0" t="inlineStr">
        <is>
          <t xml:space="preserve">Banque Fictive</t>
        </is>
      </c>
      <c r="C632" s="0" t="inlineStr">
        <is>
          <t xml:space="preserve">BQ00168</t>
        </is>
      </c>
      <c r="D632" s="10">
        <v>45904</v>
      </c>
      <c r="E632" s="4" t="inlineStr">
        <is>
          <t xml:space="preserve">512000</t>
        </is>
      </c>
      <c r="F632" s="0" t="inlineStr">
        <is>
          <t xml:space="preserve">Banque Fictive</t>
        </is>
      </c>
      <c r="G632" s="0" t="inlineStr">
        <is>
          <t xml:space="preserve">DEC-F005-202508</t>
        </is>
      </c>
      <c r="H632" s="0" t="inlineStr">
        <is>
          <t xml:space="preserve">Reglement fournisseur Energie Plus F005-202508</t>
        </is>
      </c>
      <c r="I632" s="8">
        <v>0</v>
      </c>
      <c r="J632" s="8">
        <v>3977.72</v>
      </c>
      <c r="K632" s="0"/>
      <c r="L632" s="0"/>
      <c r="M632" s="8">
        <f>I632-J632</f>
      </c>
      <c r="N632" s="0" t="inlineStr">
        <is>
          <t xml:space="preserve">2025-09</t>
        </is>
      </c>
      <c r="O632" s="0">
        <f>INDEX(Journaux!$E$5:$E$18,MATCH("2025|"&amp;A632,Journaux!$A$5:$A$18,0))</f>
      </c>
      <c r="P632" s="0">
        <f>INDEX(Comptes!$K$5:$K$42,MATCH(E632,Comptes!$A$5:$A$42,0))</f>
      </c>
      <c r="Q632" s="0" t="inlineStr">
        <is>
          <t xml:space="preserve">5</t>
        </is>
      </c>
    </row>
    <row r="633">
      <c r="A633" s="4" t="inlineStr">
        <is>
          <t xml:space="preserve">BQ</t>
        </is>
      </c>
      <c r="B633" s="0" t="inlineStr">
        <is>
          <t xml:space="preserve">Banque Fictive</t>
        </is>
      </c>
      <c r="C633" s="0" t="inlineStr">
        <is>
          <t xml:space="preserve">BQ00169</t>
        </is>
      </c>
      <c r="D633" s="10">
        <v>45904</v>
      </c>
      <c r="E633" s="4" t="inlineStr">
        <is>
          <t xml:space="preserve">401000</t>
        </is>
      </c>
      <c r="F633" s="0" t="inlineStr">
        <is>
          <t xml:space="preserve">Fournisseurs</t>
        </is>
      </c>
      <c r="G633" s="0" t="inlineStr">
        <is>
          <t xml:space="preserve">DEC-F008-202508</t>
        </is>
      </c>
      <c r="H633" s="0" t="inlineStr">
        <is>
          <t xml:space="preserve">Reglement fournisseur Telecom Pro F008-202508</t>
        </is>
      </c>
      <c r="I633" s="8">
        <v>576</v>
      </c>
      <c r="J633" s="8">
        <v>0</v>
      </c>
      <c r="K633" s="0" t="inlineStr">
        <is>
          <t xml:space="preserve">ADF</t>
        </is>
      </c>
      <c r="L633" s="0" t="inlineStr">
        <is>
          <t xml:space="preserve">Telecom Pro</t>
        </is>
      </c>
      <c r="M633" s="8">
        <f>I633-J633</f>
      </c>
      <c r="N633" s="0" t="inlineStr">
        <is>
          <t xml:space="preserve">2025-09</t>
        </is>
      </c>
      <c r="O633" s="0">
        <f>INDEX(Journaux!$E$5:$E$18,MATCH("2025|"&amp;A633,Journaux!$A$5:$A$18,0))</f>
      </c>
      <c r="P633" s="0">
        <f>INDEX(Comptes!$K$5:$K$42,MATCH(E633,Comptes!$A$5:$A$42,0))</f>
      </c>
      <c r="Q633" s="0" t="inlineStr">
        <is>
          <t xml:space="preserve">4</t>
        </is>
      </c>
      <c r="R633" s="7" t="inlineStr">
        <is>
          <t xml:space="preserve">401000|F008</t>
        </is>
      </c>
    </row>
    <row r="634">
      <c r="A634" s="4" t="inlineStr">
        <is>
          <t xml:space="preserve">BQ</t>
        </is>
      </c>
      <c r="B634" s="0" t="inlineStr">
        <is>
          <t xml:space="preserve">Banque Fictive</t>
        </is>
      </c>
      <c r="C634" s="0" t="inlineStr">
        <is>
          <t xml:space="preserve">BQ00169</t>
        </is>
      </c>
      <c r="D634" s="10">
        <v>45904</v>
      </c>
      <c r="E634" s="4" t="inlineStr">
        <is>
          <t xml:space="preserve">512000</t>
        </is>
      </c>
      <c r="F634" s="0" t="inlineStr">
        <is>
          <t xml:space="preserve">Banque Fictive</t>
        </is>
      </c>
      <c r="G634" s="0" t="inlineStr">
        <is>
          <t xml:space="preserve">DEC-F008-202508</t>
        </is>
      </c>
      <c r="H634" s="0" t="inlineStr">
        <is>
          <t xml:space="preserve">Reglement fournisseur Telecom Pro F008-202508</t>
        </is>
      </c>
      <c r="I634" s="8">
        <v>0</v>
      </c>
      <c r="J634" s="8">
        <v>576</v>
      </c>
      <c r="K634" s="0"/>
      <c r="L634" s="0"/>
      <c r="M634" s="8">
        <f>I634-J634</f>
      </c>
      <c r="N634" s="0" t="inlineStr">
        <is>
          <t xml:space="preserve">2025-09</t>
        </is>
      </c>
      <c r="O634" s="0">
        <f>INDEX(Journaux!$E$5:$E$18,MATCH("2025|"&amp;A634,Journaux!$A$5:$A$18,0))</f>
      </c>
      <c r="P634" s="0">
        <f>INDEX(Comptes!$K$5:$K$42,MATCH(E634,Comptes!$A$5:$A$42,0))</f>
      </c>
      <c r="Q634" s="0" t="inlineStr">
        <is>
          <t xml:space="preserve">5</t>
        </is>
      </c>
    </row>
    <row r="635">
      <c r="A635" s="4" t="inlineStr">
        <is>
          <t xml:space="preserve">AC</t>
        </is>
      </c>
      <c r="B635" s="0" t="inlineStr">
        <is>
          <t xml:space="preserve">Journal des achats</t>
        </is>
      </c>
      <c r="C635" s="0" t="inlineStr">
        <is>
          <t xml:space="preserve">AC00054</t>
        </is>
      </c>
      <c r="D635" s="10">
        <v>45905</v>
      </c>
      <c r="E635" s="4" t="inlineStr">
        <is>
          <t xml:space="preserve">613200</t>
        </is>
      </c>
      <c r="F635" s="0" t="inlineStr">
        <is>
          <t xml:space="preserve">Locations immobilieres</t>
        </is>
      </c>
      <c r="G635" s="0" t="inlineStr">
        <is>
          <t xml:space="preserve">F004-202509</t>
        </is>
      </c>
      <c r="H635" s="0" t="inlineStr">
        <is>
          <t xml:space="preserve">Facture SCI Les Halles 2025-09</t>
        </is>
      </c>
      <c r="I635" s="8">
        <v>8500</v>
      </c>
      <c r="J635" s="8">
        <v>0</v>
      </c>
      <c r="K635" s="0"/>
      <c r="L635" s="0"/>
      <c r="M635" s="8">
        <f>I635-J635</f>
      </c>
      <c r="N635" s="0" t="inlineStr">
        <is>
          <t xml:space="preserve">2025-09</t>
        </is>
      </c>
      <c r="O635" s="0">
        <f>INDEX(Journaux!$E$5:$E$18,MATCH("2025|"&amp;A635,Journaux!$A$5:$A$18,0))</f>
      </c>
      <c r="P635" s="0">
        <f>INDEX(Comptes!$K$5:$K$42,MATCH(E635,Comptes!$A$5:$A$42,0))</f>
      </c>
      <c r="Q635" s="0" t="inlineStr">
        <is>
          <t xml:space="preserve">6</t>
        </is>
      </c>
    </row>
    <row r="636">
      <c r="A636" s="4" t="inlineStr">
        <is>
          <t xml:space="preserve">AC</t>
        </is>
      </c>
      <c r="B636" s="0" t="inlineStr">
        <is>
          <t xml:space="preserve">Journal des achats</t>
        </is>
      </c>
      <c r="C636" s="0" t="inlineStr">
        <is>
          <t xml:space="preserve">AC00054</t>
        </is>
      </c>
      <c r="D636" s="10">
        <v>45905</v>
      </c>
      <c r="E636" s="4" t="inlineStr">
        <is>
          <t xml:space="preserve">445660</t>
        </is>
      </c>
      <c r="F636" s="0" t="inlineStr">
        <is>
          <t xml:space="preserve">TVA deductible sur ABS</t>
        </is>
      </c>
      <c r="G636" s="0" t="inlineStr">
        <is>
          <t xml:space="preserve">F004-202509</t>
        </is>
      </c>
      <c r="H636" s="0" t="inlineStr">
        <is>
          <t xml:space="preserve">Facture SCI Les Halles 2025-09</t>
        </is>
      </c>
      <c r="I636" s="8">
        <v>1700</v>
      </c>
      <c r="J636" s="8">
        <v>0</v>
      </c>
      <c r="K636" s="0"/>
      <c r="L636" s="0"/>
      <c r="M636" s="8">
        <f>I636-J636</f>
      </c>
      <c r="N636" s="0" t="inlineStr">
        <is>
          <t xml:space="preserve">2025-09</t>
        </is>
      </c>
      <c r="O636" s="0">
        <f>INDEX(Journaux!$E$5:$E$18,MATCH("2025|"&amp;A636,Journaux!$A$5:$A$18,0))</f>
      </c>
      <c r="P636" s="0">
        <f>INDEX(Comptes!$K$5:$K$42,MATCH(E636,Comptes!$A$5:$A$42,0))</f>
      </c>
      <c r="Q636" s="0" t="inlineStr">
        <is>
          <t xml:space="preserve">4</t>
        </is>
      </c>
    </row>
    <row r="637">
      <c r="A637" s="4" t="inlineStr">
        <is>
          <t xml:space="preserve">AC</t>
        </is>
      </c>
      <c r="B637" s="0" t="inlineStr">
        <is>
          <t xml:space="preserve">Journal des achats</t>
        </is>
      </c>
      <c r="C637" s="0" t="inlineStr">
        <is>
          <t xml:space="preserve">AC00054</t>
        </is>
      </c>
      <c r="D637" s="10">
        <v>45905</v>
      </c>
      <c r="E637" s="4" t="inlineStr">
        <is>
          <t xml:space="preserve">401000</t>
        </is>
      </c>
      <c r="F637" s="0" t="inlineStr">
        <is>
          <t xml:space="preserve">Fournisseurs</t>
        </is>
      </c>
      <c r="G637" s="0" t="inlineStr">
        <is>
          <t xml:space="preserve">F004-202509</t>
        </is>
      </c>
      <c r="H637" s="0" t="inlineStr">
        <is>
          <t xml:space="preserve">Facture SCI Les Halles 2025-09</t>
        </is>
      </c>
      <c r="I637" s="8">
        <v>0</v>
      </c>
      <c r="J637" s="8">
        <v>10200</v>
      </c>
      <c r="K637" s="0" t="inlineStr">
        <is>
          <t xml:space="preserve">ADJ</t>
        </is>
      </c>
      <c r="L637" s="0" t="inlineStr">
        <is>
          <t xml:space="preserve">SCI Les Halles</t>
        </is>
      </c>
      <c r="M637" s="8">
        <f>I637-J637</f>
      </c>
      <c r="N637" s="0" t="inlineStr">
        <is>
          <t xml:space="preserve">2025-09</t>
        </is>
      </c>
      <c r="O637" s="0">
        <f>INDEX(Journaux!$E$5:$E$18,MATCH("2025|"&amp;A637,Journaux!$A$5:$A$18,0))</f>
      </c>
      <c r="P637" s="0">
        <f>INDEX(Comptes!$K$5:$K$42,MATCH(E637,Comptes!$A$5:$A$42,0))</f>
      </c>
      <c r="Q637" s="0" t="inlineStr">
        <is>
          <t xml:space="preserve">4</t>
        </is>
      </c>
      <c r="R637" s="7" t="inlineStr">
        <is>
          <t xml:space="preserve">401000|F004</t>
        </is>
      </c>
    </row>
    <row r="638">
      <c r="A638" s="4" t="inlineStr">
        <is>
          <t xml:space="preserve">AC</t>
        </is>
      </c>
      <c r="B638" s="0" t="inlineStr">
        <is>
          <t xml:space="preserve">Journal des achats</t>
        </is>
      </c>
      <c r="C638" s="0" t="inlineStr">
        <is>
          <t xml:space="preserve">AC00055</t>
        </is>
      </c>
      <c r="D638" s="10">
        <v>45905</v>
      </c>
      <c r="E638" s="4" t="inlineStr">
        <is>
          <t xml:space="preserve">606100</t>
        </is>
      </c>
      <c r="F638" s="0" t="inlineStr">
        <is>
          <t xml:space="preserve">Fournitures non stockables energie</t>
        </is>
      </c>
      <c r="G638" s="0" t="inlineStr">
        <is>
          <t xml:space="preserve">F005-202509</t>
        </is>
      </c>
      <c r="H638" s="0" t="inlineStr">
        <is>
          <t xml:space="preserve">Facture Energie Plus 2025-09</t>
        </is>
      </c>
      <c r="I638" s="8">
        <v>2695.66</v>
      </c>
      <c r="J638" s="8">
        <v>0</v>
      </c>
      <c r="K638" s="0"/>
      <c r="L638" s="0"/>
      <c r="M638" s="8">
        <f>I638-J638</f>
      </c>
      <c r="N638" s="0" t="inlineStr">
        <is>
          <t xml:space="preserve">2025-09</t>
        </is>
      </c>
      <c r="O638" s="0">
        <f>INDEX(Journaux!$E$5:$E$18,MATCH("2025|"&amp;A638,Journaux!$A$5:$A$18,0))</f>
      </c>
      <c r="P638" s="0">
        <f>INDEX(Comptes!$K$5:$K$42,MATCH(E638,Comptes!$A$5:$A$42,0))</f>
      </c>
      <c r="Q638" s="0" t="inlineStr">
        <is>
          <t xml:space="preserve">6</t>
        </is>
      </c>
    </row>
    <row r="639">
      <c r="A639" s="4" t="inlineStr">
        <is>
          <t xml:space="preserve">AC</t>
        </is>
      </c>
      <c r="B639" s="0" t="inlineStr">
        <is>
          <t xml:space="preserve">Journal des achats</t>
        </is>
      </c>
      <c r="C639" s="0" t="inlineStr">
        <is>
          <t xml:space="preserve">AC00055</t>
        </is>
      </c>
      <c r="D639" s="10">
        <v>45905</v>
      </c>
      <c r="E639" s="4" t="inlineStr">
        <is>
          <t xml:space="preserve">445660</t>
        </is>
      </c>
      <c r="F639" s="0" t="inlineStr">
        <is>
          <t xml:space="preserve">TVA deductible sur ABS</t>
        </is>
      </c>
      <c r="G639" s="0" t="inlineStr">
        <is>
          <t xml:space="preserve">F005-202509</t>
        </is>
      </c>
      <c r="H639" s="0" t="inlineStr">
        <is>
          <t xml:space="preserve">Facture Energie Plus 2025-09</t>
        </is>
      </c>
      <c r="I639" s="8">
        <v>539.13</v>
      </c>
      <c r="J639" s="8">
        <v>0</v>
      </c>
      <c r="K639" s="0"/>
      <c r="L639" s="0"/>
      <c r="M639" s="8">
        <f>I639-J639</f>
      </c>
      <c r="N639" s="0" t="inlineStr">
        <is>
          <t xml:space="preserve">2025-09</t>
        </is>
      </c>
      <c r="O639" s="0">
        <f>INDEX(Journaux!$E$5:$E$18,MATCH("2025|"&amp;A639,Journaux!$A$5:$A$18,0))</f>
      </c>
      <c r="P639" s="0">
        <f>INDEX(Comptes!$K$5:$K$42,MATCH(E639,Comptes!$A$5:$A$42,0))</f>
      </c>
      <c r="Q639" s="0" t="inlineStr">
        <is>
          <t xml:space="preserve">4</t>
        </is>
      </c>
    </row>
    <row r="640">
      <c r="A640" s="4" t="inlineStr">
        <is>
          <t xml:space="preserve">AC</t>
        </is>
      </c>
      <c r="B640" s="0" t="inlineStr">
        <is>
          <t xml:space="preserve">Journal des achats</t>
        </is>
      </c>
      <c r="C640" s="0" t="inlineStr">
        <is>
          <t xml:space="preserve">AC00055</t>
        </is>
      </c>
      <c r="D640" s="10">
        <v>45905</v>
      </c>
      <c r="E640" s="4" t="inlineStr">
        <is>
          <t xml:space="preserve">401000</t>
        </is>
      </c>
      <c r="F640" s="0" t="inlineStr">
        <is>
          <t xml:space="preserve">Fournisseurs</t>
        </is>
      </c>
      <c r="G640" s="0" t="inlineStr">
        <is>
          <t xml:space="preserve">F005-202509</t>
        </is>
      </c>
      <c r="H640" s="0" t="inlineStr">
        <is>
          <t xml:space="preserve">Facture Energie Plus 2025-09</t>
        </is>
      </c>
      <c r="I640" s="8">
        <v>0</v>
      </c>
      <c r="J640" s="8">
        <v>3234.79</v>
      </c>
      <c r="K640" s="0" t="inlineStr">
        <is>
          <t xml:space="preserve">ADK</t>
        </is>
      </c>
      <c r="L640" s="0" t="inlineStr">
        <is>
          <t xml:space="preserve">Energie Plus</t>
        </is>
      </c>
      <c r="M640" s="8">
        <f>I640-J640</f>
      </c>
      <c r="N640" s="0" t="inlineStr">
        <is>
          <t xml:space="preserve">2025-09</t>
        </is>
      </c>
      <c r="O640" s="0">
        <f>INDEX(Journaux!$E$5:$E$18,MATCH("2025|"&amp;A640,Journaux!$A$5:$A$18,0))</f>
      </c>
      <c r="P640" s="0">
        <f>INDEX(Comptes!$K$5:$K$42,MATCH(E640,Comptes!$A$5:$A$42,0))</f>
      </c>
      <c r="Q640" s="0" t="inlineStr">
        <is>
          <t xml:space="preserve">4</t>
        </is>
      </c>
      <c r="R640" s="7" t="inlineStr">
        <is>
          <t xml:space="preserve">401000|F005</t>
        </is>
      </c>
    </row>
    <row r="641">
      <c r="A641" s="4" t="inlineStr">
        <is>
          <t xml:space="preserve">AC</t>
        </is>
      </c>
      <c r="B641" s="0" t="inlineStr">
        <is>
          <t xml:space="preserve">Journal des achats</t>
        </is>
      </c>
      <c r="C641" s="0" t="inlineStr">
        <is>
          <t xml:space="preserve">AC00056</t>
        </is>
      </c>
      <c r="D641" s="10">
        <v>45905</v>
      </c>
      <c r="E641" s="4" t="inlineStr">
        <is>
          <t xml:space="preserve">626000</t>
        </is>
      </c>
      <c r="F641" s="0" t="inlineStr">
        <is>
          <t xml:space="preserve">Frais postaux et telecommunications</t>
        </is>
      </c>
      <c r="G641" s="0" t="inlineStr">
        <is>
          <t xml:space="preserve">F008-202509</t>
        </is>
      </c>
      <c r="H641" s="0" t="inlineStr">
        <is>
          <t xml:space="preserve">Facture Telecom Pro 2025-09</t>
        </is>
      </c>
      <c r="I641" s="8">
        <v>480</v>
      </c>
      <c r="J641" s="8">
        <v>0</v>
      </c>
      <c r="K641" s="0"/>
      <c r="L641" s="0"/>
      <c r="M641" s="8">
        <f>I641-J641</f>
      </c>
      <c r="N641" s="0" t="inlineStr">
        <is>
          <t xml:space="preserve">2025-09</t>
        </is>
      </c>
      <c r="O641" s="0">
        <f>INDEX(Journaux!$E$5:$E$18,MATCH("2025|"&amp;A641,Journaux!$A$5:$A$18,0))</f>
      </c>
      <c r="P641" s="0">
        <f>INDEX(Comptes!$K$5:$K$42,MATCH(E641,Comptes!$A$5:$A$42,0))</f>
      </c>
      <c r="Q641" s="0" t="inlineStr">
        <is>
          <t xml:space="preserve">6</t>
        </is>
      </c>
    </row>
    <row r="642">
      <c r="A642" s="4" t="inlineStr">
        <is>
          <t xml:space="preserve">AC</t>
        </is>
      </c>
      <c r="B642" s="0" t="inlineStr">
        <is>
          <t xml:space="preserve">Journal des achats</t>
        </is>
      </c>
      <c r="C642" s="0" t="inlineStr">
        <is>
          <t xml:space="preserve">AC00056</t>
        </is>
      </c>
      <c r="D642" s="10">
        <v>45905</v>
      </c>
      <c r="E642" s="4" t="inlineStr">
        <is>
          <t xml:space="preserve">445660</t>
        </is>
      </c>
      <c r="F642" s="0" t="inlineStr">
        <is>
          <t xml:space="preserve">TVA deductible sur ABS</t>
        </is>
      </c>
      <c r="G642" s="0" t="inlineStr">
        <is>
          <t xml:space="preserve">F008-202509</t>
        </is>
      </c>
      <c r="H642" s="0" t="inlineStr">
        <is>
          <t xml:space="preserve">Facture Telecom Pro 2025-09</t>
        </is>
      </c>
      <c r="I642" s="8">
        <v>96</v>
      </c>
      <c r="J642" s="8">
        <v>0</v>
      </c>
      <c r="K642" s="0"/>
      <c r="L642" s="0"/>
      <c r="M642" s="8">
        <f>I642-J642</f>
      </c>
      <c r="N642" s="0" t="inlineStr">
        <is>
          <t xml:space="preserve">2025-09</t>
        </is>
      </c>
      <c r="O642" s="0">
        <f>INDEX(Journaux!$E$5:$E$18,MATCH("2025|"&amp;A642,Journaux!$A$5:$A$18,0))</f>
      </c>
      <c r="P642" s="0">
        <f>INDEX(Comptes!$K$5:$K$42,MATCH(E642,Comptes!$A$5:$A$42,0))</f>
      </c>
      <c r="Q642" s="0" t="inlineStr">
        <is>
          <t xml:space="preserve">4</t>
        </is>
      </c>
    </row>
    <row r="643">
      <c r="A643" s="4" t="inlineStr">
        <is>
          <t xml:space="preserve">AC</t>
        </is>
      </c>
      <c r="B643" s="0" t="inlineStr">
        <is>
          <t xml:space="preserve">Journal des achats</t>
        </is>
      </c>
      <c r="C643" s="0" t="inlineStr">
        <is>
          <t xml:space="preserve">AC00056</t>
        </is>
      </c>
      <c r="D643" s="10">
        <v>45905</v>
      </c>
      <c r="E643" s="4" t="inlineStr">
        <is>
          <t xml:space="preserve">401000</t>
        </is>
      </c>
      <c r="F643" s="0" t="inlineStr">
        <is>
          <t xml:space="preserve">Fournisseurs</t>
        </is>
      </c>
      <c r="G643" s="0" t="inlineStr">
        <is>
          <t xml:space="preserve">F008-202509</t>
        </is>
      </c>
      <c r="H643" s="0" t="inlineStr">
        <is>
          <t xml:space="preserve">Facture Telecom Pro 2025-09</t>
        </is>
      </c>
      <c r="I643" s="8">
        <v>0</v>
      </c>
      <c r="J643" s="8">
        <v>576</v>
      </c>
      <c r="K643" s="0" t="inlineStr">
        <is>
          <t xml:space="preserve">ADL</t>
        </is>
      </c>
      <c r="L643" s="0" t="inlineStr">
        <is>
          <t xml:space="preserve">Telecom Pro</t>
        </is>
      </c>
      <c r="M643" s="8">
        <f>I643-J643</f>
      </c>
      <c r="N643" s="0" t="inlineStr">
        <is>
          <t xml:space="preserve">2025-09</t>
        </is>
      </c>
      <c r="O643" s="0">
        <f>INDEX(Journaux!$E$5:$E$18,MATCH("2025|"&amp;A643,Journaux!$A$5:$A$18,0))</f>
      </c>
      <c r="P643" s="0">
        <f>INDEX(Comptes!$K$5:$K$42,MATCH(E643,Comptes!$A$5:$A$42,0))</f>
      </c>
      <c r="Q643" s="0" t="inlineStr">
        <is>
          <t xml:space="preserve">4</t>
        </is>
      </c>
      <c r="R643" s="7" t="inlineStr">
        <is>
          <t xml:space="preserve">401000|F008</t>
        </is>
      </c>
    </row>
    <row r="644">
      <c r="A644" s="4" t="inlineStr">
        <is>
          <t xml:space="preserve">AC</t>
        </is>
      </c>
      <c r="B644" s="0" t="inlineStr">
        <is>
          <t xml:space="preserve">Journal des achats</t>
        </is>
      </c>
      <c r="C644" s="0" t="inlineStr">
        <is>
          <t xml:space="preserve">AC00057</t>
        </is>
      </c>
      <c r="D644" s="10">
        <v>45905</v>
      </c>
      <c r="E644" s="4" t="inlineStr">
        <is>
          <t xml:space="preserve">622600</t>
        </is>
      </c>
      <c r="F644" s="0" t="inlineStr">
        <is>
          <t xml:space="preserve">Honoraires</t>
        </is>
      </c>
      <c r="G644" s="0" t="inlineStr">
        <is>
          <t xml:space="preserve">F007-202509</t>
        </is>
      </c>
      <c r="H644" s="0" t="inlineStr">
        <is>
          <t xml:space="preserve">Facture Cabinet Comptable Exemple 2025-09</t>
        </is>
      </c>
      <c r="I644" s="8">
        <v>6000</v>
      </c>
      <c r="J644" s="8">
        <v>0</v>
      </c>
      <c r="K644" s="0"/>
      <c r="L644" s="0"/>
      <c r="M644" s="8">
        <f>I644-J644</f>
      </c>
      <c r="N644" s="0" t="inlineStr">
        <is>
          <t xml:space="preserve">2025-09</t>
        </is>
      </c>
      <c r="O644" s="0">
        <f>INDEX(Journaux!$E$5:$E$18,MATCH("2025|"&amp;A644,Journaux!$A$5:$A$18,0))</f>
      </c>
      <c r="P644" s="0">
        <f>INDEX(Comptes!$K$5:$K$42,MATCH(E644,Comptes!$A$5:$A$42,0))</f>
      </c>
      <c r="Q644" s="0" t="inlineStr">
        <is>
          <t xml:space="preserve">6</t>
        </is>
      </c>
    </row>
    <row r="645">
      <c r="A645" s="4" t="inlineStr">
        <is>
          <t xml:space="preserve">AC</t>
        </is>
      </c>
      <c r="B645" s="0" t="inlineStr">
        <is>
          <t xml:space="preserve">Journal des achats</t>
        </is>
      </c>
      <c r="C645" s="0" t="inlineStr">
        <is>
          <t xml:space="preserve">AC00057</t>
        </is>
      </c>
      <c r="D645" s="10">
        <v>45905</v>
      </c>
      <c r="E645" s="4" t="inlineStr">
        <is>
          <t xml:space="preserve">445660</t>
        </is>
      </c>
      <c r="F645" s="0" t="inlineStr">
        <is>
          <t xml:space="preserve">TVA deductible sur ABS</t>
        </is>
      </c>
      <c r="G645" s="0" t="inlineStr">
        <is>
          <t xml:space="preserve">F007-202509</t>
        </is>
      </c>
      <c r="H645" s="0" t="inlineStr">
        <is>
          <t xml:space="preserve">Facture Cabinet Comptable Exemple 2025-09</t>
        </is>
      </c>
      <c r="I645" s="8">
        <v>1200</v>
      </c>
      <c r="J645" s="8">
        <v>0</v>
      </c>
      <c r="K645" s="0"/>
      <c r="L645" s="0"/>
      <c r="M645" s="8">
        <f>I645-J645</f>
      </c>
      <c r="N645" s="0" t="inlineStr">
        <is>
          <t xml:space="preserve">2025-09</t>
        </is>
      </c>
      <c r="O645" s="0">
        <f>INDEX(Journaux!$E$5:$E$18,MATCH("2025|"&amp;A645,Journaux!$A$5:$A$18,0))</f>
      </c>
      <c r="P645" s="0">
        <f>INDEX(Comptes!$K$5:$K$42,MATCH(E645,Comptes!$A$5:$A$42,0))</f>
      </c>
      <c r="Q645" s="0" t="inlineStr">
        <is>
          <t xml:space="preserve">4</t>
        </is>
      </c>
    </row>
    <row r="646">
      <c r="A646" s="4" t="inlineStr">
        <is>
          <t xml:space="preserve">AC</t>
        </is>
      </c>
      <c r="B646" s="0" t="inlineStr">
        <is>
          <t xml:space="preserve">Journal des achats</t>
        </is>
      </c>
      <c r="C646" s="0" t="inlineStr">
        <is>
          <t xml:space="preserve">AC00057</t>
        </is>
      </c>
      <c r="D646" s="10">
        <v>45905</v>
      </c>
      <c r="E646" s="4" t="inlineStr">
        <is>
          <t xml:space="preserve">401000</t>
        </is>
      </c>
      <c r="F646" s="0" t="inlineStr">
        <is>
          <t xml:space="preserve">Fournisseurs</t>
        </is>
      </c>
      <c r="G646" s="0" t="inlineStr">
        <is>
          <t xml:space="preserve">F007-202509</t>
        </is>
      </c>
      <c r="H646" s="0" t="inlineStr">
        <is>
          <t xml:space="preserve">Facture Cabinet Comptable Exemple 2025-09</t>
        </is>
      </c>
      <c r="I646" s="8">
        <v>0</v>
      </c>
      <c r="J646" s="8">
        <v>7200</v>
      </c>
      <c r="K646" s="0" t="inlineStr">
        <is>
          <t xml:space="preserve">ADM</t>
        </is>
      </c>
      <c r="L646" s="0" t="inlineStr">
        <is>
          <t xml:space="preserve">Cabinet Comptable Exemple</t>
        </is>
      </c>
      <c r="M646" s="8">
        <f>I646-J646</f>
      </c>
      <c r="N646" s="0" t="inlineStr">
        <is>
          <t xml:space="preserve">2025-09</t>
        </is>
      </c>
      <c r="O646" s="0">
        <f>INDEX(Journaux!$E$5:$E$18,MATCH("2025|"&amp;A646,Journaux!$A$5:$A$18,0))</f>
      </c>
      <c r="P646" s="0">
        <f>INDEX(Comptes!$K$5:$K$42,MATCH(E646,Comptes!$A$5:$A$42,0))</f>
      </c>
      <c r="Q646" s="0" t="inlineStr">
        <is>
          <t xml:space="preserve">4</t>
        </is>
      </c>
      <c r="R646" s="7" t="inlineStr">
        <is>
          <t xml:space="preserve">401000|F007</t>
        </is>
      </c>
    </row>
    <row r="647">
      <c r="A647" s="4" t="inlineStr">
        <is>
          <t xml:space="preserve">BQ</t>
        </is>
      </c>
      <c r="B647" s="0" t="inlineStr">
        <is>
          <t xml:space="preserve">Banque Fictive</t>
        </is>
      </c>
      <c r="C647" s="0" t="inlineStr">
        <is>
          <t xml:space="preserve">BQ00096</t>
        </is>
      </c>
      <c r="D647" s="10">
        <v>45908</v>
      </c>
      <c r="E647" s="4" t="inlineStr">
        <is>
          <t xml:space="preserve">512000</t>
        </is>
      </c>
      <c r="F647" s="0" t="inlineStr">
        <is>
          <t xml:space="preserve">Banque Fictive</t>
        </is>
      </c>
      <c r="G647" s="0" t="inlineStr">
        <is>
          <t xml:space="preserve">ENC-FA2025-0029</t>
        </is>
      </c>
      <c r="H647" s="0" t="inlineStr">
        <is>
          <t xml:space="preserve">Reglement client Residence Bel Air FA2025-0029</t>
        </is>
      </c>
      <c r="I647" s="8">
        <v>31143.24</v>
      </c>
      <c r="J647" s="8">
        <v>0</v>
      </c>
      <c r="K647" s="0"/>
      <c r="L647" s="0"/>
      <c r="M647" s="8">
        <f>I647-J647</f>
      </c>
      <c r="N647" s="0" t="inlineStr">
        <is>
          <t xml:space="preserve">2025-09</t>
        </is>
      </c>
      <c r="O647" s="0">
        <f>INDEX(Journaux!$E$5:$E$18,MATCH("2025|"&amp;A647,Journaux!$A$5:$A$18,0))</f>
      </c>
      <c r="P647" s="0">
        <f>INDEX(Comptes!$K$5:$K$42,MATCH(E647,Comptes!$A$5:$A$42,0))</f>
      </c>
      <c r="Q647" s="0" t="inlineStr">
        <is>
          <t xml:space="preserve">5</t>
        </is>
      </c>
    </row>
    <row r="648">
      <c r="A648" s="4" t="inlineStr">
        <is>
          <t xml:space="preserve">BQ</t>
        </is>
      </c>
      <c r="B648" s="0" t="inlineStr">
        <is>
          <t xml:space="preserve">Banque Fictive</t>
        </is>
      </c>
      <c r="C648" s="0" t="inlineStr">
        <is>
          <t xml:space="preserve">BQ00096</t>
        </is>
      </c>
      <c r="D648" s="10">
        <v>45908</v>
      </c>
      <c r="E648" s="4" t="inlineStr">
        <is>
          <t xml:space="preserve">411000</t>
        </is>
      </c>
      <c r="F648" s="0" t="inlineStr">
        <is>
          <t xml:space="preserve">Clients</t>
        </is>
      </c>
      <c r="G648" s="0" t="inlineStr">
        <is>
          <t xml:space="preserve">ENC-FA2025-0029</t>
        </is>
      </c>
      <c r="H648" s="0" t="inlineStr">
        <is>
          <t xml:space="preserve">Reglement client Residence Bel Air FA2025-0029</t>
        </is>
      </c>
      <c r="I648" s="8">
        <v>0</v>
      </c>
      <c r="J648" s="8">
        <v>31143.24</v>
      </c>
      <c r="K648" s="0" t="inlineStr">
        <is>
          <t xml:space="preserve">AAK</t>
        </is>
      </c>
      <c r="L648" s="0" t="inlineStr">
        <is>
          <t xml:space="preserve">Residence Bel Air</t>
        </is>
      </c>
      <c r="M648" s="8">
        <f>I648-J648</f>
      </c>
      <c r="N648" s="0" t="inlineStr">
        <is>
          <t xml:space="preserve">2025-09</t>
        </is>
      </c>
      <c r="O648" s="0">
        <f>INDEX(Journaux!$E$5:$E$18,MATCH("2025|"&amp;A648,Journaux!$A$5:$A$18,0))</f>
      </c>
      <c r="P648" s="0">
        <f>INDEX(Comptes!$K$5:$K$42,MATCH(E648,Comptes!$A$5:$A$42,0))</f>
      </c>
      <c r="Q648" s="0" t="inlineStr">
        <is>
          <t xml:space="preserve">4</t>
        </is>
      </c>
      <c r="R648" s="7" t="inlineStr">
        <is>
          <t xml:space="preserve">411000|C003</t>
        </is>
      </c>
    </row>
    <row r="649">
      <c r="A649" s="4" t="inlineStr">
        <is>
          <t xml:space="preserve">BQ</t>
        </is>
      </c>
      <c r="B649" s="0" t="inlineStr">
        <is>
          <t xml:space="preserve">Banque Fictive</t>
        </is>
      </c>
      <c r="C649" s="0" t="inlineStr">
        <is>
          <t xml:space="preserve">BQ00026</t>
        </is>
      </c>
      <c r="D649" s="10">
        <v>45910</v>
      </c>
      <c r="E649" s="4" t="inlineStr">
        <is>
          <t xml:space="preserve">164000</t>
        </is>
      </c>
      <c r="F649" s="0" t="inlineStr">
        <is>
          <t xml:space="preserve">Emprunts aupres des etablissements de credit</t>
        </is>
      </c>
      <c r="G649" s="0" t="inlineStr">
        <is>
          <t xml:space="preserve">ECH202509</t>
        </is>
      </c>
      <c r="H649" s="0" t="inlineStr">
        <is>
          <t xml:space="preserve">Echeance emprunt 09/2025</t>
        </is>
      </c>
      <c r="I649" s="8">
        <v>2000</v>
      </c>
      <c r="J649" s="8">
        <v>0</v>
      </c>
      <c r="K649" s="0"/>
      <c r="L649" s="0"/>
      <c r="M649" s="8">
        <f>I649-J649</f>
      </c>
      <c r="N649" s="0" t="inlineStr">
        <is>
          <t xml:space="preserve">2025-09</t>
        </is>
      </c>
      <c r="O649" s="0">
        <f>INDEX(Journaux!$E$5:$E$18,MATCH("2025|"&amp;A649,Journaux!$A$5:$A$18,0))</f>
      </c>
      <c r="P649" s="0">
        <f>INDEX(Comptes!$K$5:$K$42,MATCH(E649,Comptes!$A$5:$A$42,0))</f>
      </c>
      <c r="Q649" s="0" t="inlineStr">
        <is>
          <t xml:space="preserve">1</t>
        </is>
      </c>
    </row>
    <row r="650">
      <c r="A650" s="4" t="inlineStr">
        <is>
          <t xml:space="preserve">BQ</t>
        </is>
      </c>
      <c r="B650" s="0" t="inlineStr">
        <is>
          <t xml:space="preserve">Banque Fictive</t>
        </is>
      </c>
      <c r="C650" s="0" t="inlineStr">
        <is>
          <t xml:space="preserve">BQ00026</t>
        </is>
      </c>
      <c r="D650" s="10">
        <v>45910</v>
      </c>
      <c r="E650" s="4" t="inlineStr">
        <is>
          <t xml:space="preserve">661100</t>
        </is>
      </c>
      <c r="F650" s="0" t="inlineStr">
        <is>
          <t xml:space="preserve">Interets des emprunts</t>
        </is>
      </c>
      <c r="G650" s="0" t="inlineStr">
        <is>
          <t xml:space="preserve">ECH202509</t>
        </is>
      </c>
      <c r="H650" s="0" t="inlineStr">
        <is>
          <t xml:space="preserve">Echeance emprunt 09/2025</t>
        </is>
      </c>
      <c r="I650" s="8">
        <v>166.67</v>
      </c>
      <c r="J650" s="8">
        <v>0</v>
      </c>
      <c r="K650" s="0"/>
      <c r="L650" s="0"/>
      <c r="M650" s="8">
        <f>I650-J650</f>
      </c>
      <c r="N650" s="0" t="inlineStr">
        <is>
          <t xml:space="preserve">2025-09</t>
        </is>
      </c>
      <c r="O650" s="0">
        <f>INDEX(Journaux!$E$5:$E$18,MATCH("2025|"&amp;A650,Journaux!$A$5:$A$18,0))</f>
      </c>
      <c r="P650" s="0">
        <f>INDEX(Comptes!$K$5:$K$42,MATCH(E650,Comptes!$A$5:$A$42,0))</f>
      </c>
      <c r="Q650" s="0" t="inlineStr">
        <is>
          <t xml:space="preserve">6</t>
        </is>
      </c>
    </row>
    <row r="651">
      <c r="A651" s="4" t="inlineStr">
        <is>
          <t xml:space="preserve">BQ</t>
        </is>
      </c>
      <c r="B651" s="0" t="inlineStr">
        <is>
          <t xml:space="preserve">Banque Fictive</t>
        </is>
      </c>
      <c r="C651" s="0" t="inlineStr">
        <is>
          <t xml:space="preserve">BQ00026</t>
        </is>
      </c>
      <c r="D651" s="10">
        <v>45910</v>
      </c>
      <c r="E651" s="4" t="inlineStr">
        <is>
          <t xml:space="preserve">512000</t>
        </is>
      </c>
      <c r="F651" s="0" t="inlineStr">
        <is>
          <t xml:space="preserve">Banque Fictive</t>
        </is>
      </c>
      <c r="G651" s="0" t="inlineStr">
        <is>
          <t xml:space="preserve">ECH202509</t>
        </is>
      </c>
      <c r="H651" s="0" t="inlineStr">
        <is>
          <t xml:space="preserve">Echeance emprunt 09/2025</t>
        </is>
      </c>
      <c r="I651" s="8">
        <v>0</v>
      </c>
      <c r="J651" s="8">
        <v>2166.67</v>
      </c>
      <c r="K651" s="0"/>
      <c r="L651" s="0"/>
      <c r="M651" s="8">
        <f>I651-J651</f>
      </c>
      <c r="N651" s="0" t="inlineStr">
        <is>
          <t xml:space="preserve">2025-09</t>
        </is>
      </c>
      <c r="O651" s="0">
        <f>INDEX(Journaux!$E$5:$E$18,MATCH("2025|"&amp;A651,Journaux!$A$5:$A$18,0))</f>
      </c>
      <c r="P651" s="0">
        <f>INDEX(Comptes!$K$5:$K$42,MATCH(E651,Comptes!$A$5:$A$42,0))</f>
      </c>
      <c r="Q651" s="0" t="inlineStr">
        <is>
          <t xml:space="preserve">5</t>
        </is>
      </c>
    </row>
    <row r="652">
      <c r="A652" s="4" t="inlineStr">
        <is>
          <t xml:space="preserve">VT</t>
        </is>
      </c>
      <c r="B652" s="0" t="inlineStr">
        <is>
          <t xml:space="preserve">Journal des ventes</t>
        </is>
      </c>
      <c r="C652" s="0" t="inlineStr">
        <is>
          <t xml:space="preserve">VT00038</t>
        </is>
      </c>
      <c r="D652" s="10">
        <v>45910</v>
      </c>
      <c r="E652" s="4" t="inlineStr">
        <is>
          <t xml:space="preserve">411000</t>
        </is>
      </c>
      <c r="F652" s="0" t="inlineStr">
        <is>
          <t xml:space="preserve">Clients</t>
        </is>
      </c>
      <c r="G652" s="0" t="inlineStr">
        <is>
          <t xml:space="preserve">FA2025-0038</t>
        </is>
      </c>
      <c r="H652" s="0" t="inlineStr">
        <is>
          <t xml:space="preserve">Facture FA2025-0038 Coworking Atelier 9</t>
        </is>
      </c>
      <c r="I652" s="8">
        <v>31087.38</v>
      </c>
      <c r="J652" s="8">
        <v>0</v>
      </c>
      <c r="K652" s="0" t="inlineStr">
        <is>
          <t xml:space="preserve">AAT</t>
        </is>
      </c>
      <c r="L652" s="0" t="inlineStr">
        <is>
          <t xml:space="preserve">Coworking Atelier 9</t>
        </is>
      </c>
      <c r="M652" s="8">
        <f>I652-J652</f>
      </c>
      <c r="N652" s="0" t="inlineStr">
        <is>
          <t xml:space="preserve">2025-09</t>
        </is>
      </c>
      <c r="O652" s="0">
        <f>INDEX(Journaux!$E$5:$E$18,MATCH("2025|"&amp;A652,Journaux!$A$5:$A$18,0))</f>
      </c>
      <c r="P652" s="0">
        <f>INDEX(Comptes!$K$5:$K$42,MATCH(E652,Comptes!$A$5:$A$42,0))</f>
      </c>
      <c r="Q652" s="0" t="inlineStr">
        <is>
          <t xml:space="preserve">4</t>
        </is>
      </c>
      <c r="R652" s="7" t="inlineStr">
        <is>
          <t xml:space="preserve">411000|C008</t>
        </is>
      </c>
    </row>
    <row r="653">
      <c r="A653" s="4" t="inlineStr">
        <is>
          <t xml:space="preserve">VT</t>
        </is>
      </c>
      <c r="B653" s="0" t="inlineStr">
        <is>
          <t xml:space="preserve">Journal des ventes</t>
        </is>
      </c>
      <c r="C653" s="0" t="inlineStr">
        <is>
          <t xml:space="preserve">VT00038</t>
        </is>
      </c>
      <c r="D653" s="10">
        <v>45910</v>
      </c>
      <c r="E653" s="4" t="inlineStr">
        <is>
          <t xml:space="preserve">701000</t>
        </is>
      </c>
      <c r="F653" s="0" t="inlineStr">
        <is>
          <t xml:space="preserve">Ventes de produits finis</t>
        </is>
      </c>
      <c r="G653" s="0" t="inlineStr">
        <is>
          <t xml:space="preserve">FA2025-0038</t>
        </is>
      </c>
      <c r="H653" s="0" t="inlineStr">
        <is>
          <t xml:space="preserve">Facture FA2025-0038 Coworking Atelier 9</t>
        </is>
      </c>
      <c r="I653" s="8">
        <v>0</v>
      </c>
      <c r="J653" s="8">
        <v>25906.15</v>
      </c>
      <c r="K653" s="0"/>
      <c r="L653" s="0"/>
      <c r="M653" s="8">
        <f>I653-J653</f>
      </c>
      <c r="N653" s="0" t="inlineStr">
        <is>
          <t xml:space="preserve">2025-09</t>
        </is>
      </c>
      <c r="O653" s="0">
        <f>INDEX(Journaux!$E$5:$E$18,MATCH("2025|"&amp;A653,Journaux!$A$5:$A$18,0))</f>
      </c>
      <c r="P653" s="0">
        <f>INDEX(Comptes!$K$5:$K$42,MATCH(E653,Comptes!$A$5:$A$42,0))</f>
      </c>
      <c r="Q653" s="0" t="inlineStr">
        <is>
          <t xml:space="preserve">7</t>
        </is>
      </c>
    </row>
    <row r="654">
      <c r="A654" s="4" t="inlineStr">
        <is>
          <t xml:space="preserve">VT</t>
        </is>
      </c>
      <c r="B654" s="0" t="inlineStr">
        <is>
          <t xml:space="preserve">Journal des ventes</t>
        </is>
      </c>
      <c r="C654" s="0" t="inlineStr">
        <is>
          <t xml:space="preserve">VT00038</t>
        </is>
      </c>
      <c r="D654" s="10">
        <v>45910</v>
      </c>
      <c r="E654" s="4" t="inlineStr">
        <is>
          <t xml:space="preserve">445710</t>
        </is>
      </c>
      <c r="F654" s="0" t="inlineStr">
        <is>
          <t xml:space="preserve">TVA collectee</t>
        </is>
      </c>
      <c r="G654" s="0" t="inlineStr">
        <is>
          <t xml:space="preserve">FA2025-0038</t>
        </is>
      </c>
      <c r="H654" s="0" t="inlineStr">
        <is>
          <t xml:space="preserve">Facture FA2025-0038 Coworking Atelier 9</t>
        </is>
      </c>
      <c r="I654" s="8">
        <v>0</v>
      </c>
      <c r="J654" s="8">
        <v>5181.23</v>
      </c>
      <c r="K654" s="0"/>
      <c r="L654" s="0"/>
      <c r="M654" s="8">
        <f>I654-J654</f>
      </c>
      <c r="N654" s="0" t="inlineStr">
        <is>
          <t xml:space="preserve">2025-09</t>
        </is>
      </c>
      <c r="O654" s="0">
        <f>INDEX(Journaux!$E$5:$E$18,MATCH("2025|"&amp;A654,Journaux!$A$5:$A$18,0))</f>
      </c>
      <c r="P654" s="0">
        <f>INDEX(Comptes!$K$5:$K$42,MATCH(E654,Comptes!$A$5:$A$42,0))</f>
      </c>
      <c r="Q654" s="0" t="inlineStr">
        <is>
          <t xml:space="preserve">4</t>
        </is>
      </c>
    </row>
    <row r="655">
      <c r="A655" s="4" t="inlineStr">
        <is>
          <t xml:space="preserve">BQ</t>
        </is>
      </c>
      <c r="B655" s="0" t="inlineStr">
        <is>
          <t xml:space="preserve">Banque Fictive</t>
        </is>
      </c>
      <c r="C655" s="0" t="inlineStr">
        <is>
          <t xml:space="preserve">BQ00054</t>
        </is>
      </c>
      <c r="D655" s="10">
        <v>45915</v>
      </c>
      <c r="E655" s="4" t="inlineStr">
        <is>
          <t xml:space="preserve">431000</t>
        </is>
      </c>
      <c r="F655" s="0" t="inlineStr">
        <is>
          <t xml:space="preserve">Securite sociale</t>
        </is>
      </c>
      <c r="G655" s="0" t="inlineStr">
        <is>
          <t xml:space="preserve">URSSAF202508</t>
        </is>
      </c>
      <c r="H655" s="0" t="inlineStr">
        <is>
          <t xml:space="preserve">Reglement URSSAF 08/2025</t>
        </is>
      </c>
      <c r="I655" s="8">
        <v>31562.21</v>
      </c>
      <c r="J655" s="8">
        <v>0</v>
      </c>
      <c r="K655" s="0"/>
      <c r="L655" s="0"/>
      <c r="M655" s="8">
        <f>I655-J655</f>
      </c>
      <c r="N655" s="0" t="inlineStr">
        <is>
          <t xml:space="preserve">2025-09</t>
        </is>
      </c>
      <c r="O655" s="0">
        <f>INDEX(Journaux!$E$5:$E$18,MATCH("2025|"&amp;A655,Journaux!$A$5:$A$18,0))</f>
      </c>
      <c r="P655" s="0">
        <f>INDEX(Comptes!$K$5:$K$42,MATCH(E655,Comptes!$A$5:$A$42,0))</f>
      </c>
      <c r="Q655" s="0" t="inlineStr">
        <is>
          <t xml:space="preserve">4</t>
        </is>
      </c>
    </row>
    <row r="656">
      <c r="A656" s="4" t="inlineStr">
        <is>
          <t xml:space="preserve">BQ</t>
        </is>
      </c>
      <c r="B656" s="0" t="inlineStr">
        <is>
          <t xml:space="preserve">Banque Fictive</t>
        </is>
      </c>
      <c r="C656" s="0" t="inlineStr">
        <is>
          <t xml:space="preserve">BQ00054</t>
        </is>
      </c>
      <c r="D656" s="10">
        <v>45915</v>
      </c>
      <c r="E656" s="4" t="inlineStr">
        <is>
          <t xml:space="preserve">512000</t>
        </is>
      </c>
      <c r="F656" s="0" t="inlineStr">
        <is>
          <t xml:space="preserve">Banque Fictive</t>
        </is>
      </c>
      <c r="G656" s="0" t="inlineStr">
        <is>
          <t xml:space="preserve">URSSAF202508</t>
        </is>
      </c>
      <c r="H656" s="0" t="inlineStr">
        <is>
          <t xml:space="preserve">Reglement URSSAF 08/2025</t>
        </is>
      </c>
      <c r="I656" s="8">
        <v>0</v>
      </c>
      <c r="J656" s="8">
        <v>31562.21</v>
      </c>
      <c r="K656" s="0"/>
      <c r="L656" s="0"/>
      <c r="M656" s="8">
        <f>I656-J656</f>
      </c>
      <c r="N656" s="0" t="inlineStr">
        <is>
          <t xml:space="preserve">2025-09</t>
        </is>
      </c>
      <c r="O656" s="0">
        <f>INDEX(Journaux!$E$5:$E$18,MATCH("2025|"&amp;A656,Journaux!$A$5:$A$18,0))</f>
      </c>
      <c r="P656" s="0">
        <f>INDEX(Comptes!$K$5:$K$42,MATCH(E656,Comptes!$A$5:$A$42,0))</f>
      </c>
      <c r="Q656" s="0" t="inlineStr">
        <is>
          <t xml:space="preserve">5</t>
        </is>
      </c>
    </row>
    <row r="657">
      <c r="A657" s="4" t="inlineStr">
        <is>
          <t xml:space="preserve">BQ</t>
        </is>
      </c>
      <c r="B657" s="0" t="inlineStr">
        <is>
          <t xml:space="preserve">Banque Fictive</t>
        </is>
      </c>
      <c r="C657" s="0" t="inlineStr">
        <is>
          <t xml:space="preserve">BQ00097</t>
        </is>
      </c>
      <c r="D657" s="10">
        <v>45915</v>
      </c>
      <c r="E657" s="4" t="inlineStr">
        <is>
          <t xml:space="preserve">512000</t>
        </is>
      </c>
      <c r="F657" s="0" t="inlineStr">
        <is>
          <t xml:space="preserve">Banque Fictive</t>
        </is>
      </c>
      <c r="G657" s="0" t="inlineStr">
        <is>
          <t xml:space="preserve">ENC-FA2025-0030</t>
        </is>
      </c>
      <c r="H657" s="0" t="inlineStr">
        <is>
          <t xml:space="preserve">Reglement client Agence Mobilis FA2025-0030</t>
        </is>
      </c>
      <c r="I657" s="8">
        <v>31229.57</v>
      </c>
      <c r="J657" s="8">
        <v>0</v>
      </c>
      <c r="K657" s="0"/>
      <c r="L657" s="0"/>
      <c r="M657" s="8">
        <f>I657-J657</f>
      </c>
      <c r="N657" s="0" t="inlineStr">
        <is>
          <t xml:space="preserve">2025-09</t>
        </is>
      </c>
      <c r="O657" s="0">
        <f>INDEX(Journaux!$E$5:$E$18,MATCH("2025|"&amp;A657,Journaux!$A$5:$A$18,0))</f>
      </c>
      <c r="P657" s="0">
        <f>INDEX(Comptes!$K$5:$K$42,MATCH(E657,Comptes!$A$5:$A$42,0))</f>
      </c>
      <c r="Q657" s="0" t="inlineStr">
        <is>
          <t xml:space="preserve">5</t>
        </is>
      </c>
    </row>
    <row r="658">
      <c r="A658" s="4" t="inlineStr">
        <is>
          <t xml:space="preserve">BQ</t>
        </is>
      </c>
      <c r="B658" s="0" t="inlineStr">
        <is>
          <t xml:space="preserve">Banque Fictive</t>
        </is>
      </c>
      <c r="C658" s="0" t="inlineStr">
        <is>
          <t xml:space="preserve">BQ00097</t>
        </is>
      </c>
      <c r="D658" s="10">
        <v>45915</v>
      </c>
      <c r="E658" s="4" t="inlineStr">
        <is>
          <t xml:space="preserve">411000</t>
        </is>
      </c>
      <c r="F658" s="0" t="inlineStr">
        <is>
          <t xml:space="preserve">Clients</t>
        </is>
      </c>
      <c r="G658" s="0" t="inlineStr">
        <is>
          <t xml:space="preserve">ENC-FA2025-0030</t>
        </is>
      </c>
      <c r="H658" s="0" t="inlineStr">
        <is>
          <t xml:space="preserve">Reglement client Agence Mobilis FA2025-0030</t>
        </is>
      </c>
      <c r="I658" s="8">
        <v>0</v>
      </c>
      <c r="J658" s="8">
        <v>31229.57</v>
      </c>
      <c r="K658" s="0" t="inlineStr">
        <is>
          <t xml:space="preserve">AAL</t>
        </is>
      </c>
      <c r="L658" s="0" t="inlineStr">
        <is>
          <t xml:space="preserve">Agence Mobilis</t>
        </is>
      </c>
      <c r="M658" s="8">
        <f>I658-J658</f>
      </c>
      <c r="N658" s="0" t="inlineStr">
        <is>
          <t xml:space="preserve">2025-09</t>
        </is>
      </c>
      <c r="O658" s="0">
        <f>INDEX(Journaux!$E$5:$E$18,MATCH("2025|"&amp;A658,Journaux!$A$5:$A$18,0))</f>
      </c>
      <c r="P658" s="0">
        <f>INDEX(Comptes!$K$5:$K$42,MATCH(E658,Comptes!$A$5:$A$42,0))</f>
      </c>
      <c r="Q658" s="0" t="inlineStr">
        <is>
          <t xml:space="preserve">4</t>
        </is>
      </c>
      <c r="R658" s="7" t="inlineStr">
        <is>
          <t xml:space="preserve">411000|C002</t>
        </is>
      </c>
    </row>
    <row r="659">
      <c r="A659" s="4" t="inlineStr">
        <is>
          <t xml:space="preserve">BQ</t>
        </is>
      </c>
      <c r="B659" s="0" t="inlineStr">
        <is>
          <t xml:space="preserve">Banque Fictive</t>
        </is>
      </c>
      <c r="C659" s="0" t="inlineStr">
        <is>
          <t xml:space="preserve">BQ00160</t>
        </is>
      </c>
      <c r="D659" s="10">
        <v>45915</v>
      </c>
      <c r="E659" s="4" t="inlineStr">
        <is>
          <t xml:space="preserve">401000</t>
        </is>
      </c>
      <c r="F659" s="0" t="inlineStr">
        <is>
          <t xml:space="preserve">Fournisseurs</t>
        </is>
      </c>
      <c r="G659" s="0" t="inlineStr">
        <is>
          <t xml:space="preserve">DEC-F001-2025073</t>
        </is>
      </c>
      <c r="H659" s="0" t="inlineStr">
        <is>
          <t xml:space="preserve">Reglement fournisseur Scierie du Nord F001-2025073</t>
        </is>
      </c>
      <c r="I659" s="8">
        <v>17246.02</v>
      </c>
      <c r="J659" s="8">
        <v>0</v>
      </c>
      <c r="K659" s="0" t="inlineStr">
        <is>
          <t xml:space="preserve">ACW</t>
        </is>
      </c>
      <c r="L659" s="0" t="inlineStr">
        <is>
          <t xml:space="preserve">Scierie du Nord</t>
        </is>
      </c>
      <c r="M659" s="8">
        <f>I659-J659</f>
      </c>
      <c r="N659" s="0" t="inlineStr">
        <is>
          <t xml:space="preserve">2025-09</t>
        </is>
      </c>
      <c r="O659" s="0">
        <f>INDEX(Journaux!$E$5:$E$18,MATCH("2025|"&amp;A659,Journaux!$A$5:$A$18,0))</f>
      </c>
      <c r="P659" s="0">
        <f>INDEX(Comptes!$K$5:$K$42,MATCH(E659,Comptes!$A$5:$A$42,0))</f>
      </c>
      <c r="Q659" s="0" t="inlineStr">
        <is>
          <t xml:space="preserve">4</t>
        </is>
      </c>
      <c r="R659" s="7" t="inlineStr">
        <is>
          <t xml:space="preserve">401000|F001</t>
        </is>
      </c>
    </row>
    <row r="660">
      <c r="A660" s="4" t="inlineStr">
        <is>
          <t xml:space="preserve">BQ</t>
        </is>
      </c>
      <c r="B660" s="0" t="inlineStr">
        <is>
          <t xml:space="preserve">Banque Fictive</t>
        </is>
      </c>
      <c r="C660" s="0" t="inlineStr">
        <is>
          <t xml:space="preserve">BQ00160</t>
        </is>
      </c>
      <c r="D660" s="10">
        <v>45915</v>
      </c>
      <c r="E660" s="4" t="inlineStr">
        <is>
          <t xml:space="preserve">512000</t>
        </is>
      </c>
      <c r="F660" s="0" t="inlineStr">
        <is>
          <t xml:space="preserve">Banque Fictive</t>
        </is>
      </c>
      <c r="G660" s="0" t="inlineStr">
        <is>
          <t xml:space="preserve">DEC-F001-2025073</t>
        </is>
      </c>
      <c r="H660" s="0" t="inlineStr">
        <is>
          <t xml:space="preserve">Reglement fournisseur Scierie du Nord F001-2025073</t>
        </is>
      </c>
      <c r="I660" s="8">
        <v>0</v>
      </c>
      <c r="J660" s="8">
        <v>17246.02</v>
      </c>
      <c r="K660" s="0"/>
      <c r="L660" s="0"/>
      <c r="M660" s="8">
        <f>I660-J660</f>
      </c>
      <c r="N660" s="0" t="inlineStr">
        <is>
          <t xml:space="preserve">2025-09</t>
        </is>
      </c>
      <c r="O660" s="0">
        <f>INDEX(Journaux!$E$5:$E$18,MATCH("2025|"&amp;A660,Journaux!$A$5:$A$18,0))</f>
      </c>
      <c r="P660" s="0">
        <f>INDEX(Comptes!$K$5:$K$42,MATCH(E660,Comptes!$A$5:$A$42,0))</f>
      </c>
      <c r="Q660" s="0" t="inlineStr">
        <is>
          <t xml:space="preserve">5</t>
        </is>
      </c>
    </row>
    <row r="661">
      <c r="A661" s="4" t="inlineStr">
        <is>
          <t xml:space="preserve">VT</t>
        </is>
      </c>
      <c r="B661" s="0" t="inlineStr">
        <is>
          <t xml:space="preserve">Journal des ventes</t>
        </is>
      </c>
      <c r="C661" s="0" t="inlineStr">
        <is>
          <t xml:space="preserve">VT00039</t>
        </is>
      </c>
      <c r="D661" s="10">
        <v>45916</v>
      </c>
      <c r="E661" s="4" t="inlineStr">
        <is>
          <t xml:space="preserve">411000</t>
        </is>
      </c>
      <c r="F661" s="0" t="inlineStr">
        <is>
          <t xml:space="preserve">Clients</t>
        </is>
      </c>
      <c r="G661" s="0" t="inlineStr">
        <is>
          <t xml:space="preserve">FA2025-0039</t>
        </is>
      </c>
      <c r="H661" s="0" t="inlineStr">
        <is>
          <t xml:space="preserve">Facture FA2025-0039 Boutique Hetre et Chene</t>
        </is>
      </c>
      <c r="I661" s="8">
        <v>31865.21</v>
      </c>
      <c r="J661" s="8">
        <v>0</v>
      </c>
      <c r="K661" s="0" t="inlineStr">
        <is>
          <t xml:space="preserve">AAU</t>
        </is>
      </c>
      <c r="L661" s="0" t="inlineStr">
        <is>
          <t xml:space="preserve">Boutique Hetre et Chene</t>
        </is>
      </c>
      <c r="M661" s="8">
        <f>I661-J661</f>
      </c>
      <c r="N661" s="0" t="inlineStr">
        <is>
          <t xml:space="preserve">2025-09</t>
        </is>
      </c>
      <c r="O661" s="0">
        <f>INDEX(Journaux!$E$5:$E$18,MATCH("2025|"&amp;A661,Journaux!$A$5:$A$18,0))</f>
      </c>
      <c r="P661" s="0">
        <f>INDEX(Comptes!$K$5:$K$42,MATCH(E661,Comptes!$A$5:$A$42,0))</f>
      </c>
      <c r="Q661" s="0" t="inlineStr">
        <is>
          <t xml:space="preserve">4</t>
        </is>
      </c>
      <c r="R661" s="7" t="inlineStr">
        <is>
          <t xml:space="preserve">411000|C007</t>
        </is>
      </c>
    </row>
    <row r="662">
      <c r="A662" s="4" t="inlineStr">
        <is>
          <t xml:space="preserve">VT</t>
        </is>
      </c>
      <c r="B662" s="0" t="inlineStr">
        <is>
          <t xml:space="preserve">Journal des ventes</t>
        </is>
      </c>
      <c r="C662" s="0" t="inlineStr">
        <is>
          <t xml:space="preserve">VT00039</t>
        </is>
      </c>
      <c r="D662" s="10">
        <v>45916</v>
      </c>
      <c r="E662" s="4" t="inlineStr">
        <is>
          <t xml:space="preserve">701000</t>
        </is>
      </c>
      <c r="F662" s="0" t="inlineStr">
        <is>
          <t xml:space="preserve">Ventes de produits finis</t>
        </is>
      </c>
      <c r="G662" s="0" t="inlineStr">
        <is>
          <t xml:space="preserve">FA2025-0039</t>
        </is>
      </c>
      <c r="H662" s="0" t="inlineStr">
        <is>
          <t xml:space="preserve">Facture FA2025-0039 Boutique Hetre et Chene</t>
        </is>
      </c>
      <c r="I662" s="8">
        <v>0</v>
      </c>
      <c r="J662" s="8">
        <v>26554.34</v>
      </c>
      <c r="K662" s="0"/>
      <c r="L662" s="0"/>
      <c r="M662" s="8">
        <f>I662-J662</f>
      </c>
      <c r="N662" s="0" t="inlineStr">
        <is>
          <t xml:space="preserve">2025-09</t>
        </is>
      </c>
      <c r="O662" s="0">
        <f>INDEX(Journaux!$E$5:$E$18,MATCH("2025|"&amp;A662,Journaux!$A$5:$A$18,0))</f>
      </c>
      <c r="P662" s="0">
        <f>INDEX(Comptes!$K$5:$K$42,MATCH(E662,Comptes!$A$5:$A$42,0))</f>
      </c>
      <c r="Q662" s="0" t="inlineStr">
        <is>
          <t xml:space="preserve">7</t>
        </is>
      </c>
    </row>
    <row r="663">
      <c r="A663" s="4" t="inlineStr">
        <is>
          <t xml:space="preserve">VT</t>
        </is>
      </c>
      <c r="B663" s="0" t="inlineStr">
        <is>
          <t xml:space="preserve">Journal des ventes</t>
        </is>
      </c>
      <c r="C663" s="0" t="inlineStr">
        <is>
          <t xml:space="preserve">VT00039</t>
        </is>
      </c>
      <c r="D663" s="10">
        <v>45916</v>
      </c>
      <c r="E663" s="4" t="inlineStr">
        <is>
          <t xml:space="preserve">445710</t>
        </is>
      </c>
      <c r="F663" s="0" t="inlineStr">
        <is>
          <t xml:space="preserve">TVA collectee</t>
        </is>
      </c>
      <c r="G663" s="0" t="inlineStr">
        <is>
          <t xml:space="preserve">FA2025-0039</t>
        </is>
      </c>
      <c r="H663" s="0" t="inlineStr">
        <is>
          <t xml:space="preserve">Facture FA2025-0039 Boutique Hetre et Chene</t>
        </is>
      </c>
      <c r="I663" s="8">
        <v>0</v>
      </c>
      <c r="J663" s="8">
        <v>5310.87</v>
      </c>
      <c r="K663" s="0"/>
      <c r="L663" s="0"/>
      <c r="M663" s="8">
        <f>I663-J663</f>
      </c>
      <c r="N663" s="0" t="inlineStr">
        <is>
          <t xml:space="preserve">2025-09</t>
        </is>
      </c>
      <c r="O663" s="0">
        <f>INDEX(Journaux!$E$5:$E$18,MATCH("2025|"&amp;A663,Journaux!$A$5:$A$18,0))</f>
      </c>
      <c r="P663" s="0">
        <f>INDEX(Comptes!$K$5:$K$42,MATCH(E663,Comptes!$A$5:$A$42,0))</f>
      </c>
      <c r="Q663" s="0" t="inlineStr">
        <is>
          <t xml:space="preserve">4</t>
        </is>
      </c>
    </row>
    <row r="664">
      <c r="A664" s="4" t="inlineStr">
        <is>
          <t xml:space="preserve">BQ</t>
        </is>
      </c>
      <c r="B664" s="0" t="inlineStr">
        <is>
          <t xml:space="preserve">Banque Fictive</t>
        </is>
      </c>
      <c r="C664" s="0" t="inlineStr">
        <is>
          <t xml:space="preserve">BQ00159</t>
        </is>
      </c>
      <c r="D664" s="10">
        <v>45917</v>
      </c>
      <c r="E664" s="4" t="inlineStr">
        <is>
          <t xml:space="preserve">401000</t>
        </is>
      </c>
      <c r="F664" s="0" t="inlineStr">
        <is>
          <t xml:space="preserve">Fournisseurs</t>
        </is>
      </c>
      <c r="G664" s="0" t="inlineStr">
        <is>
          <t xml:space="preserve">DEC-F003-2025072</t>
        </is>
      </c>
      <c r="H664" s="0" t="inlineStr">
        <is>
          <t xml:space="preserve">Reglement fournisseur Vernis et Finitions F003-2025072</t>
        </is>
      </c>
      <c r="I664" s="8">
        <v>16791.91</v>
      </c>
      <c r="J664" s="8">
        <v>0</v>
      </c>
      <c r="K664" s="0" t="inlineStr">
        <is>
          <t xml:space="preserve">ACV</t>
        </is>
      </c>
      <c r="L664" s="0" t="inlineStr">
        <is>
          <t xml:space="preserve">Vernis et Finitions</t>
        </is>
      </c>
      <c r="M664" s="8">
        <f>I664-J664</f>
      </c>
      <c r="N664" s="0" t="inlineStr">
        <is>
          <t xml:space="preserve">2025-09</t>
        </is>
      </c>
      <c r="O664" s="0">
        <f>INDEX(Journaux!$E$5:$E$18,MATCH("2025|"&amp;A664,Journaux!$A$5:$A$18,0))</f>
      </c>
      <c r="P664" s="0">
        <f>INDEX(Comptes!$K$5:$K$42,MATCH(E664,Comptes!$A$5:$A$42,0))</f>
      </c>
      <c r="Q664" s="0" t="inlineStr">
        <is>
          <t xml:space="preserve">4</t>
        </is>
      </c>
      <c r="R664" s="7" t="inlineStr">
        <is>
          <t xml:space="preserve">401000|F003</t>
        </is>
      </c>
    </row>
    <row r="665">
      <c r="A665" s="4" t="inlineStr">
        <is>
          <t xml:space="preserve">BQ</t>
        </is>
      </c>
      <c r="B665" s="0" t="inlineStr">
        <is>
          <t xml:space="preserve">Banque Fictive</t>
        </is>
      </c>
      <c r="C665" s="0" t="inlineStr">
        <is>
          <t xml:space="preserve">BQ00159</t>
        </is>
      </c>
      <c r="D665" s="10">
        <v>45917</v>
      </c>
      <c r="E665" s="4" t="inlineStr">
        <is>
          <t xml:space="preserve">512000</t>
        </is>
      </c>
      <c r="F665" s="0" t="inlineStr">
        <is>
          <t xml:space="preserve">Banque Fictive</t>
        </is>
      </c>
      <c r="G665" s="0" t="inlineStr">
        <is>
          <t xml:space="preserve">DEC-F003-2025072</t>
        </is>
      </c>
      <c r="H665" s="0" t="inlineStr">
        <is>
          <t xml:space="preserve">Reglement fournisseur Vernis et Finitions F003-2025072</t>
        </is>
      </c>
      <c r="I665" s="8">
        <v>0</v>
      </c>
      <c r="J665" s="8">
        <v>16791.91</v>
      </c>
      <c r="K665" s="0"/>
      <c r="L665" s="0"/>
      <c r="M665" s="8">
        <f>I665-J665</f>
      </c>
      <c r="N665" s="0" t="inlineStr">
        <is>
          <t xml:space="preserve">2025-09</t>
        </is>
      </c>
      <c r="O665" s="0">
        <f>INDEX(Journaux!$E$5:$E$18,MATCH("2025|"&amp;A665,Journaux!$A$5:$A$18,0))</f>
      </c>
      <c r="P665" s="0">
        <f>INDEX(Comptes!$K$5:$K$42,MATCH(E665,Comptes!$A$5:$A$42,0))</f>
      </c>
      <c r="Q665" s="0" t="inlineStr">
        <is>
          <t xml:space="preserve">5</t>
        </is>
      </c>
    </row>
    <row r="666">
      <c r="A666" s="4" t="inlineStr">
        <is>
          <t xml:space="preserve">VT</t>
        </is>
      </c>
      <c r="B666" s="0" t="inlineStr">
        <is>
          <t xml:space="preserve">Journal des ventes</t>
        </is>
      </c>
      <c r="C666" s="0" t="inlineStr">
        <is>
          <t xml:space="preserve">VT00040</t>
        </is>
      </c>
      <c r="D666" s="10">
        <v>45919</v>
      </c>
      <c r="E666" s="4" t="inlineStr">
        <is>
          <t xml:space="preserve">411000</t>
        </is>
      </c>
      <c r="F666" s="0" t="inlineStr">
        <is>
          <t xml:space="preserve">Clients</t>
        </is>
      </c>
      <c r="G666" s="0" t="inlineStr">
        <is>
          <t xml:space="preserve">FA2025-0040</t>
        </is>
      </c>
      <c r="H666" s="0" t="inlineStr">
        <is>
          <t xml:space="preserve">Facture FA2025-0040 Cabinet Varenne Associes</t>
        </is>
      </c>
      <c r="I666" s="8">
        <v>19239.48</v>
      </c>
      <c r="J666" s="8">
        <v>0</v>
      </c>
      <c r="K666" s="0" t="inlineStr">
        <is>
          <t xml:space="preserve">AAV</t>
        </is>
      </c>
      <c r="L666" s="0" t="inlineStr">
        <is>
          <t xml:space="preserve">Cabinet Varenne Associes</t>
        </is>
      </c>
      <c r="M666" s="8">
        <f>I666-J666</f>
      </c>
      <c r="N666" s="0" t="inlineStr">
        <is>
          <t xml:space="preserve">2025-09</t>
        </is>
      </c>
      <c r="O666" s="0">
        <f>INDEX(Journaux!$E$5:$E$18,MATCH("2025|"&amp;A666,Journaux!$A$5:$A$18,0))</f>
      </c>
      <c r="P666" s="0">
        <f>INDEX(Comptes!$K$5:$K$42,MATCH(E666,Comptes!$A$5:$A$42,0))</f>
      </c>
      <c r="Q666" s="0" t="inlineStr">
        <is>
          <t xml:space="preserve">4</t>
        </is>
      </c>
      <c r="R666" s="7" t="inlineStr">
        <is>
          <t xml:space="preserve">411000|C004</t>
        </is>
      </c>
    </row>
    <row r="667">
      <c r="A667" s="4" t="inlineStr">
        <is>
          <t xml:space="preserve">VT</t>
        </is>
      </c>
      <c r="B667" s="0" t="inlineStr">
        <is>
          <t xml:space="preserve">Journal des ventes</t>
        </is>
      </c>
      <c r="C667" s="0" t="inlineStr">
        <is>
          <t xml:space="preserve">VT00040</t>
        </is>
      </c>
      <c r="D667" s="10">
        <v>45919</v>
      </c>
      <c r="E667" s="4" t="inlineStr">
        <is>
          <t xml:space="preserve">701000</t>
        </is>
      </c>
      <c r="F667" s="0" t="inlineStr">
        <is>
          <t xml:space="preserve">Ventes de produits finis</t>
        </is>
      </c>
      <c r="G667" s="0" t="inlineStr">
        <is>
          <t xml:space="preserve">FA2025-0040</t>
        </is>
      </c>
      <c r="H667" s="0" t="inlineStr">
        <is>
          <t xml:space="preserve">Facture FA2025-0040 Cabinet Varenne Associes</t>
        </is>
      </c>
      <c r="I667" s="8">
        <v>0</v>
      </c>
      <c r="J667" s="8">
        <v>16032.9</v>
      </c>
      <c r="K667" s="0"/>
      <c r="L667" s="0"/>
      <c r="M667" s="8">
        <f>I667-J667</f>
      </c>
      <c r="N667" s="0" t="inlineStr">
        <is>
          <t xml:space="preserve">2025-09</t>
        </is>
      </c>
      <c r="O667" s="0">
        <f>INDEX(Journaux!$E$5:$E$18,MATCH("2025|"&amp;A667,Journaux!$A$5:$A$18,0))</f>
      </c>
      <c r="P667" s="0">
        <f>INDEX(Comptes!$K$5:$K$42,MATCH(E667,Comptes!$A$5:$A$42,0))</f>
      </c>
      <c r="Q667" s="0" t="inlineStr">
        <is>
          <t xml:space="preserve">7</t>
        </is>
      </c>
    </row>
    <row r="668">
      <c r="A668" s="4" t="inlineStr">
        <is>
          <t xml:space="preserve">VT</t>
        </is>
      </c>
      <c r="B668" s="0" t="inlineStr">
        <is>
          <t xml:space="preserve">Journal des ventes</t>
        </is>
      </c>
      <c r="C668" s="0" t="inlineStr">
        <is>
          <t xml:space="preserve">VT00040</t>
        </is>
      </c>
      <c r="D668" s="10">
        <v>45919</v>
      </c>
      <c r="E668" s="4" t="inlineStr">
        <is>
          <t xml:space="preserve">445710</t>
        </is>
      </c>
      <c r="F668" s="0" t="inlineStr">
        <is>
          <t xml:space="preserve">TVA collectee</t>
        </is>
      </c>
      <c r="G668" s="0" t="inlineStr">
        <is>
          <t xml:space="preserve">FA2025-0040</t>
        </is>
      </c>
      <c r="H668" s="0" t="inlineStr">
        <is>
          <t xml:space="preserve">Facture FA2025-0040 Cabinet Varenne Associes</t>
        </is>
      </c>
      <c r="I668" s="8">
        <v>0</v>
      </c>
      <c r="J668" s="8">
        <v>3206.58</v>
      </c>
      <c r="K668" s="0"/>
      <c r="L668" s="0"/>
      <c r="M668" s="8">
        <f>I668-J668</f>
      </c>
      <c r="N668" s="0" t="inlineStr">
        <is>
          <t xml:space="preserve">2025-09</t>
        </is>
      </c>
      <c r="O668" s="0">
        <f>INDEX(Journaux!$E$5:$E$18,MATCH("2025|"&amp;A668,Journaux!$A$5:$A$18,0))</f>
      </c>
      <c r="P668" s="0">
        <f>INDEX(Comptes!$K$5:$K$42,MATCH(E668,Comptes!$A$5:$A$42,0))</f>
      </c>
      <c r="Q668" s="0" t="inlineStr">
        <is>
          <t xml:space="preserve">4</t>
        </is>
      </c>
    </row>
    <row r="669">
      <c r="A669" s="4" t="inlineStr">
        <is>
          <t xml:space="preserve">BQ</t>
        </is>
      </c>
      <c r="B669" s="0" t="inlineStr">
        <is>
          <t xml:space="preserve">Banque Fictive</t>
        </is>
      </c>
      <c r="C669" s="0" t="inlineStr">
        <is>
          <t xml:space="preserve">BQ00055</t>
        </is>
      </c>
      <c r="D669" s="10">
        <v>45920</v>
      </c>
      <c r="E669" s="4" t="inlineStr">
        <is>
          <t xml:space="preserve">445510</t>
        </is>
      </c>
      <c r="F669" s="0" t="inlineStr">
        <is>
          <t xml:space="preserve">TVA a decaisser</t>
        </is>
      </c>
      <c r="G669" s="0" t="inlineStr">
        <is>
          <t xml:space="preserve">TVA202508</t>
        </is>
      </c>
      <c r="H669" s="0" t="inlineStr">
        <is>
          <t xml:space="preserve">Reglement TVA 08/2025</t>
        </is>
      </c>
      <c r="I669" s="8">
        <v>6197.71</v>
      </c>
      <c r="J669" s="8">
        <v>0</v>
      </c>
      <c r="K669" s="0"/>
      <c r="L669" s="0"/>
      <c r="M669" s="8">
        <f>I669-J669</f>
      </c>
      <c r="N669" s="0" t="inlineStr">
        <is>
          <t xml:space="preserve">2025-09</t>
        </is>
      </c>
      <c r="O669" s="0">
        <f>INDEX(Journaux!$E$5:$E$18,MATCH("2025|"&amp;A669,Journaux!$A$5:$A$18,0))</f>
      </c>
      <c r="P669" s="0">
        <f>INDEX(Comptes!$K$5:$K$42,MATCH(E669,Comptes!$A$5:$A$42,0))</f>
      </c>
      <c r="Q669" s="0" t="inlineStr">
        <is>
          <t xml:space="preserve">4</t>
        </is>
      </c>
    </row>
    <row r="670">
      <c r="A670" s="4" t="inlineStr">
        <is>
          <t xml:space="preserve">BQ</t>
        </is>
      </c>
      <c r="B670" s="0" t="inlineStr">
        <is>
          <t xml:space="preserve">Banque Fictive</t>
        </is>
      </c>
      <c r="C670" s="0" t="inlineStr">
        <is>
          <t xml:space="preserve">BQ00055</t>
        </is>
      </c>
      <c r="D670" s="10">
        <v>45920</v>
      </c>
      <c r="E670" s="4" t="inlineStr">
        <is>
          <t xml:space="preserve">512000</t>
        </is>
      </c>
      <c r="F670" s="0" t="inlineStr">
        <is>
          <t xml:space="preserve">Banque Fictive</t>
        </is>
      </c>
      <c r="G670" s="0" t="inlineStr">
        <is>
          <t xml:space="preserve">TVA202508</t>
        </is>
      </c>
      <c r="H670" s="0" t="inlineStr">
        <is>
          <t xml:space="preserve">Reglement TVA 08/2025</t>
        </is>
      </c>
      <c r="I670" s="8">
        <v>0</v>
      </c>
      <c r="J670" s="8">
        <v>6197.71</v>
      </c>
      <c r="K670" s="0"/>
      <c r="L670" s="0"/>
      <c r="M670" s="8">
        <f>I670-J670</f>
      </c>
      <c r="N670" s="0" t="inlineStr">
        <is>
          <t xml:space="preserve">2025-09</t>
        </is>
      </c>
      <c r="O670" s="0">
        <f>INDEX(Journaux!$E$5:$E$18,MATCH("2025|"&amp;A670,Journaux!$A$5:$A$18,0))</f>
      </c>
      <c r="P670" s="0">
        <f>INDEX(Comptes!$K$5:$K$42,MATCH(E670,Comptes!$A$5:$A$42,0))</f>
      </c>
      <c r="Q670" s="0" t="inlineStr">
        <is>
          <t xml:space="preserve">5</t>
        </is>
      </c>
    </row>
    <row r="671">
      <c r="A671" s="4" t="inlineStr">
        <is>
          <t xml:space="preserve">VT</t>
        </is>
      </c>
      <c r="B671" s="0" t="inlineStr">
        <is>
          <t xml:space="preserve">Journal des ventes</t>
        </is>
      </c>
      <c r="C671" s="0" t="inlineStr">
        <is>
          <t xml:space="preserve">VT00042</t>
        </is>
      </c>
      <c r="D671" s="10">
        <v>45922</v>
      </c>
      <c r="E671" s="4" t="inlineStr">
        <is>
          <t xml:space="preserve">411000</t>
        </is>
      </c>
      <c r="F671" s="0" t="inlineStr">
        <is>
          <t xml:space="preserve">Clients</t>
        </is>
      </c>
      <c r="G671" s="0" t="inlineStr">
        <is>
          <t xml:space="preserve">FA2025-0042</t>
        </is>
      </c>
      <c r="H671" s="0" t="inlineStr">
        <is>
          <t xml:space="preserve">Facture FA2025-0042 Hotel Les Tilleuls</t>
        </is>
      </c>
      <c r="I671" s="8">
        <v>26412.6</v>
      </c>
      <c r="J671" s="8">
        <v>0</v>
      </c>
      <c r="K671" s="0" t="inlineStr">
        <is>
          <t xml:space="preserve">AAX</t>
        </is>
      </c>
      <c r="L671" s="0" t="inlineStr">
        <is>
          <t xml:space="preserve">Hotel Les Tilleuls</t>
        </is>
      </c>
      <c r="M671" s="8">
        <f>I671-J671</f>
      </c>
      <c r="N671" s="0" t="inlineStr">
        <is>
          <t xml:space="preserve">2025-09</t>
        </is>
      </c>
      <c r="O671" s="0">
        <f>INDEX(Journaux!$E$5:$E$18,MATCH("2025|"&amp;A671,Journaux!$A$5:$A$18,0))</f>
      </c>
      <c r="P671" s="0">
        <f>INDEX(Comptes!$K$5:$K$42,MATCH(E671,Comptes!$A$5:$A$42,0))</f>
      </c>
      <c r="Q671" s="0" t="inlineStr">
        <is>
          <t xml:space="preserve">4</t>
        </is>
      </c>
      <c r="R671" s="7" t="inlineStr">
        <is>
          <t xml:space="preserve">411000|C001</t>
        </is>
      </c>
    </row>
    <row r="672">
      <c r="A672" s="4" t="inlineStr">
        <is>
          <t xml:space="preserve">VT</t>
        </is>
      </c>
      <c r="B672" s="0" t="inlineStr">
        <is>
          <t xml:space="preserve">Journal des ventes</t>
        </is>
      </c>
      <c r="C672" s="0" t="inlineStr">
        <is>
          <t xml:space="preserve">VT00042</t>
        </is>
      </c>
      <c r="D672" s="10">
        <v>45922</v>
      </c>
      <c r="E672" s="4" t="inlineStr">
        <is>
          <t xml:space="preserve">701000</t>
        </is>
      </c>
      <c r="F672" s="0" t="inlineStr">
        <is>
          <t xml:space="preserve">Ventes de produits finis</t>
        </is>
      </c>
      <c r="G672" s="0" t="inlineStr">
        <is>
          <t xml:space="preserve">FA2025-0042</t>
        </is>
      </c>
      <c r="H672" s="0" t="inlineStr">
        <is>
          <t xml:space="preserve">Facture FA2025-0042 Hotel Les Tilleuls</t>
        </is>
      </c>
      <c r="I672" s="8">
        <v>0</v>
      </c>
      <c r="J672" s="8">
        <v>22010.5</v>
      </c>
      <c r="K672" s="0"/>
      <c r="L672" s="0"/>
      <c r="M672" s="8">
        <f>I672-J672</f>
      </c>
      <c r="N672" s="0" t="inlineStr">
        <is>
          <t xml:space="preserve">2025-09</t>
        </is>
      </c>
      <c r="O672" s="0">
        <f>INDEX(Journaux!$E$5:$E$18,MATCH("2025|"&amp;A672,Journaux!$A$5:$A$18,0))</f>
      </c>
      <c r="P672" s="0">
        <f>INDEX(Comptes!$K$5:$K$42,MATCH(E672,Comptes!$A$5:$A$42,0))</f>
      </c>
      <c r="Q672" s="0" t="inlineStr">
        <is>
          <t xml:space="preserve">7</t>
        </is>
      </c>
    </row>
    <row r="673">
      <c r="A673" s="4" t="inlineStr">
        <is>
          <t xml:space="preserve">VT</t>
        </is>
      </c>
      <c r="B673" s="0" t="inlineStr">
        <is>
          <t xml:space="preserve">Journal des ventes</t>
        </is>
      </c>
      <c r="C673" s="0" t="inlineStr">
        <is>
          <t xml:space="preserve">VT00042</t>
        </is>
      </c>
      <c r="D673" s="10">
        <v>45922</v>
      </c>
      <c r="E673" s="4" t="inlineStr">
        <is>
          <t xml:space="preserve">445710</t>
        </is>
      </c>
      <c r="F673" s="0" t="inlineStr">
        <is>
          <t xml:space="preserve">TVA collectee</t>
        </is>
      </c>
      <c r="G673" s="0" t="inlineStr">
        <is>
          <t xml:space="preserve">FA2025-0042</t>
        </is>
      </c>
      <c r="H673" s="0" t="inlineStr">
        <is>
          <t xml:space="preserve">Facture FA2025-0042 Hotel Les Tilleuls</t>
        </is>
      </c>
      <c r="I673" s="8">
        <v>0</v>
      </c>
      <c r="J673" s="8">
        <v>4402.1</v>
      </c>
      <c r="K673" s="0"/>
      <c r="L673" s="0"/>
      <c r="M673" s="8">
        <f>I673-J673</f>
      </c>
      <c r="N673" s="0" t="inlineStr">
        <is>
          <t xml:space="preserve">2025-09</t>
        </is>
      </c>
      <c r="O673" s="0">
        <f>INDEX(Journaux!$E$5:$E$18,MATCH("2025|"&amp;A673,Journaux!$A$5:$A$18,0))</f>
      </c>
      <c r="P673" s="0">
        <f>INDEX(Comptes!$K$5:$K$42,MATCH(E673,Comptes!$A$5:$A$42,0))</f>
      </c>
      <c r="Q673" s="0" t="inlineStr">
        <is>
          <t xml:space="preserve">4</t>
        </is>
      </c>
    </row>
    <row r="674">
      <c r="A674" s="4" t="inlineStr">
        <is>
          <t xml:space="preserve">VT</t>
        </is>
      </c>
      <c r="B674" s="0" t="inlineStr">
        <is>
          <t xml:space="preserve">Journal des ventes</t>
        </is>
      </c>
      <c r="C674" s="0" t="inlineStr">
        <is>
          <t xml:space="preserve">VT00041</t>
        </is>
      </c>
      <c r="D674" s="10">
        <v>45923</v>
      </c>
      <c r="E674" s="4" t="inlineStr">
        <is>
          <t xml:space="preserve">411000</t>
        </is>
      </c>
      <c r="F674" s="0" t="inlineStr">
        <is>
          <t xml:space="preserve">Clients</t>
        </is>
      </c>
      <c r="G674" s="0" t="inlineStr">
        <is>
          <t xml:space="preserve">FA2025-0041</t>
        </is>
      </c>
      <c r="H674" s="0" t="inlineStr">
        <is>
          <t xml:space="preserve">Facture FA2025-0041 Restaurant Le Comptoir</t>
        </is>
      </c>
      <c r="I674" s="8">
        <v>31395.34</v>
      </c>
      <c r="J674" s="8">
        <v>0</v>
      </c>
      <c r="K674" s="0" t="inlineStr">
        <is>
          <t xml:space="preserve">AAW</t>
        </is>
      </c>
      <c r="L674" s="0" t="inlineStr">
        <is>
          <t xml:space="preserve">Restaurant Le Comptoir</t>
        </is>
      </c>
      <c r="M674" s="8">
        <f>I674-J674</f>
      </c>
      <c r="N674" s="0" t="inlineStr">
        <is>
          <t xml:space="preserve">2025-09</t>
        </is>
      </c>
      <c r="O674" s="0">
        <f>INDEX(Journaux!$E$5:$E$18,MATCH("2025|"&amp;A674,Journaux!$A$5:$A$18,0))</f>
      </c>
      <c r="P674" s="0">
        <f>INDEX(Comptes!$K$5:$K$42,MATCH(E674,Comptes!$A$5:$A$42,0))</f>
      </c>
      <c r="Q674" s="0" t="inlineStr">
        <is>
          <t xml:space="preserve">4</t>
        </is>
      </c>
      <c r="R674" s="7" t="inlineStr">
        <is>
          <t xml:space="preserve">411000|C005</t>
        </is>
      </c>
    </row>
    <row r="675">
      <c r="A675" s="4" t="inlineStr">
        <is>
          <t xml:space="preserve">VT</t>
        </is>
      </c>
      <c r="B675" s="0" t="inlineStr">
        <is>
          <t xml:space="preserve">Journal des ventes</t>
        </is>
      </c>
      <c r="C675" s="0" t="inlineStr">
        <is>
          <t xml:space="preserve">VT00041</t>
        </is>
      </c>
      <c r="D675" s="10">
        <v>45923</v>
      </c>
      <c r="E675" s="4" t="inlineStr">
        <is>
          <t xml:space="preserve">701000</t>
        </is>
      </c>
      <c r="F675" s="0" t="inlineStr">
        <is>
          <t xml:space="preserve">Ventes de produits finis</t>
        </is>
      </c>
      <c r="G675" s="0" t="inlineStr">
        <is>
          <t xml:space="preserve">FA2025-0041</t>
        </is>
      </c>
      <c r="H675" s="0" t="inlineStr">
        <is>
          <t xml:space="preserve">Facture FA2025-0041 Restaurant Le Comptoir</t>
        </is>
      </c>
      <c r="I675" s="8">
        <v>0</v>
      </c>
      <c r="J675" s="8">
        <v>26162.78</v>
      </c>
      <c r="K675" s="0"/>
      <c r="L675" s="0"/>
      <c r="M675" s="8">
        <f>I675-J675</f>
      </c>
      <c r="N675" s="0" t="inlineStr">
        <is>
          <t xml:space="preserve">2025-09</t>
        </is>
      </c>
      <c r="O675" s="0">
        <f>INDEX(Journaux!$E$5:$E$18,MATCH("2025|"&amp;A675,Journaux!$A$5:$A$18,0))</f>
      </c>
      <c r="P675" s="0">
        <f>INDEX(Comptes!$K$5:$K$42,MATCH(E675,Comptes!$A$5:$A$42,0))</f>
      </c>
      <c r="Q675" s="0" t="inlineStr">
        <is>
          <t xml:space="preserve">7</t>
        </is>
      </c>
    </row>
    <row r="676">
      <c r="A676" s="4" t="inlineStr">
        <is>
          <t xml:space="preserve">VT</t>
        </is>
      </c>
      <c r="B676" s="0" t="inlineStr">
        <is>
          <t xml:space="preserve">Journal des ventes</t>
        </is>
      </c>
      <c r="C676" s="0" t="inlineStr">
        <is>
          <t xml:space="preserve">VT00041</t>
        </is>
      </c>
      <c r="D676" s="10">
        <v>45923</v>
      </c>
      <c r="E676" s="4" t="inlineStr">
        <is>
          <t xml:space="preserve">445710</t>
        </is>
      </c>
      <c r="F676" s="0" t="inlineStr">
        <is>
          <t xml:space="preserve">TVA collectee</t>
        </is>
      </c>
      <c r="G676" s="0" t="inlineStr">
        <is>
          <t xml:space="preserve">FA2025-0041</t>
        </is>
      </c>
      <c r="H676" s="0" t="inlineStr">
        <is>
          <t xml:space="preserve">Facture FA2025-0041 Restaurant Le Comptoir</t>
        </is>
      </c>
      <c r="I676" s="8">
        <v>0</v>
      </c>
      <c r="J676" s="8">
        <v>5232.56</v>
      </c>
      <c r="K676" s="0"/>
      <c r="L676" s="0"/>
      <c r="M676" s="8">
        <f>I676-J676</f>
      </c>
      <c r="N676" s="0" t="inlineStr">
        <is>
          <t xml:space="preserve">2025-09</t>
        </is>
      </c>
      <c r="O676" s="0">
        <f>INDEX(Journaux!$E$5:$E$18,MATCH("2025|"&amp;A676,Journaux!$A$5:$A$18,0))</f>
      </c>
      <c r="P676" s="0">
        <f>INDEX(Comptes!$K$5:$K$42,MATCH(E676,Comptes!$A$5:$A$42,0))</f>
      </c>
      <c r="Q676" s="0" t="inlineStr">
        <is>
          <t xml:space="preserve">4</t>
        </is>
      </c>
    </row>
    <row r="677">
      <c r="A677" s="4" t="inlineStr">
        <is>
          <t xml:space="preserve">BQ</t>
        </is>
      </c>
      <c r="B677" s="0" t="inlineStr">
        <is>
          <t xml:space="preserve">Banque Fictive</t>
        </is>
      </c>
      <c r="C677" s="0" t="inlineStr">
        <is>
          <t xml:space="preserve">BQ00102</t>
        </is>
      </c>
      <c r="D677" s="10">
        <v>45925</v>
      </c>
      <c r="E677" s="4" t="inlineStr">
        <is>
          <t xml:space="preserve">512000</t>
        </is>
      </c>
      <c r="F677" s="0" t="inlineStr">
        <is>
          <t xml:space="preserve">Banque Fictive</t>
        </is>
      </c>
      <c r="G677" s="0" t="inlineStr">
        <is>
          <t xml:space="preserve">ENC-FA2025-0035</t>
        </is>
      </c>
      <c r="H677" s="0" t="inlineStr">
        <is>
          <t xml:space="preserve">Reglement client Residence Bel Air FA2025-0035</t>
        </is>
      </c>
      <c r="I677" s="8">
        <v>18946.39</v>
      </c>
      <c r="J677" s="8">
        <v>0</v>
      </c>
      <c r="K677" s="0"/>
      <c r="L677" s="0"/>
      <c r="M677" s="8">
        <f>I677-J677</f>
      </c>
      <c r="N677" s="0" t="inlineStr">
        <is>
          <t xml:space="preserve">2025-09</t>
        </is>
      </c>
      <c r="O677" s="0">
        <f>INDEX(Journaux!$E$5:$E$18,MATCH("2025|"&amp;A677,Journaux!$A$5:$A$18,0))</f>
      </c>
      <c r="P677" s="0">
        <f>INDEX(Comptes!$K$5:$K$42,MATCH(E677,Comptes!$A$5:$A$42,0))</f>
      </c>
      <c r="Q677" s="0" t="inlineStr">
        <is>
          <t xml:space="preserve">5</t>
        </is>
      </c>
    </row>
    <row r="678">
      <c r="A678" s="4" t="inlineStr">
        <is>
          <t xml:space="preserve">BQ</t>
        </is>
      </c>
      <c r="B678" s="0" t="inlineStr">
        <is>
          <t xml:space="preserve">Banque Fictive</t>
        </is>
      </c>
      <c r="C678" s="0" t="inlineStr">
        <is>
          <t xml:space="preserve">BQ00102</t>
        </is>
      </c>
      <c r="D678" s="10">
        <v>45925</v>
      </c>
      <c r="E678" s="4" t="inlineStr">
        <is>
          <t xml:space="preserve">411000</t>
        </is>
      </c>
      <c r="F678" s="0" t="inlineStr">
        <is>
          <t xml:space="preserve">Clients</t>
        </is>
      </c>
      <c r="G678" s="0" t="inlineStr">
        <is>
          <t xml:space="preserve">ENC-FA2025-0035</t>
        </is>
      </c>
      <c r="H678" s="0" t="inlineStr">
        <is>
          <t xml:space="preserve">Reglement client Residence Bel Air FA2025-0035</t>
        </is>
      </c>
      <c r="I678" s="8">
        <v>0</v>
      </c>
      <c r="J678" s="8">
        <v>18946.39</v>
      </c>
      <c r="K678" s="0" t="inlineStr">
        <is>
          <t xml:space="preserve">AAQ</t>
        </is>
      </c>
      <c r="L678" s="0" t="inlineStr">
        <is>
          <t xml:space="preserve">Residence Bel Air</t>
        </is>
      </c>
      <c r="M678" s="8">
        <f>I678-J678</f>
      </c>
      <c r="N678" s="0" t="inlineStr">
        <is>
          <t xml:space="preserve">2025-09</t>
        </is>
      </c>
      <c r="O678" s="0">
        <f>INDEX(Journaux!$E$5:$E$18,MATCH("2025|"&amp;A678,Journaux!$A$5:$A$18,0))</f>
      </c>
      <c r="P678" s="0">
        <f>INDEX(Comptes!$K$5:$K$42,MATCH(E678,Comptes!$A$5:$A$42,0))</f>
      </c>
      <c r="Q678" s="0" t="inlineStr">
        <is>
          <t xml:space="preserve">4</t>
        </is>
      </c>
      <c r="R678" s="7" t="inlineStr">
        <is>
          <t xml:space="preserve">411000|C003</t>
        </is>
      </c>
    </row>
    <row r="679">
      <c r="A679" s="4" t="inlineStr">
        <is>
          <t xml:space="preserve">AC</t>
        </is>
      </c>
      <c r="B679" s="0" t="inlineStr">
        <is>
          <t xml:space="preserve">Journal des achats</t>
        </is>
      </c>
      <c r="C679" s="0" t="inlineStr">
        <is>
          <t xml:space="preserve">AC00053</t>
        </is>
      </c>
      <c r="D679" s="10">
        <v>45926</v>
      </c>
      <c r="E679" s="4" t="inlineStr">
        <is>
          <t xml:space="preserve">601000</t>
        </is>
      </c>
      <c r="F679" s="0" t="inlineStr">
        <is>
          <t xml:space="preserve">Achats de matieres premieres</t>
        </is>
      </c>
      <c r="G679" s="0" t="inlineStr">
        <is>
          <t xml:space="preserve">F001-2025093</t>
        </is>
      </c>
      <c r="H679" s="0" t="inlineStr">
        <is>
          <t xml:space="preserve">Facture Scierie du Nord F001-2025093</t>
        </is>
      </c>
      <c r="I679" s="8">
        <v>20702.73</v>
      </c>
      <c r="J679" s="8">
        <v>0</v>
      </c>
      <c r="K679" s="0"/>
      <c r="L679" s="0"/>
      <c r="M679" s="8">
        <f>I679-J679</f>
      </c>
      <c r="N679" s="0" t="inlineStr">
        <is>
          <t xml:space="preserve">2025-09</t>
        </is>
      </c>
      <c r="O679" s="0">
        <f>INDEX(Journaux!$E$5:$E$18,MATCH("2025|"&amp;A679,Journaux!$A$5:$A$18,0))</f>
      </c>
      <c r="P679" s="0">
        <f>INDEX(Comptes!$K$5:$K$42,MATCH(E679,Comptes!$A$5:$A$42,0))</f>
      </c>
      <c r="Q679" s="0" t="inlineStr">
        <is>
          <t xml:space="preserve">6</t>
        </is>
      </c>
    </row>
    <row r="680">
      <c r="A680" s="4" t="inlineStr">
        <is>
          <t xml:space="preserve">AC</t>
        </is>
      </c>
      <c r="B680" s="0" t="inlineStr">
        <is>
          <t xml:space="preserve">Journal des achats</t>
        </is>
      </c>
      <c r="C680" s="0" t="inlineStr">
        <is>
          <t xml:space="preserve">AC00053</t>
        </is>
      </c>
      <c r="D680" s="10">
        <v>45926</v>
      </c>
      <c r="E680" s="4" t="inlineStr">
        <is>
          <t xml:space="preserve">445660</t>
        </is>
      </c>
      <c r="F680" s="0" t="inlineStr">
        <is>
          <t xml:space="preserve">TVA deductible sur ABS</t>
        </is>
      </c>
      <c r="G680" s="0" t="inlineStr">
        <is>
          <t xml:space="preserve">F001-2025093</t>
        </is>
      </c>
      <c r="H680" s="0" t="inlineStr">
        <is>
          <t xml:space="preserve">Facture Scierie du Nord F001-2025093</t>
        </is>
      </c>
      <c r="I680" s="8">
        <v>4140.55</v>
      </c>
      <c r="J680" s="8">
        <v>0</v>
      </c>
      <c r="K680" s="0"/>
      <c r="L680" s="0"/>
      <c r="M680" s="8">
        <f>I680-J680</f>
      </c>
      <c r="N680" s="0" t="inlineStr">
        <is>
          <t xml:space="preserve">2025-09</t>
        </is>
      </c>
      <c r="O680" s="0">
        <f>INDEX(Journaux!$E$5:$E$18,MATCH("2025|"&amp;A680,Journaux!$A$5:$A$18,0))</f>
      </c>
      <c r="P680" s="0">
        <f>INDEX(Comptes!$K$5:$K$42,MATCH(E680,Comptes!$A$5:$A$42,0))</f>
      </c>
      <c r="Q680" s="0" t="inlineStr">
        <is>
          <t xml:space="preserve">4</t>
        </is>
      </c>
    </row>
    <row r="681">
      <c r="A681" s="4" t="inlineStr">
        <is>
          <t xml:space="preserve">AC</t>
        </is>
      </c>
      <c r="B681" s="0" t="inlineStr">
        <is>
          <t xml:space="preserve">Journal des achats</t>
        </is>
      </c>
      <c r="C681" s="0" t="inlineStr">
        <is>
          <t xml:space="preserve">AC00053</t>
        </is>
      </c>
      <c r="D681" s="10">
        <v>45926</v>
      </c>
      <c r="E681" s="4" t="inlineStr">
        <is>
          <t xml:space="preserve">401000</t>
        </is>
      </c>
      <c r="F681" s="0" t="inlineStr">
        <is>
          <t xml:space="preserve">Fournisseurs</t>
        </is>
      </c>
      <c r="G681" s="0" t="inlineStr">
        <is>
          <t xml:space="preserve">F001-2025093</t>
        </is>
      </c>
      <c r="H681" s="0" t="inlineStr">
        <is>
          <t xml:space="preserve">Facture Scierie du Nord F001-2025093</t>
        </is>
      </c>
      <c r="I681" s="8">
        <v>0</v>
      </c>
      <c r="J681" s="8">
        <v>24843.28</v>
      </c>
      <c r="K681" s="0" t="inlineStr">
        <is>
          <t xml:space="preserve">ADI</t>
        </is>
      </c>
      <c r="L681" s="0" t="inlineStr">
        <is>
          <t xml:space="preserve">Scierie du Nord</t>
        </is>
      </c>
      <c r="M681" s="8">
        <f>I681-J681</f>
      </c>
      <c r="N681" s="0" t="inlineStr">
        <is>
          <t xml:space="preserve">2025-09</t>
        </is>
      </c>
      <c r="O681" s="0">
        <f>INDEX(Journaux!$E$5:$E$18,MATCH("2025|"&amp;A681,Journaux!$A$5:$A$18,0))</f>
      </c>
      <c r="P681" s="0">
        <f>INDEX(Comptes!$K$5:$K$42,MATCH(E681,Comptes!$A$5:$A$42,0))</f>
      </c>
      <c r="Q681" s="0" t="inlineStr">
        <is>
          <t xml:space="preserve">4</t>
        </is>
      </c>
      <c r="R681" s="7" t="inlineStr">
        <is>
          <t xml:space="preserve">401000|F001</t>
        </is>
      </c>
    </row>
    <row r="682">
      <c r="A682" s="4" t="inlineStr">
        <is>
          <t xml:space="preserve">AC</t>
        </is>
      </c>
      <c r="B682" s="0" t="inlineStr">
        <is>
          <t xml:space="preserve">Journal des achats</t>
        </is>
      </c>
      <c r="C682" s="0" t="inlineStr">
        <is>
          <t xml:space="preserve">AC00052</t>
        </is>
      </c>
      <c r="D682" s="10">
        <v>45929</v>
      </c>
      <c r="E682" s="4" t="inlineStr">
        <is>
          <t xml:space="preserve">601000</t>
        </is>
      </c>
      <c r="F682" s="0" t="inlineStr">
        <is>
          <t xml:space="preserve">Achats de matieres premieres</t>
        </is>
      </c>
      <c r="G682" s="0" t="inlineStr">
        <is>
          <t xml:space="preserve">F003-2025092</t>
        </is>
      </c>
      <c r="H682" s="0" t="inlineStr">
        <is>
          <t xml:space="preserve">Facture Vernis et Finitions F003-2025092</t>
        </is>
      </c>
      <c r="I682" s="8">
        <v>21626.18</v>
      </c>
      <c r="J682" s="8">
        <v>0</v>
      </c>
      <c r="K682" s="0"/>
      <c r="L682" s="0"/>
      <c r="M682" s="8">
        <f>I682-J682</f>
      </c>
      <c r="N682" s="0" t="inlineStr">
        <is>
          <t xml:space="preserve">2025-09</t>
        </is>
      </c>
      <c r="O682" s="0">
        <f>INDEX(Journaux!$E$5:$E$18,MATCH("2025|"&amp;A682,Journaux!$A$5:$A$18,0))</f>
      </c>
      <c r="P682" s="0">
        <f>INDEX(Comptes!$K$5:$K$42,MATCH(E682,Comptes!$A$5:$A$42,0))</f>
      </c>
      <c r="Q682" s="0" t="inlineStr">
        <is>
          <t xml:space="preserve">6</t>
        </is>
      </c>
    </row>
    <row r="683">
      <c r="A683" s="4" t="inlineStr">
        <is>
          <t xml:space="preserve">AC</t>
        </is>
      </c>
      <c r="B683" s="0" t="inlineStr">
        <is>
          <t xml:space="preserve">Journal des achats</t>
        </is>
      </c>
      <c r="C683" s="0" t="inlineStr">
        <is>
          <t xml:space="preserve">AC00052</t>
        </is>
      </c>
      <c r="D683" s="10">
        <v>45929</v>
      </c>
      <c r="E683" s="4" t="inlineStr">
        <is>
          <t xml:space="preserve">445660</t>
        </is>
      </c>
      <c r="F683" s="0" t="inlineStr">
        <is>
          <t xml:space="preserve">TVA deductible sur ABS</t>
        </is>
      </c>
      <c r="G683" s="0" t="inlineStr">
        <is>
          <t xml:space="preserve">F003-2025092</t>
        </is>
      </c>
      <c r="H683" s="0" t="inlineStr">
        <is>
          <t xml:space="preserve">Facture Vernis et Finitions F003-2025092</t>
        </is>
      </c>
      <c r="I683" s="8">
        <v>4325.24</v>
      </c>
      <c r="J683" s="8">
        <v>0</v>
      </c>
      <c r="K683" s="0"/>
      <c r="L683" s="0"/>
      <c r="M683" s="8">
        <f>I683-J683</f>
      </c>
      <c r="N683" s="0" t="inlineStr">
        <is>
          <t xml:space="preserve">2025-09</t>
        </is>
      </c>
      <c r="O683" s="0">
        <f>INDEX(Journaux!$E$5:$E$18,MATCH("2025|"&amp;A683,Journaux!$A$5:$A$18,0))</f>
      </c>
      <c r="P683" s="0">
        <f>INDEX(Comptes!$K$5:$K$42,MATCH(E683,Comptes!$A$5:$A$42,0))</f>
      </c>
      <c r="Q683" s="0" t="inlineStr">
        <is>
          <t xml:space="preserve">4</t>
        </is>
      </c>
    </row>
    <row r="684">
      <c r="A684" s="4" t="inlineStr">
        <is>
          <t xml:space="preserve">AC</t>
        </is>
      </c>
      <c r="B684" s="0" t="inlineStr">
        <is>
          <t xml:space="preserve">Journal des achats</t>
        </is>
      </c>
      <c r="C684" s="0" t="inlineStr">
        <is>
          <t xml:space="preserve">AC00052</t>
        </is>
      </c>
      <c r="D684" s="10">
        <v>45929</v>
      </c>
      <c r="E684" s="4" t="inlineStr">
        <is>
          <t xml:space="preserve">401000</t>
        </is>
      </c>
      <c r="F684" s="0" t="inlineStr">
        <is>
          <t xml:space="preserve">Fournisseurs</t>
        </is>
      </c>
      <c r="G684" s="0" t="inlineStr">
        <is>
          <t xml:space="preserve">F003-2025092</t>
        </is>
      </c>
      <c r="H684" s="0" t="inlineStr">
        <is>
          <t xml:space="preserve">Facture Vernis et Finitions F003-2025092</t>
        </is>
      </c>
      <c r="I684" s="8">
        <v>0</v>
      </c>
      <c r="J684" s="8">
        <v>25951.42</v>
      </c>
      <c r="K684" s="0" t="inlineStr">
        <is>
          <t xml:space="preserve">ADH</t>
        </is>
      </c>
      <c r="L684" s="0" t="inlineStr">
        <is>
          <t xml:space="preserve">Vernis et Finitions</t>
        </is>
      </c>
      <c r="M684" s="8">
        <f>I684-J684</f>
      </c>
      <c r="N684" s="0" t="inlineStr">
        <is>
          <t xml:space="preserve">2025-09</t>
        </is>
      </c>
      <c r="O684" s="0">
        <f>INDEX(Journaux!$E$5:$E$18,MATCH("2025|"&amp;A684,Journaux!$A$5:$A$18,0))</f>
      </c>
      <c r="P684" s="0">
        <f>INDEX(Comptes!$K$5:$K$42,MATCH(E684,Comptes!$A$5:$A$42,0))</f>
      </c>
      <c r="Q684" s="0" t="inlineStr">
        <is>
          <t xml:space="preserve">4</t>
        </is>
      </c>
      <c r="R684" s="7" t="inlineStr">
        <is>
          <t xml:space="preserve">401000|F003</t>
        </is>
      </c>
    </row>
    <row r="685">
      <c r="A685" s="4" t="inlineStr">
        <is>
          <t xml:space="preserve">AC</t>
        </is>
      </c>
      <c r="B685" s="0" t="inlineStr">
        <is>
          <t xml:space="preserve">Journal des achats</t>
        </is>
      </c>
      <c r="C685" s="0" t="inlineStr">
        <is>
          <t xml:space="preserve">AC00051</t>
        </is>
      </c>
      <c r="D685" s="10">
        <v>45930</v>
      </c>
      <c r="E685" s="4" t="inlineStr">
        <is>
          <t xml:space="preserve">601000</t>
        </is>
      </c>
      <c r="F685" s="0" t="inlineStr">
        <is>
          <t xml:space="preserve">Achats de matieres premieres</t>
        </is>
      </c>
      <c r="G685" s="0" t="inlineStr">
        <is>
          <t xml:space="preserve">F001-2025091</t>
        </is>
      </c>
      <c r="H685" s="0" t="inlineStr">
        <is>
          <t xml:space="preserve">Facture Scierie du Nord F001-2025091</t>
        </is>
      </c>
      <c r="I685" s="8">
        <v>12504.43</v>
      </c>
      <c r="J685" s="8">
        <v>0</v>
      </c>
      <c r="K685" s="0"/>
      <c r="L685" s="0"/>
      <c r="M685" s="8">
        <f>I685-J685</f>
      </c>
      <c r="N685" s="0" t="inlineStr">
        <is>
          <t xml:space="preserve">2025-09</t>
        </is>
      </c>
      <c r="O685" s="0">
        <f>INDEX(Journaux!$E$5:$E$18,MATCH("2025|"&amp;A685,Journaux!$A$5:$A$18,0))</f>
      </c>
      <c r="P685" s="0">
        <f>INDEX(Comptes!$K$5:$K$42,MATCH(E685,Comptes!$A$5:$A$42,0))</f>
      </c>
      <c r="Q685" s="0" t="inlineStr">
        <is>
          <t xml:space="preserve">6</t>
        </is>
      </c>
    </row>
    <row r="686">
      <c r="A686" s="4" t="inlineStr">
        <is>
          <t xml:space="preserve">AC</t>
        </is>
      </c>
      <c r="B686" s="0" t="inlineStr">
        <is>
          <t xml:space="preserve">Journal des achats</t>
        </is>
      </c>
      <c r="C686" s="0" t="inlineStr">
        <is>
          <t xml:space="preserve">AC00051</t>
        </is>
      </c>
      <c r="D686" s="10">
        <v>45930</v>
      </c>
      <c r="E686" s="4" t="inlineStr">
        <is>
          <t xml:space="preserve">445660</t>
        </is>
      </c>
      <c r="F686" s="0" t="inlineStr">
        <is>
          <t xml:space="preserve">TVA deductible sur ABS</t>
        </is>
      </c>
      <c r="G686" s="0" t="inlineStr">
        <is>
          <t xml:space="preserve">F001-2025091</t>
        </is>
      </c>
      <c r="H686" s="0" t="inlineStr">
        <is>
          <t xml:space="preserve">Facture Scierie du Nord F001-2025091</t>
        </is>
      </c>
      <c r="I686" s="8">
        <v>2500.89</v>
      </c>
      <c r="J686" s="8">
        <v>0</v>
      </c>
      <c r="K686" s="0"/>
      <c r="L686" s="0"/>
      <c r="M686" s="8">
        <f>I686-J686</f>
      </c>
      <c r="N686" s="0" t="inlineStr">
        <is>
          <t xml:space="preserve">2025-09</t>
        </is>
      </c>
      <c r="O686" s="0">
        <f>INDEX(Journaux!$E$5:$E$18,MATCH("2025|"&amp;A686,Journaux!$A$5:$A$18,0))</f>
      </c>
      <c r="P686" s="0">
        <f>INDEX(Comptes!$K$5:$K$42,MATCH(E686,Comptes!$A$5:$A$42,0))</f>
      </c>
      <c r="Q686" s="0" t="inlineStr">
        <is>
          <t xml:space="preserve">4</t>
        </is>
      </c>
    </row>
    <row r="687">
      <c r="A687" s="4" t="inlineStr">
        <is>
          <t xml:space="preserve">AC</t>
        </is>
      </c>
      <c r="B687" s="0" t="inlineStr">
        <is>
          <t xml:space="preserve">Journal des achats</t>
        </is>
      </c>
      <c r="C687" s="0" t="inlineStr">
        <is>
          <t xml:space="preserve">AC00051</t>
        </is>
      </c>
      <c r="D687" s="10">
        <v>45930</v>
      </c>
      <c r="E687" s="4" t="inlineStr">
        <is>
          <t xml:space="preserve">401000</t>
        </is>
      </c>
      <c r="F687" s="0" t="inlineStr">
        <is>
          <t xml:space="preserve">Fournisseurs</t>
        </is>
      </c>
      <c r="G687" s="0" t="inlineStr">
        <is>
          <t xml:space="preserve">F001-2025091</t>
        </is>
      </c>
      <c r="H687" s="0" t="inlineStr">
        <is>
          <t xml:space="preserve">Facture Scierie du Nord F001-2025091</t>
        </is>
      </c>
      <c r="I687" s="8">
        <v>0</v>
      </c>
      <c r="J687" s="8">
        <v>15005.32</v>
      </c>
      <c r="K687" s="0" t="inlineStr">
        <is>
          <t xml:space="preserve">ADG</t>
        </is>
      </c>
      <c r="L687" s="0" t="inlineStr">
        <is>
          <t xml:space="preserve">Scierie du Nord</t>
        </is>
      </c>
      <c r="M687" s="8">
        <f>I687-J687</f>
      </c>
      <c r="N687" s="0" t="inlineStr">
        <is>
          <t xml:space="preserve">2025-09</t>
        </is>
      </c>
      <c r="O687" s="0">
        <f>INDEX(Journaux!$E$5:$E$18,MATCH("2025|"&amp;A687,Journaux!$A$5:$A$18,0))</f>
      </c>
      <c r="P687" s="0">
        <f>INDEX(Comptes!$K$5:$K$42,MATCH(E687,Comptes!$A$5:$A$42,0))</f>
      </c>
      <c r="Q687" s="0" t="inlineStr">
        <is>
          <t xml:space="preserve">4</t>
        </is>
      </c>
      <c r="R687" s="7" t="inlineStr">
        <is>
          <t xml:space="preserve">401000|F001</t>
        </is>
      </c>
    </row>
    <row r="688">
      <c r="A688" s="4" t="inlineStr">
        <is>
          <t xml:space="preserve">BQ</t>
        </is>
      </c>
      <c r="B688" s="0" t="inlineStr">
        <is>
          <t xml:space="preserve">Banque Fictive</t>
        </is>
      </c>
      <c r="C688" s="0" t="inlineStr">
        <is>
          <t xml:space="preserve">BQ00025</t>
        </is>
      </c>
      <c r="D688" s="10">
        <v>45930</v>
      </c>
      <c r="E688" s="4" t="inlineStr">
        <is>
          <t xml:space="preserve">421000</t>
        </is>
      </c>
      <c r="F688" s="0" t="inlineStr">
        <is>
          <t xml:space="preserve">Personnel remunerations dues</t>
        </is>
      </c>
      <c r="G688" s="0" t="inlineStr">
        <is>
          <t xml:space="preserve">VIRSAL202509</t>
        </is>
      </c>
      <c r="H688" s="0" t="inlineStr">
        <is>
          <t xml:space="preserve">Virement salaires 09/2025</t>
        </is>
      </c>
      <c r="I688" s="8">
        <v>38516.6</v>
      </c>
      <c r="J688" s="8">
        <v>0</v>
      </c>
      <c r="K688" s="0"/>
      <c r="L688" s="0"/>
      <c r="M688" s="8">
        <f>I688-J688</f>
      </c>
      <c r="N688" s="0" t="inlineStr">
        <is>
          <t xml:space="preserve">2025-09</t>
        </is>
      </c>
      <c r="O688" s="0">
        <f>INDEX(Journaux!$E$5:$E$18,MATCH("2025|"&amp;A688,Journaux!$A$5:$A$18,0))</f>
      </c>
      <c r="P688" s="0">
        <f>INDEX(Comptes!$K$5:$K$42,MATCH(E688,Comptes!$A$5:$A$42,0))</f>
      </c>
      <c r="Q688" s="0" t="inlineStr">
        <is>
          <t xml:space="preserve">4</t>
        </is>
      </c>
    </row>
    <row r="689">
      <c r="A689" s="4" t="inlineStr">
        <is>
          <t xml:space="preserve">BQ</t>
        </is>
      </c>
      <c r="B689" s="0" t="inlineStr">
        <is>
          <t xml:space="preserve">Banque Fictive</t>
        </is>
      </c>
      <c r="C689" s="0" t="inlineStr">
        <is>
          <t xml:space="preserve">BQ00025</t>
        </is>
      </c>
      <c r="D689" s="10">
        <v>45930</v>
      </c>
      <c r="E689" s="4" t="inlineStr">
        <is>
          <t xml:space="preserve">512000</t>
        </is>
      </c>
      <c r="F689" s="0" t="inlineStr">
        <is>
          <t xml:space="preserve">Banque Fictive</t>
        </is>
      </c>
      <c r="G689" s="0" t="inlineStr">
        <is>
          <t xml:space="preserve">VIRSAL202509</t>
        </is>
      </c>
      <c r="H689" s="0" t="inlineStr">
        <is>
          <t xml:space="preserve">Virement salaires 09/2025</t>
        </is>
      </c>
      <c r="I689" s="8">
        <v>0</v>
      </c>
      <c r="J689" s="8">
        <v>38516.6</v>
      </c>
      <c r="K689" s="0"/>
      <c r="L689" s="0"/>
      <c r="M689" s="8">
        <f>I689-J689</f>
      </c>
      <c r="N689" s="0" t="inlineStr">
        <is>
          <t xml:space="preserve">2025-09</t>
        </is>
      </c>
      <c r="O689" s="0">
        <f>INDEX(Journaux!$E$5:$E$18,MATCH("2025|"&amp;A689,Journaux!$A$5:$A$18,0))</f>
      </c>
      <c r="P689" s="0">
        <f>INDEX(Comptes!$K$5:$K$42,MATCH(E689,Comptes!$A$5:$A$42,0))</f>
      </c>
      <c r="Q689" s="0" t="inlineStr">
        <is>
          <t xml:space="preserve">5</t>
        </is>
      </c>
    </row>
    <row r="690">
      <c r="A690" s="4" t="inlineStr">
        <is>
          <t xml:space="preserve">BQ</t>
        </is>
      </c>
      <c r="B690" s="0" t="inlineStr">
        <is>
          <t xml:space="preserve">Banque Fictive</t>
        </is>
      </c>
      <c r="C690" s="0" t="inlineStr">
        <is>
          <t xml:space="preserve">BQ00027</t>
        </is>
      </c>
      <c r="D690" s="10">
        <v>45930</v>
      </c>
      <c r="E690" s="4" t="inlineStr">
        <is>
          <t xml:space="preserve">627000</t>
        </is>
      </c>
      <c r="F690" s="0" t="inlineStr">
        <is>
          <t xml:space="preserve">Services bancaires</t>
        </is>
      </c>
      <c r="G690" s="0" t="inlineStr">
        <is>
          <t xml:space="preserve">FRB202509</t>
        </is>
      </c>
      <c r="H690" s="0" t="inlineStr">
        <is>
          <t xml:space="preserve">Frais bancaires 09/2025</t>
        </is>
      </c>
      <c r="I690" s="8">
        <v>85</v>
      </c>
      <c r="J690" s="8">
        <v>0</v>
      </c>
      <c r="K690" s="0"/>
      <c r="L690" s="0"/>
      <c r="M690" s="8">
        <f>I690-J690</f>
      </c>
      <c r="N690" s="0" t="inlineStr">
        <is>
          <t xml:space="preserve">2025-09</t>
        </is>
      </c>
      <c r="O690" s="0">
        <f>INDEX(Journaux!$E$5:$E$18,MATCH("2025|"&amp;A690,Journaux!$A$5:$A$18,0))</f>
      </c>
      <c r="P690" s="0">
        <f>INDEX(Comptes!$K$5:$K$42,MATCH(E690,Comptes!$A$5:$A$42,0))</f>
      </c>
      <c r="Q690" s="0" t="inlineStr">
        <is>
          <t xml:space="preserve">6</t>
        </is>
      </c>
    </row>
    <row r="691">
      <c r="A691" s="4" t="inlineStr">
        <is>
          <t xml:space="preserve">BQ</t>
        </is>
      </c>
      <c r="B691" s="0" t="inlineStr">
        <is>
          <t xml:space="preserve">Banque Fictive</t>
        </is>
      </c>
      <c r="C691" s="0" t="inlineStr">
        <is>
          <t xml:space="preserve">BQ00027</t>
        </is>
      </c>
      <c r="D691" s="10">
        <v>45930</v>
      </c>
      <c r="E691" s="4" t="inlineStr">
        <is>
          <t xml:space="preserve">512000</t>
        </is>
      </c>
      <c r="F691" s="0" t="inlineStr">
        <is>
          <t xml:space="preserve">Banque Fictive</t>
        </is>
      </c>
      <c r="G691" s="0" t="inlineStr">
        <is>
          <t xml:space="preserve">FRB202509</t>
        </is>
      </c>
      <c r="H691" s="0" t="inlineStr">
        <is>
          <t xml:space="preserve">Frais bancaires 09/2025</t>
        </is>
      </c>
      <c r="I691" s="8">
        <v>0</v>
      </c>
      <c r="J691" s="8">
        <v>85</v>
      </c>
      <c r="K691" s="0"/>
      <c r="L691" s="0"/>
      <c r="M691" s="8">
        <f>I691-J691</f>
      </c>
      <c r="N691" s="0" t="inlineStr">
        <is>
          <t xml:space="preserve">2025-09</t>
        </is>
      </c>
      <c r="O691" s="0">
        <f>INDEX(Journaux!$E$5:$E$18,MATCH("2025|"&amp;A691,Journaux!$A$5:$A$18,0))</f>
      </c>
      <c r="P691" s="0">
        <f>INDEX(Comptes!$K$5:$K$42,MATCH(E691,Comptes!$A$5:$A$42,0))</f>
      </c>
      <c r="Q691" s="0" t="inlineStr">
        <is>
          <t xml:space="preserve">5</t>
        </is>
      </c>
    </row>
    <row r="692">
      <c r="A692" s="4" t="inlineStr">
        <is>
          <t xml:space="preserve">OD</t>
        </is>
      </c>
      <c r="B692" s="0" t="inlineStr">
        <is>
          <t xml:space="preserve">Operations diverses</t>
        </is>
      </c>
      <c r="C692" s="0" t="inlineStr">
        <is>
          <t xml:space="preserve">OD00009</t>
        </is>
      </c>
      <c r="D692" s="10">
        <v>45930</v>
      </c>
      <c r="E692" s="4" t="inlineStr">
        <is>
          <t xml:space="preserve">445710</t>
        </is>
      </c>
      <c r="F692" s="0" t="inlineStr">
        <is>
          <t xml:space="preserve">TVA collectee</t>
        </is>
      </c>
      <c r="G692" s="0" t="inlineStr">
        <is>
          <t xml:space="preserve">CA3-202509</t>
        </is>
      </c>
      <c r="H692" s="0" t="inlineStr">
        <is>
          <t xml:space="preserve">Declaration TVA 09/2025</t>
        </is>
      </c>
      <c r="I692" s="8">
        <v>23333.34</v>
      </c>
      <c r="J692" s="8">
        <v>0</v>
      </c>
      <c r="K692" s="0"/>
      <c r="L692" s="0"/>
      <c r="M692" s="8">
        <f>I692-J692</f>
      </c>
      <c r="N692" s="0" t="inlineStr">
        <is>
          <t xml:space="preserve">2025-09</t>
        </is>
      </c>
      <c r="O692" s="0">
        <f>INDEX(Journaux!$E$5:$E$18,MATCH("2025|"&amp;A692,Journaux!$A$5:$A$18,0))</f>
      </c>
      <c r="P692" s="0">
        <f>INDEX(Comptes!$K$5:$K$42,MATCH(E692,Comptes!$A$5:$A$42,0))</f>
      </c>
      <c r="Q692" s="0" t="inlineStr">
        <is>
          <t xml:space="preserve">4</t>
        </is>
      </c>
    </row>
    <row r="693">
      <c r="A693" s="4" t="inlineStr">
        <is>
          <t xml:space="preserve">OD</t>
        </is>
      </c>
      <c r="B693" s="0" t="inlineStr">
        <is>
          <t xml:space="preserve">Operations diverses</t>
        </is>
      </c>
      <c r="C693" s="0" t="inlineStr">
        <is>
          <t xml:space="preserve">OD00009</t>
        </is>
      </c>
      <c r="D693" s="10">
        <v>45930</v>
      </c>
      <c r="E693" s="4" t="inlineStr">
        <is>
          <t xml:space="preserve">445660</t>
        </is>
      </c>
      <c r="F693" s="0" t="inlineStr">
        <is>
          <t xml:space="preserve">TVA deductible sur ABS</t>
        </is>
      </c>
      <c r="G693" s="0" t="inlineStr">
        <is>
          <t xml:space="preserve">CA3-202509</t>
        </is>
      </c>
      <c r="H693" s="0" t="inlineStr">
        <is>
          <t xml:space="preserve">Declaration TVA 09/2025</t>
        </is>
      </c>
      <c r="I693" s="8">
        <v>0</v>
      </c>
      <c r="J693" s="8">
        <v>14501.81</v>
      </c>
      <c r="K693" s="0"/>
      <c r="L693" s="0"/>
      <c r="M693" s="8">
        <f>I693-J693</f>
      </c>
      <c r="N693" s="0" t="inlineStr">
        <is>
          <t xml:space="preserve">2025-09</t>
        </is>
      </c>
      <c r="O693" s="0">
        <f>INDEX(Journaux!$E$5:$E$18,MATCH("2025|"&amp;A693,Journaux!$A$5:$A$18,0))</f>
      </c>
      <c r="P693" s="0">
        <f>INDEX(Comptes!$K$5:$K$42,MATCH(E693,Comptes!$A$5:$A$42,0))</f>
      </c>
      <c r="Q693" s="0" t="inlineStr">
        <is>
          <t xml:space="preserve">4</t>
        </is>
      </c>
    </row>
    <row r="694">
      <c r="A694" s="4" t="inlineStr">
        <is>
          <t xml:space="preserve">OD</t>
        </is>
      </c>
      <c r="B694" s="0" t="inlineStr">
        <is>
          <t xml:space="preserve">Operations diverses</t>
        </is>
      </c>
      <c r="C694" s="0" t="inlineStr">
        <is>
          <t xml:space="preserve">OD00009</t>
        </is>
      </c>
      <c r="D694" s="10">
        <v>45930</v>
      </c>
      <c r="E694" s="4" t="inlineStr">
        <is>
          <t xml:space="preserve">445510</t>
        </is>
      </c>
      <c r="F694" s="0" t="inlineStr">
        <is>
          <t xml:space="preserve">TVA a decaisser</t>
        </is>
      </c>
      <c r="G694" s="0" t="inlineStr">
        <is>
          <t xml:space="preserve">CA3-202509</t>
        </is>
      </c>
      <c r="H694" s="0" t="inlineStr">
        <is>
          <t xml:space="preserve">Declaration TVA 09/2025</t>
        </is>
      </c>
      <c r="I694" s="8">
        <v>0</v>
      </c>
      <c r="J694" s="8">
        <v>8831.53</v>
      </c>
      <c r="K694" s="0"/>
      <c r="L694" s="0"/>
      <c r="M694" s="8">
        <f>I694-J694</f>
      </c>
      <c r="N694" s="0" t="inlineStr">
        <is>
          <t xml:space="preserve">2025-09</t>
        </is>
      </c>
      <c r="O694" s="0">
        <f>INDEX(Journaux!$E$5:$E$18,MATCH("2025|"&amp;A694,Journaux!$A$5:$A$18,0))</f>
      </c>
      <c r="P694" s="0">
        <f>INDEX(Comptes!$K$5:$K$42,MATCH(E694,Comptes!$A$5:$A$42,0))</f>
      </c>
      <c r="Q694" s="0" t="inlineStr">
        <is>
          <t xml:space="preserve">4</t>
        </is>
      </c>
    </row>
    <row r="695">
      <c r="A695" s="4" t="inlineStr">
        <is>
          <t xml:space="preserve">OD</t>
        </is>
      </c>
      <c r="B695" s="0" t="inlineStr">
        <is>
          <t xml:space="preserve">Operations diverses</t>
        </is>
      </c>
      <c r="C695" s="0" t="inlineStr">
        <is>
          <t xml:space="preserve">OD00014</t>
        </is>
      </c>
      <c r="D695" s="10">
        <v>45930</v>
      </c>
      <c r="E695" s="4" t="inlineStr">
        <is>
          <t xml:space="preserve">625100</t>
        </is>
      </c>
      <c r="F695" s="0" t="inlineStr">
        <is>
          <t xml:space="preserve">Voyages et deplacements</t>
        </is>
      </c>
      <c r="G695" s="0" t="inlineStr">
        <is>
          <t xml:space="preserve">OD2025-09-REG</t>
        </is>
      </c>
      <c r="H695" s="0" t="inlineStr">
        <is>
          <t xml:space="preserve">Regularisation frais de deplacement</t>
        </is>
      </c>
      <c r="I695" s="8">
        <v>1250</v>
      </c>
      <c r="J695" s="8">
        <v>0</v>
      </c>
      <c r="K695" s="0"/>
      <c r="L695" s="0"/>
      <c r="M695" s="8">
        <f>I695-J695</f>
      </c>
      <c r="N695" s="0" t="inlineStr">
        <is>
          <t xml:space="preserve">2025-09</t>
        </is>
      </c>
      <c r="O695" s="0">
        <f>INDEX(Journaux!$E$5:$E$18,MATCH("2025|"&amp;A695,Journaux!$A$5:$A$18,0))</f>
      </c>
      <c r="P695" s="0">
        <f>INDEX(Comptes!$K$5:$K$42,MATCH(E695,Comptes!$A$5:$A$42,0))</f>
      </c>
      <c r="Q695" s="0" t="inlineStr">
        <is>
          <t xml:space="preserve">6</t>
        </is>
      </c>
    </row>
    <row r="696">
      <c r="A696" s="4" t="inlineStr">
        <is>
          <t xml:space="preserve">OD</t>
        </is>
      </c>
      <c r="B696" s="0" t="inlineStr">
        <is>
          <t xml:space="preserve">Operations diverses</t>
        </is>
      </c>
      <c r="C696" s="0" t="inlineStr">
        <is>
          <t xml:space="preserve">OD00014</t>
        </is>
      </c>
      <c r="D696" s="10">
        <v>45930</v>
      </c>
      <c r="E696" s="4" t="inlineStr">
        <is>
          <t xml:space="preserve">401000</t>
        </is>
      </c>
      <c r="F696" s="0" t="inlineStr">
        <is>
          <t xml:space="preserve">Fournisseurs</t>
        </is>
      </c>
      <c r="G696" s="0" t="inlineStr">
        <is>
          <t xml:space="preserve">OD2025-09-REG</t>
        </is>
      </c>
      <c r="H696" s="0" t="inlineStr">
        <is>
          <t xml:space="preserve">Regularisation frais de deplacement</t>
        </is>
      </c>
      <c r="I696" s="8">
        <v>0</v>
      </c>
      <c r="J696" s="8">
        <v>1100</v>
      </c>
      <c r="K696" s="0"/>
      <c r="L696" s="0" t="inlineStr">
        <is>
          <t xml:space="preserve">Cabinet Comptable Exemple</t>
        </is>
      </c>
      <c r="M696" s="8">
        <f>I696-J696</f>
      </c>
      <c r="N696" s="0" t="inlineStr">
        <is>
          <t xml:space="preserve">2025-09</t>
        </is>
      </c>
      <c r="O696" s="0">
        <f>INDEX(Journaux!$E$5:$E$18,MATCH("2025|"&amp;A696,Journaux!$A$5:$A$18,0))</f>
      </c>
      <c r="P696" s="0">
        <f>INDEX(Comptes!$K$5:$K$42,MATCH(E696,Comptes!$A$5:$A$42,0))</f>
      </c>
      <c r="Q696" s="0" t="inlineStr">
        <is>
          <t xml:space="preserve">4</t>
        </is>
      </c>
      <c r="R696" s="7" t="inlineStr">
        <is>
          <t xml:space="preserve">401000|F007</t>
        </is>
      </c>
    </row>
    <row r="697">
      <c r="A697" s="4" t="inlineStr">
        <is>
          <t xml:space="preserve">SA</t>
        </is>
      </c>
      <c r="B697" s="0" t="inlineStr">
        <is>
          <t xml:space="preserve">Salaires</t>
        </is>
      </c>
      <c r="C697" s="0" t="inlineStr">
        <is>
          <t xml:space="preserve">SA00009</t>
        </is>
      </c>
      <c r="D697" s="10">
        <v>45930</v>
      </c>
      <c r="E697" s="4" t="inlineStr">
        <is>
          <t xml:space="preserve">641000</t>
        </is>
      </c>
      <c r="F697" s="0" t="inlineStr">
        <is>
          <t xml:space="preserve">Remunerations du personnel</t>
        </is>
      </c>
      <c r="G697" s="0" t="inlineStr">
        <is>
          <t xml:space="preserve">PAIE202509</t>
        </is>
      </c>
      <c r="H697" s="0" t="inlineStr">
        <is>
          <t xml:space="preserve">Paie 09/2025</t>
        </is>
      </c>
      <c r="I697" s="8">
        <v>49380.26</v>
      </c>
      <c r="J697" s="8">
        <v>0</v>
      </c>
      <c r="K697" s="0"/>
      <c r="L697" s="0"/>
      <c r="M697" s="8">
        <f>I697-J697</f>
      </c>
      <c r="N697" s="0" t="inlineStr">
        <is>
          <t xml:space="preserve">2025-09</t>
        </is>
      </c>
      <c r="O697" s="0">
        <f>INDEX(Journaux!$E$5:$E$18,MATCH("2025|"&amp;A697,Journaux!$A$5:$A$18,0))</f>
      </c>
      <c r="P697" s="0">
        <f>INDEX(Comptes!$K$5:$K$42,MATCH(E697,Comptes!$A$5:$A$42,0))</f>
      </c>
      <c r="Q697" s="0" t="inlineStr">
        <is>
          <t xml:space="preserve">6</t>
        </is>
      </c>
    </row>
    <row r="698">
      <c r="A698" s="4" t="inlineStr">
        <is>
          <t xml:space="preserve">SA</t>
        </is>
      </c>
      <c r="B698" s="0" t="inlineStr">
        <is>
          <t xml:space="preserve">Salaires</t>
        </is>
      </c>
      <c r="C698" s="0" t="inlineStr">
        <is>
          <t xml:space="preserve">SA00009</t>
        </is>
      </c>
      <c r="D698" s="10">
        <v>45930</v>
      </c>
      <c r="E698" s="4" t="inlineStr">
        <is>
          <t xml:space="preserve">645100</t>
        </is>
      </c>
      <c r="F698" s="0" t="inlineStr">
        <is>
          <t xml:space="preserve">Cotisations URSSAF</t>
        </is>
      </c>
      <c r="G698" s="0" t="inlineStr">
        <is>
          <t xml:space="preserve">PAIE202509</t>
        </is>
      </c>
      <c r="H698" s="0" t="inlineStr">
        <is>
          <t xml:space="preserve">Paie 09/2025</t>
        </is>
      </c>
      <c r="I698" s="8">
        <v>20739.71</v>
      </c>
      <c r="J698" s="8">
        <v>0</v>
      </c>
      <c r="K698" s="0"/>
      <c r="L698" s="0"/>
      <c r="M698" s="8">
        <f>I698-J698</f>
      </c>
      <c r="N698" s="0" t="inlineStr">
        <is>
          <t xml:space="preserve">2025-09</t>
        </is>
      </c>
      <c r="O698" s="0">
        <f>INDEX(Journaux!$E$5:$E$18,MATCH("2025|"&amp;A698,Journaux!$A$5:$A$18,0))</f>
      </c>
      <c r="P698" s="0">
        <f>INDEX(Comptes!$K$5:$K$42,MATCH(E698,Comptes!$A$5:$A$42,0))</f>
      </c>
      <c r="Q698" s="0" t="inlineStr">
        <is>
          <t xml:space="preserve">6</t>
        </is>
      </c>
    </row>
    <row r="699">
      <c r="A699" s="4" t="inlineStr">
        <is>
          <t xml:space="preserve">SA</t>
        </is>
      </c>
      <c r="B699" s="0" t="inlineStr">
        <is>
          <t xml:space="preserve">Salaires</t>
        </is>
      </c>
      <c r="C699" s="0" t="inlineStr">
        <is>
          <t xml:space="preserve">SA00009</t>
        </is>
      </c>
      <c r="D699" s="10">
        <v>45930</v>
      </c>
      <c r="E699" s="4" t="inlineStr">
        <is>
          <t xml:space="preserve">421000</t>
        </is>
      </c>
      <c r="F699" s="0" t="inlineStr">
        <is>
          <t xml:space="preserve">Personnel remunerations dues</t>
        </is>
      </c>
      <c r="G699" s="0" t="inlineStr">
        <is>
          <t xml:space="preserve">PAIE202509</t>
        </is>
      </c>
      <c r="H699" s="0" t="inlineStr">
        <is>
          <t xml:space="preserve">Paie 09/2025</t>
        </is>
      </c>
      <c r="I699" s="8">
        <v>0</v>
      </c>
      <c r="J699" s="8">
        <v>38516.6</v>
      </c>
      <c r="K699" s="0"/>
      <c r="L699" s="0"/>
      <c r="M699" s="8">
        <f>I699-J699</f>
      </c>
      <c r="N699" s="0" t="inlineStr">
        <is>
          <t xml:space="preserve">2025-09</t>
        </is>
      </c>
      <c r="O699" s="0">
        <f>INDEX(Journaux!$E$5:$E$18,MATCH("2025|"&amp;A699,Journaux!$A$5:$A$18,0))</f>
      </c>
      <c r="P699" s="0">
        <f>INDEX(Comptes!$K$5:$K$42,MATCH(E699,Comptes!$A$5:$A$42,0))</f>
      </c>
      <c r="Q699" s="0" t="inlineStr">
        <is>
          <t xml:space="preserve">4</t>
        </is>
      </c>
    </row>
    <row r="700">
      <c r="A700" s="4" t="inlineStr">
        <is>
          <t xml:space="preserve">SA</t>
        </is>
      </c>
      <c r="B700" s="0" t="inlineStr">
        <is>
          <t xml:space="preserve">Salaires</t>
        </is>
      </c>
      <c r="C700" s="0" t="inlineStr">
        <is>
          <t xml:space="preserve">SA00009</t>
        </is>
      </c>
      <c r="D700" s="10">
        <v>45930</v>
      </c>
      <c r="E700" s="4" t="inlineStr">
        <is>
          <t xml:space="preserve">431000</t>
        </is>
      </c>
      <c r="F700" s="0" t="inlineStr">
        <is>
          <t xml:space="preserve">Securite sociale</t>
        </is>
      </c>
      <c r="G700" s="0" t="inlineStr">
        <is>
          <t xml:space="preserve">PAIE202509</t>
        </is>
      </c>
      <c r="H700" s="0" t="inlineStr">
        <is>
          <t xml:space="preserve">Paie 09/2025</t>
        </is>
      </c>
      <c r="I700" s="8">
        <v>0</v>
      </c>
      <c r="J700" s="8">
        <v>31603.37</v>
      </c>
      <c r="K700" s="0"/>
      <c r="L700" s="0"/>
      <c r="M700" s="8">
        <f>I700-J700</f>
      </c>
      <c r="N700" s="0" t="inlineStr">
        <is>
          <t xml:space="preserve">2025-09</t>
        </is>
      </c>
      <c r="O700" s="0">
        <f>INDEX(Journaux!$E$5:$E$18,MATCH("2025|"&amp;A700,Journaux!$A$5:$A$18,0))</f>
      </c>
      <c r="P700" s="0">
        <f>INDEX(Comptes!$K$5:$K$42,MATCH(E700,Comptes!$A$5:$A$42,0))</f>
      </c>
      <c r="Q700" s="0" t="inlineStr">
        <is>
          <t xml:space="preserve">4</t>
        </is>
      </c>
    </row>
    <row r="701">
      <c r="A701" s="4" t="inlineStr">
        <is>
          <t xml:space="preserve">BQ</t>
        </is>
      </c>
      <c r="B701" s="0" t="inlineStr">
        <is>
          <t xml:space="preserve">Banque Fictive</t>
        </is>
      </c>
      <c r="C701" s="0" t="inlineStr">
        <is>
          <t xml:space="preserve">BQ00098</t>
        </is>
      </c>
      <c r="D701" s="10">
        <v>45931</v>
      </c>
      <c r="E701" s="4" t="inlineStr">
        <is>
          <t xml:space="preserve">512000</t>
        </is>
      </c>
      <c r="F701" s="0" t="inlineStr">
        <is>
          <t xml:space="preserve">Banque Fictive</t>
        </is>
      </c>
      <c r="G701" s="0" t="inlineStr">
        <is>
          <t xml:space="preserve">ENC-FA2025-0031</t>
        </is>
      </c>
      <c r="H701" s="0" t="inlineStr">
        <is>
          <t xml:space="preserve">Reglement client Clinique du Parc FA2025-0031</t>
        </is>
      </c>
      <c r="I701" s="8">
        <v>22886.94</v>
      </c>
      <c r="J701" s="8">
        <v>0</v>
      </c>
      <c r="K701" s="0"/>
      <c r="L701" s="0"/>
      <c r="M701" s="8">
        <f>I701-J701</f>
      </c>
      <c r="N701" s="0" t="inlineStr">
        <is>
          <t xml:space="preserve">2025-10</t>
        </is>
      </c>
      <c r="O701" s="0">
        <f>INDEX(Journaux!$E$5:$E$18,MATCH("2025|"&amp;A701,Journaux!$A$5:$A$18,0))</f>
      </c>
      <c r="P701" s="0">
        <f>INDEX(Comptes!$K$5:$K$42,MATCH(E701,Comptes!$A$5:$A$42,0))</f>
      </c>
      <c r="Q701" s="0" t="inlineStr">
        <is>
          <t xml:space="preserve">5</t>
        </is>
      </c>
    </row>
    <row r="702">
      <c r="A702" s="4" t="inlineStr">
        <is>
          <t xml:space="preserve">BQ</t>
        </is>
      </c>
      <c r="B702" s="0" t="inlineStr">
        <is>
          <t xml:space="preserve">Banque Fictive</t>
        </is>
      </c>
      <c r="C702" s="0" t="inlineStr">
        <is>
          <t xml:space="preserve">BQ00098</t>
        </is>
      </c>
      <c r="D702" s="10">
        <v>45931</v>
      </c>
      <c r="E702" s="4" t="inlineStr">
        <is>
          <t xml:space="preserve">411000</t>
        </is>
      </c>
      <c r="F702" s="0" t="inlineStr">
        <is>
          <t xml:space="preserve">Clients</t>
        </is>
      </c>
      <c r="G702" s="0" t="inlineStr">
        <is>
          <t xml:space="preserve">ENC-FA2025-0031</t>
        </is>
      </c>
      <c r="H702" s="0" t="inlineStr">
        <is>
          <t xml:space="preserve">Reglement client Clinique du Parc FA2025-0031</t>
        </is>
      </c>
      <c r="I702" s="8">
        <v>0</v>
      </c>
      <c r="J702" s="8">
        <v>22886.94</v>
      </c>
      <c r="K702" s="0" t="inlineStr">
        <is>
          <t xml:space="preserve">AAM</t>
        </is>
      </c>
      <c r="L702" s="0" t="inlineStr">
        <is>
          <t xml:space="preserve">Clinique du Parc</t>
        </is>
      </c>
      <c r="M702" s="8">
        <f>I702-J702</f>
      </c>
      <c r="N702" s="0" t="inlineStr">
        <is>
          <t xml:space="preserve">2025-10</t>
        </is>
      </c>
      <c r="O702" s="0">
        <f>INDEX(Journaux!$E$5:$E$18,MATCH("2025|"&amp;A702,Journaux!$A$5:$A$18,0))</f>
      </c>
      <c r="P702" s="0">
        <f>INDEX(Comptes!$K$5:$K$42,MATCH(E702,Comptes!$A$5:$A$42,0))</f>
      </c>
      <c r="Q702" s="0" t="inlineStr">
        <is>
          <t xml:space="preserve">4</t>
        </is>
      </c>
      <c r="R702" s="7" t="inlineStr">
        <is>
          <t xml:space="preserve">411000|C006</t>
        </is>
      </c>
    </row>
    <row r="703">
      <c r="A703" s="4" t="inlineStr">
        <is>
          <t xml:space="preserve">BQ</t>
        </is>
      </c>
      <c r="B703" s="0" t="inlineStr">
        <is>
          <t xml:space="preserve">Banque Fictive</t>
        </is>
      </c>
      <c r="C703" s="0" t="inlineStr">
        <is>
          <t xml:space="preserve">BQ00099</t>
        </is>
      </c>
      <c r="D703" s="10">
        <v>45932</v>
      </c>
      <c r="E703" s="4" t="inlineStr">
        <is>
          <t xml:space="preserve">512000</t>
        </is>
      </c>
      <c r="F703" s="0" t="inlineStr">
        <is>
          <t xml:space="preserve">Banque Fictive</t>
        </is>
      </c>
      <c r="G703" s="0" t="inlineStr">
        <is>
          <t xml:space="preserve">ENC-FA2025-0032</t>
        </is>
      </c>
      <c r="H703" s="0" t="inlineStr">
        <is>
          <t xml:space="preserve">Reglement client Agence Mobilis FA2025-0032</t>
        </is>
      </c>
      <c r="I703" s="8">
        <v>24533.7</v>
      </c>
      <c r="J703" s="8">
        <v>0</v>
      </c>
      <c r="K703" s="0"/>
      <c r="L703" s="0"/>
      <c r="M703" s="8">
        <f>I703-J703</f>
      </c>
      <c r="N703" s="0" t="inlineStr">
        <is>
          <t xml:space="preserve">2025-10</t>
        </is>
      </c>
      <c r="O703" s="0">
        <f>INDEX(Journaux!$E$5:$E$18,MATCH("2025|"&amp;A703,Journaux!$A$5:$A$18,0))</f>
      </c>
      <c r="P703" s="0">
        <f>INDEX(Comptes!$K$5:$K$42,MATCH(E703,Comptes!$A$5:$A$42,0))</f>
      </c>
      <c r="Q703" s="0" t="inlineStr">
        <is>
          <t xml:space="preserve">5</t>
        </is>
      </c>
    </row>
    <row r="704">
      <c r="A704" s="4" t="inlineStr">
        <is>
          <t xml:space="preserve">BQ</t>
        </is>
      </c>
      <c r="B704" s="0" t="inlineStr">
        <is>
          <t xml:space="preserve">Banque Fictive</t>
        </is>
      </c>
      <c r="C704" s="0" t="inlineStr">
        <is>
          <t xml:space="preserve">BQ00099</t>
        </is>
      </c>
      <c r="D704" s="10">
        <v>45932</v>
      </c>
      <c r="E704" s="4" t="inlineStr">
        <is>
          <t xml:space="preserve">411000</t>
        </is>
      </c>
      <c r="F704" s="0" t="inlineStr">
        <is>
          <t xml:space="preserve">Clients</t>
        </is>
      </c>
      <c r="G704" s="0" t="inlineStr">
        <is>
          <t xml:space="preserve">ENC-FA2025-0032</t>
        </is>
      </c>
      <c r="H704" s="0" t="inlineStr">
        <is>
          <t xml:space="preserve">Reglement client Agence Mobilis FA2025-0032</t>
        </is>
      </c>
      <c r="I704" s="8">
        <v>0</v>
      </c>
      <c r="J704" s="8">
        <v>24533.7</v>
      </c>
      <c r="K704" s="0" t="inlineStr">
        <is>
          <t xml:space="preserve">AAN</t>
        </is>
      </c>
      <c r="L704" s="0" t="inlineStr">
        <is>
          <t xml:space="preserve">Agence Mobilis</t>
        </is>
      </c>
      <c r="M704" s="8">
        <f>I704-J704</f>
      </c>
      <c r="N704" s="0" t="inlineStr">
        <is>
          <t xml:space="preserve">2025-10</t>
        </is>
      </c>
      <c r="O704" s="0">
        <f>INDEX(Journaux!$E$5:$E$18,MATCH("2025|"&amp;A704,Journaux!$A$5:$A$18,0))</f>
      </c>
      <c r="P704" s="0">
        <f>INDEX(Comptes!$K$5:$K$42,MATCH(E704,Comptes!$A$5:$A$42,0))</f>
      </c>
      <c r="Q704" s="0" t="inlineStr">
        <is>
          <t xml:space="preserve">4</t>
        </is>
      </c>
      <c r="R704" s="7" t="inlineStr">
        <is>
          <t xml:space="preserve">411000|C002</t>
        </is>
      </c>
    </row>
    <row r="705">
      <c r="A705" s="4" t="inlineStr">
        <is>
          <t xml:space="preserve">AC</t>
        </is>
      </c>
      <c r="B705" s="0" t="inlineStr">
        <is>
          <t xml:space="preserve">Journal des achats</t>
        </is>
      </c>
      <c r="C705" s="0" t="inlineStr">
        <is>
          <t xml:space="preserve">AC00061</t>
        </is>
      </c>
      <c r="D705" s="10">
        <v>45935</v>
      </c>
      <c r="E705" s="4" t="inlineStr">
        <is>
          <t xml:space="preserve">613200</t>
        </is>
      </c>
      <c r="F705" s="0" t="inlineStr">
        <is>
          <t xml:space="preserve">Locations immobilieres</t>
        </is>
      </c>
      <c r="G705" s="0" t="inlineStr">
        <is>
          <t xml:space="preserve">F004-202510</t>
        </is>
      </c>
      <c r="H705" s="0" t="inlineStr">
        <is>
          <t xml:space="preserve">Facture SCI Les Halles 2025-10</t>
        </is>
      </c>
      <c r="I705" s="8">
        <v>8500</v>
      </c>
      <c r="J705" s="8">
        <v>0</v>
      </c>
      <c r="K705" s="0"/>
      <c r="L705" s="0"/>
      <c r="M705" s="8">
        <f>I705-J705</f>
      </c>
      <c r="N705" s="0" t="inlineStr">
        <is>
          <t xml:space="preserve">2025-10</t>
        </is>
      </c>
      <c r="O705" s="0">
        <f>INDEX(Journaux!$E$5:$E$18,MATCH("2025|"&amp;A705,Journaux!$A$5:$A$18,0))</f>
      </c>
      <c r="P705" s="0">
        <f>INDEX(Comptes!$K$5:$K$42,MATCH(E705,Comptes!$A$5:$A$42,0))</f>
      </c>
      <c r="Q705" s="0" t="inlineStr">
        <is>
          <t xml:space="preserve">6</t>
        </is>
      </c>
    </row>
    <row r="706">
      <c r="A706" s="4" t="inlineStr">
        <is>
          <t xml:space="preserve">AC</t>
        </is>
      </c>
      <c r="B706" s="0" t="inlineStr">
        <is>
          <t xml:space="preserve">Journal des achats</t>
        </is>
      </c>
      <c r="C706" s="0" t="inlineStr">
        <is>
          <t xml:space="preserve">AC00061</t>
        </is>
      </c>
      <c r="D706" s="10">
        <v>45935</v>
      </c>
      <c r="E706" s="4" t="inlineStr">
        <is>
          <t xml:space="preserve">445660</t>
        </is>
      </c>
      <c r="F706" s="0" t="inlineStr">
        <is>
          <t xml:space="preserve">TVA deductible sur ABS</t>
        </is>
      </c>
      <c r="G706" s="0" t="inlineStr">
        <is>
          <t xml:space="preserve">F004-202510</t>
        </is>
      </c>
      <c r="H706" s="0" t="inlineStr">
        <is>
          <t xml:space="preserve">Facture SCI Les Halles 2025-10</t>
        </is>
      </c>
      <c r="I706" s="8">
        <v>1700</v>
      </c>
      <c r="J706" s="8">
        <v>0</v>
      </c>
      <c r="K706" s="0"/>
      <c r="L706" s="0"/>
      <c r="M706" s="8">
        <f>I706-J706</f>
      </c>
      <c r="N706" s="0" t="inlineStr">
        <is>
          <t xml:space="preserve">2025-10</t>
        </is>
      </c>
      <c r="O706" s="0">
        <f>INDEX(Journaux!$E$5:$E$18,MATCH("2025|"&amp;A706,Journaux!$A$5:$A$18,0))</f>
      </c>
      <c r="P706" s="0">
        <f>INDEX(Comptes!$K$5:$K$42,MATCH(E706,Comptes!$A$5:$A$42,0))</f>
      </c>
      <c r="Q706" s="0" t="inlineStr">
        <is>
          <t xml:space="preserve">4</t>
        </is>
      </c>
    </row>
    <row r="707">
      <c r="A707" s="4" t="inlineStr">
        <is>
          <t xml:space="preserve">AC</t>
        </is>
      </c>
      <c r="B707" s="0" t="inlineStr">
        <is>
          <t xml:space="preserve">Journal des achats</t>
        </is>
      </c>
      <c r="C707" s="0" t="inlineStr">
        <is>
          <t xml:space="preserve">AC00061</t>
        </is>
      </c>
      <c r="D707" s="10">
        <v>45935</v>
      </c>
      <c r="E707" s="4" t="inlineStr">
        <is>
          <t xml:space="preserve">401000</t>
        </is>
      </c>
      <c r="F707" s="0" t="inlineStr">
        <is>
          <t xml:space="preserve">Fournisseurs</t>
        </is>
      </c>
      <c r="G707" s="0" t="inlineStr">
        <is>
          <t xml:space="preserve">F004-202510</t>
        </is>
      </c>
      <c r="H707" s="0" t="inlineStr">
        <is>
          <t xml:space="preserve">Facture SCI Les Halles 2025-10</t>
        </is>
      </c>
      <c r="I707" s="8">
        <v>0</v>
      </c>
      <c r="J707" s="8">
        <v>10200</v>
      </c>
      <c r="K707" s="0" t="inlineStr">
        <is>
          <t xml:space="preserve">ADP</t>
        </is>
      </c>
      <c r="L707" s="0" t="inlineStr">
        <is>
          <t xml:space="preserve">SCI Les Halles</t>
        </is>
      </c>
      <c r="M707" s="8">
        <f>I707-J707</f>
      </c>
      <c r="N707" s="0" t="inlineStr">
        <is>
          <t xml:space="preserve">2025-10</t>
        </is>
      </c>
      <c r="O707" s="0">
        <f>INDEX(Journaux!$E$5:$E$18,MATCH("2025|"&amp;A707,Journaux!$A$5:$A$18,0))</f>
      </c>
      <c r="P707" s="0">
        <f>INDEX(Comptes!$K$5:$K$42,MATCH(E707,Comptes!$A$5:$A$42,0))</f>
      </c>
      <c r="Q707" s="0" t="inlineStr">
        <is>
          <t xml:space="preserve">4</t>
        </is>
      </c>
      <c r="R707" s="7" t="inlineStr">
        <is>
          <t xml:space="preserve">401000|F004</t>
        </is>
      </c>
    </row>
    <row r="708">
      <c r="A708" s="4" t="inlineStr">
        <is>
          <t xml:space="preserve">AC</t>
        </is>
      </c>
      <c r="B708" s="0" t="inlineStr">
        <is>
          <t xml:space="preserve">Journal des achats</t>
        </is>
      </c>
      <c r="C708" s="0" t="inlineStr">
        <is>
          <t xml:space="preserve">AC00062</t>
        </is>
      </c>
      <c r="D708" s="10">
        <v>45935</v>
      </c>
      <c r="E708" s="4" t="inlineStr">
        <is>
          <t xml:space="preserve">606100</t>
        </is>
      </c>
      <c r="F708" s="0" t="inlineStr">
        <is>
          <t xml:space="preserve">Fournitures non stockables energie</t>
        </is>
      </c>
      <c r="G708" s="0" t="inlineStr">
        <is>
          <t xml:space="preserve">F005-202510</t>
        </is>
      </c>
      <c r="H708" s="0" t="inlineStr">
        <is>
          <t xml:space="preserve">Facture Energie Plus 2025-10</t>
        </is>
      </c>
      <c r="I708" s="8">
        <v>2590.02</v>
      </c>
      <c r="J708" s="8">
        <v>0</v>
      </c>
      <c r="K708" s="0"/>
      <c r="L708" s="0"/>
      <c r="M708" s="8">
        <f>I708-J708</f>
      </c>
      <c r="N708" s="0" t="inlineStr">
        <is>
          <t xml:space="preserve">2025-10</t>
        </is>
      </c>
      <c r="O708" s="0">
        <f>INDEX(Journaux!$E$5:$E$18,MATCH("2025|"&amp;A708,Journaux!$A$5:$A$18,0))</f>
      </c>
      <c r="P708" s="0">
        <f>INDEX(Comptes!$K$5:$K$42,MATCH(E708,Comptes!$A$5:$A$42,0))</f>
      </c>
      <c r="Q708" s="0" t="inlineStr">
        <is>
          <t xml:space="preserve">6</t>
        </is>
      </c>
    </row>
    <row r="709">
      <c r="A709" s="4" t="inlineStr">
        <is>
          <t xml:space="preserve">AC</t>
        </is>
      </c>
      <c r="B709" s="0" t="inlineStr">
        <is>
          <t xml:space="preserve">Journal des achats</t>
        </is>
      </c>
      <c r="C709" s="0" t="inlineStr">
        <is>
          <t xml:space="preserve">AC00062</t>
        </is>
      </c>
      <c r="D709" s="10">
        <v>45935</v>
      </c>
      <c r="E709" s="4" t="inlineStr">
        <is>
          <t xml:space="preserve">445660</t>
        </is>
      </c>
      <c r="F709" s="0" t="inlineStr">
        <is>
          <t xml:space="preserve">TVA deductible sur ABS</t>
        </is>
      </c>
      <c r="G709" s="0" t="inlineStr">
        <is>
          <t xml:space="preserve">F005-202510</t>
        </is>
      </c>
      <c r="H709" s="0" t="inlineStr">
        <is>
          <t xml:space="preserve">Facture Energie Plus 2025-10</t>
        </is>
      </c>
      <c r="I709" s="8">
        <v>518</v>
      </c>
      <c r="J709" s="8">
        <v>0</v>
      </c>
      <c r="K709" s="0"/>
      <c r="L709" s="0"/>
      <c r="M709" s="8">
        <f>I709-J709</f>
      </c>
      <c r="N709" s="0" t="inlineStr">
        <is>
          <t xml:space="preserve">2025-10</t>
        </is>
      </c>
      <c r="O709" s="0">
        <f>INDEX(Journaux!$E$5:$E$18,MATCH("2025|"&amp;A709,Journaux!$A$5:$A$18,0))</f>
      </c>
      <c r="P709" s="0">
        <f>INDEX(Comptes!$K$5:$K$42,MATCH(E709,Comptes!$A$5:$A$42,0))</f>
      </c>
      <c r="Q709" s="0" t="inlineStr">
        <is>
          <t xml:space="preserve">4</t>
        </is>
      </c>
    </row>
    <row r="710">
      <c r="A710" s="4" t="inlineStr">
        <is>
          <t xml:space="preserve">AC</t>
        </is>
      </c>
      <c r="B710" s="0" t="inlineStr">
        <is>
          <t xml:space="preserve">Journal des achats</t>
        </is>
      </c>
      <c r="C710" s="0" t="inlineStr">
        <is>
          <t xml:space="preserve">AC00062</t>
        </is>
      </c>
      <c r="D710" s="10">
        <v>45935</v>
      </c>
      <c r="E710" s="4" t="inlineStr">
        <is>
          <t xml:space="preserve">401000</t>
        </is>
      </c>
      <c r="F710" s="0" t="inlineStr">
        <is>
          <t xml:space="preserve">Fournisseurs</t>
        </is>
      </c>
      <c r="G710" s="0" t="inlineStr">
        <is>
          <t xml:space="preserve">F005-202510</t>
        </is>
      </c>
      <c r="H710" s="0" t="inlineStr">
        <is>
          <t xml:space="preserve">Facture Energie Plus 2025-10</t>
        </is>
      </c>
      <c r="I710" s="8">
        <v>0</v>
      </c>
      <c r="J710" s="8">
        <v>3108.02</v>
      </c>
      <c r="K710" s="0" t="inlineStr">
        <is>
          <t xml:space="preserve">ADQ</t>
        </is>
      </c>
      <c r="L710" s="0" t="inlineStr">
        <is>
          <t xml:space="preserve">Energie Plus</t>
        </is>
      </c>
      <c r="M710" s="8">
        <f>I710-J710</f>
      </c>
      <c r="N710" s="0" t="inlineStr">
        <is>
          <t xml:space="preserve">2025-10</t>
        </is>
      </c>
      <c r="O710" s="0">
        <f>INDEX(Journaux!$E$5:$E$18,MATCH("2025|"&amp;A710,Journaux!$A$5:$A$18,0))</f>
      </c>
      <c r="P710" s="0">
        <f>INDEX(Comptes!$K$5:$K$42,MATCH(E710,Comptes!$A$5:$A$42,0))</f>
      </c>
      <c r="Q710" s="0" t="inlineStr">
        <is>
          <t xml:space="preserve">4</t>
        </is>
      </c>
      <c r="R710" s="7" t="inlineStr">
        <is>
          <t xml:space="preserve">401000|F005</t>
        </is>
      </c>
    </row>
    <row r="711">
      <c r="A711" s="4" t="inlineStr">
        <is>
          <t xml:space="preserve">AC</t>
        </is>
      </c>
      <c r="B711" s="0" t="inlineStr">
        <is>
          <t xml:space="preserve">Journal des achats</t>
        </is>
      </c>
      <c r="C711" s="0" t="inlineStr">
        <is>
          <t xml:space="preserve">AC00063</t>
        </is>
      </c>
      <c r="D711" s="10">
        <v>45935</v>
      </c>
      <c r="E711" s="4" t="inlineStr">
        <is>
          <t xml:space="preserve">626000</t>
        </is>
      </c>
      <c r="F711" s="0" t="inlineStr">
        <is>
          <t xml:space="preserve">Frais postaux et telecommunications</t>
        </is>
      </c>
      <c r="G711" s="0" t="inlineStr">
        <is>
          <t xml:space="preserve">F008-202510</t>
        </is>
      </c>
      <c r="H711" s="0" t="inlineStr">
        <is>
          <t xml:space="preserve">Facture Telecom Pro 2025-10</t>
        </is>
      </c>
      <c r="I711" s="8">
        <v>480</v>
      </c>
      <c r="J711" s="8">
        <v>0</v>
      </c>
      <c r="K711" s="0"/>
      <c r="L711" s="0"/>
      <c r="M711" s="8">
        <f>I711-J711</f>
      </c>
      <c r="N711" s="0" t="inlineStr">
        <is>
          <t xml:space="preserve">2025-10</t>
        </is>
      </c>
      <c r="O711" s="0">
        <f>INDEX(Journaux!$E$5:$E$18,MATCH("2025|"&amp;A711,Journaux!$A$5:$A$18,0))</f>
      </c>
      <c r="P711" s="0">
        <f>INDEX(Comptes!$K$5:$K$42,MATCH(E711,Comptes!$A$5:$A$42,0))</f>
      </c>
      <c r="Q711" s="0" t="inlineStr">
        <is>
          <t xml:space="preserve">6</t>
        </is>
      </c>
    </row>
    <row r="712">
      <c r="A712" s="4" t="inlineStr">
        <is>
          <t xml:space="preserve">AC</t>
        </is>
      </c>
      <c r="B712" s="0" t="inlineStr">
        <is>
          <t xml:space="preserve">Journal des achats</t>
        </is>
      </c>
      <c r="C712" s="0" t="inlineStr">
        <is>
          <t xml:space="preserve">AC00063</t>
        </is>
      </c>
      <c r="D712" s="10">
        <v>45935</v>
      </c>
      <c r="E712" s="4" t="inlineStr">
        <is>
          <t xml:space="preserve">445660</t>
        </is>
      </c>
      <c r="F712" s="0" t="inlineStr">
        <is>
          <t xml:space="preserve">TVA deductible sur ABS</t>
        </is>
      </c>
      <c r="G712" s="0" t="inlineStr">
        <is>
          <t xml:space="preserve">F008-202510</t>
        </is>
      </c>
      <c r="H712" s="0" t="inlineStr">
        <is>
          <t xml:space="preserve">Facture Telecom Pro 2025-10</t>
        </is>
      </c>
      <c r="I712" s="8">
        <v>96</v>
      </c>
      <c r="J712" s="8">
        <v>0</v>
      </c>
      <c r="K712" s="0"/>
      <c r="L712" s="0"/>
      <c r="M712" s="8">
        <f>I712-J712</f>
      </c>
      <c r="N712" s="0" t="inlineStr">
        <is>
          <t xml:space="preserve">2025-10</t>
        </is>
      </c>
      <c r="O712" s="0">
        <f>INDEX(Journaux!$E$5:$E$18,MATCH("2025|"&amp;A712,Journaux!$A$5:$A$18,0))</f>
      </c>
      <c r="P712" s="0">
        <f>INDEX(Comptes!$K$5:$K$42,MATCH(E712,Comptes!$A$5:$A$42,0))</f>
      </c>
      <c r="Q712" s="0" t="inlineStr">
        <is>
          <t xml:space="preserve">4</t>
        </is>
      </c>
    </row>
    <row r="713">
      <c r="A713" s="4" t="inlineStr">
        <is>
          <t xml:space="preserve">AC</t>
        </is>
      </c>
      <c r="B713" s="0" t="inlineStr">
        <is>
          <t xml:space="preserve">Journal des achats</t>
        </is>
      </c>
      <c r="C713" s="0" t="inlineStr">
        <is>
          <t xml:space="preserve">AC00063</t>
        </is>
      </c>
      <c r="D713" s="10">
        <v>45935</v>
      </c>
      <c r="E713" s="4" t="inlineStr">
        <is>
          <t xml:space="preserve">401000</t>
        </is>
      </c>
      <c r="F713" s="0" t="inlineStr">
        <is>
          <t xml:space="preserve">Fournisseurs</t>
        </is>
      </c>
      <c r="G713" s="0" t="inlineStr">
        <is>
          <t xml:space="preserve">F008-202510</t>
        </is>
      </c>
      <c r="H713" s="0" t="inlineStr">
        <is>
          <t xml:space="preserve">Facture Telecom Pro 2025-10</t>
        </is>
      </c>
      <c r="I713" s="8">
        <v>0</v>
      </c>
      <c r="J713" s="8">
        <v>576</v>
      </c>
      <c r="K713" s="0" t="inlineStr">
        <is>
          <t xml:space="preserve">ADR</t>
        </is>
      </c>
      <c r="L713" s="0" t="inlineStr">
        <is>
          <t xml:space="preserve">Telecom Pro</t>
        </is>
      </c>
      <c r="M713" s="8">
        <f>I713-J713</f>
      </c>
      <c r="N713" s="0" t="inlineStr">
        <is>
          <t xml:space="preserve">2025-10</t>
        </is>
      </c>
      <c r="O713" s="0">
        <f>INDEX(Journaux!$E$5:$E$18,MATCH("2025|"&amp;A713,Journaux!$A$5:$A$18,0))</f>
      </c>
      <c r="P713" s="0">
        <f>INDEX(Comptes!$K$5:$K$42,MATCH(E713,Comptes!$A$5:$A$42,0))</f>
      </c>
      <c r="Q713" s="0" t="inlineStr">
        <is>
          <t xml:space="preserve">4</t>
        </is>
      </c>
      <c r="R713" s="7" t="inlineStr">
        <is>
          <t xml:space="preserve">401000|F008</t>
        </is>
      </c>
    </row>
    <row r="714">
      <c r="A714" s="4" t="inlineStr">
        <is>
          <t xml:space="preserve">AC</t>
        </is>
      </c>
      <c r="B714" s="0" t="inlineStr">
        <is>
          <t xml:space="preserve">Journal des achats</t>
        </is>
      </c>
      <c r="C714" s="0" t="inlineStr">
        <is>
          <t xml:space="preserve">AC00064</t>
        </is>
      </c>
      <c r="D714" s="10">
        <v>45935</v>
      </c>
      <c r="E714" s="4" t="inlineStr">
        <is>
          <t xml:space="preserve">616000</t>
        </is>
      </c>
      <c r="F714" s="0" t="inlineStr">
        <is>
          <t xml:space="preserve">Primes d'assurance</t>
        </is>
      </c>
      <c r="G714" s="0" t="inlineStr">
        <is>
          <t xml:space="preserve">F006-202510</t>
        </is>
      </c>
      <c r="H714" s="0" t="inlineStr">
        <is>
          <t xml:space="preserve">Facture Assurances Mutuelles Exemple 2025-10</t>
        </is>
      </c>
      <c r="I714" s="8">
        <v>3000</v>
      </c>
      <c r="J714" s="8">
        <v>0</v>
      </c>
      <c r="K714" s="0"/>
      <c r="L714" s="0"/>
      <c r="M714" s="8">
        <f>I714-J714</f>
      </c>
      <c r="N714" s="0" t="inlineStr">
        <is>
          <t xml:space="preserve">2025-10</t>
        </is>
      </c>
      <c r="O714" s="0">
        <f>INDEX(Journaux!$E$5:$E$18,MATCH("2025|"&amp;A714,Journaux!$A$5:$A$18,0))</f>
      </c>
      <c r="P714" s="0">
        <f>INDEX(Comptes!$K$5:$K$42,MATCH(E714,Comptes!$A$5:$A$42,0))</f>
      </c>
      <c r="Q714" s="0" t="inlineStr">
        <is>
          <t xml:space="preserve">6</t>
        </is>
      </c>
    </row>
    <row r="715">
      <c r="A715" s="4" t="inlineStr">
        <is>
          <t xml:space="preserve">AC</t>
        </is>
      </c>
      <c r="B715" s="0" t="inlineStr">
        <is>
          <t xml:space="preserve">Journal des achats</t>
        </is>
      </c>
      <c r="C715" s="0" t="inlineStr">
        <is>
          <t xml:space="preserve">AC00064</t>
        </is>
      </c>
      <c r="D715" s="10">
        <v>45935</v>
      </c>
      <c r="E715" s="4" t="inlineStr">
        <is>
          <t xml:space="preserve">401000</t>
        </is>
      </c>
      <c r="F715" s="0" t="inlineStr">
        <is>
          <t xml:space="preserve">Fournisseurs</t>
        </is>
      </c>
      <c r="G715" s="0" t="inlineStr">
        <is>
          <t xml:space="preserve">F006-202510</t>
        </is>
      </c>
      <c r="H715" s="0" t="inlineStr">
        <is>
          <t xml:space="preserve">Facture Assurances Mutuelles Exemple 2025-10</t>
        </is>
      </c>
      <c r="I715" s="8">
        <v>0</v>
      </c>
      <c r="J715" s="8">
        <v>3000</v>
      </c>
      <c r="K715" s="0" t="inlineStr">
        <is>
          <t xml:space="preserve">ADS</t>
        </is>
      </c>
      <c r="L715" s="0" t="inlineStr">
        <is>
          <t xml:space="preserve">Assurances Mutuelles Exemple</t>
        </is>
      </c>
      <c r="M715" s="8">
        <f>I715-J715</f>
      </c>
      <c r="N715" s="0" t="inlineStr">
        <is>
          <t xml:space="preserve">2025-10</t>
        </is>
      </c>
      <c r="O715" s="0">
        <f>INDEX(Journaux!$E$5:$E$18,MATCH("2025|"&amp;A715,Journaux!$A$5:$A$18,0))</f>
      </c>
      <c r="P715" s="0">
        <f>INDEX(Comptes!$K$5:$K$42,MATCH(E715,Comptes!$A$5:$A$42,0))</f>
      </c>
      <c r="Q715" s="0" t="inlineStr">
        <is>
          <t xml:space="preserve">4</t>
        </is>
      </c>
      <c r="R715" s="7" t="inlineStr">
        <is>
          <t xml:space="preserve">401000|F006</t>
        </is>
      </c>
    </row>
    <row r="716">
      <c r="A716" s="4" t="inlineStr">
        <is>
          <t xml:space="preserve">BQ</t>
        </is>
      </c>
      <c r="B716" s="0" t="inlineStr">
        <is>
          <t xml:space="preserve">Banque Fictive</t>
        </is>
      </c>
      <c r="C716" s="0" t="inlineStr">
        <is>
          <t xml:space="preserve">BQ00100</t>
        </is>
      </c>
      <c r="D716" s="10">
        <v>45936</v>
      </c>
      <c r="E716" s="4" t="inlineStr">
        <is>
          <t xml:space="preserve">512000</t>
        </is>
      </c>
      <c r="F716" s="0" t="inlineStr">
        <is>
          <t xml:space="preserve">Banque Fictive</t>
        </is>
      </c>
      <c r="G716" s="0" t="inlineStr">
        <is>
          <t xml:space="preserve">ENC-FA2025-0033</t>
        </is>
      </c>
      <c r="H716" s="0" t="inlineStr">
        <is>
          <t xml:space="preserve">Reglement client Boutique Hetre et Chene FA2025-0033</t>
        </is>
      </c>
      <c r="I716" s="8">
        <v>23206.55</v>
      </c>
      <c r="J716" s="8">
        <v>0</v>
      </c>
      <c r="K716" s="0"/>
      <c r="L716" s="0"/>
      <c r="M716" s="8">
        <f>I716-J716</f>
      </c>
      <c r="N716" s="0" t="inlineStr">
        <is>
          <t xml:space="preserve">2025-10</t>
        </is>
      </c>
      <c r="O716" s="0">
        <f>INDEX(Journaux!$E$5:$E$18,MATCH("2025|"&amp;A716,Journaux!$A$5:$A$18,0))</f>
      </c>
      <c r="P716" s="0">
        <f>INDEX(Comptes!$K$5:$K$42,MATCH(E716,Comptes!$A$5:$A$42,0))</f>
      </c>
      <c r="Q716" s="0" t="inlineStr">
        <is>
          <t xml:space="preserve">5</t>
        </is>
      </c>
    </row>
    <row r="717">
      <c r="A717" s="4" t="inlineStr">
        <is>
          <t xml:space="preserve">BQ</t>
        </is>
      </c>
      <c r="B717" s="0" t="inlineStr">
        <is>
          <t xml:space="preserve">Banque Fictive</t>
        </is>
      </c>
      <c r="C717" s="0" t="inlineStr">
        <is>
          <t xml:space="preserve">BQ00100</t>
        </is>
      </c>
      <c r="D717" s="10">
        <v>45936</v>
      </c>
      <c r="E717" s="4" t="inlineStr">
        <is>
          <t xml:space="preserve">411000</t>
        </is>
      </c>
      <c r="F717" s="0" t="inlineStr">
        <is>
          <t xml:space="preserve">Clients</t>
        </is>
      </c>
      <c r="G717" s="0" t="inlineStr">
        <is>
          <t xml:space="preserve">ENC-FA2025-0033</t>
        </is>
      </c>
      <c r="H717" s="0" t="inlineStr">
        <is>
          <t xml:space="preserve">Reglement client Boutique Hetre et Chene FA2025-0033</t>
        </is>
      </c>
      <c r="I717" s="8">
        <v>0</v>
      </c>
      <c r="J717" s="8">
        <v>23206.55</v>
      </c>
      <c r="K717" s="0" t="inlineStr">
        <is>
          <t xml:space="preserve">AAO</t>
        </is>
      </c>
      <c r="L717" s="0" t="inlineStr">
        <is>
          <t xml:space="preserve">Boutique Hetre et Chene</t>
        </is>
      </c>
      <c r="M717" s="8">
        <f>I717-J717</f>
      </c>
      <c r="N717" s="0" t="inlineStr">
        <is>
          <t xml:space="preserve">2025-10</t>
        </is>
      </c>
      <c r="O717" s="0">
        <f>INDEX(Journaux!$E$5:$E$18,MATCH("2025|"&amp;A717,Journaux!$A$5:$A$18,0))</f>
      </c>
      <c r="P717" s="0">
        <f>INDEX(Comptes!$K$5:$K$42,MATCH(E717,Comptes!$A$5:$A$42,0))</f>
      </c>
      <c r="Q717" s="0" t="inlineStr">
        <is>
          <t xml:space="preserve">4</t>
        </is>
      </c>
      <c r="R717" s="7" t="inlineStr">
        <is>
          <t xml:space="preserve">411000|C007</t>
        </is>
      </c>
    </row>
    <row r="718">
      <c r="A718" s="4" t="inlineStr">
        <is>
          <t xml:space="preserve">BQ</t>
        </is>
      </c>
      <c r="B718" s="0" t="inlineStr">
        <is>
          <t xml:space="preserve">Banque Fictive</t>
        </is>
      </c>
      <c r="C718" s="0" t="inlineStr">
        <is>
          <t xml:space="preserve">BQ00173</t>
        </is>
      </c>
      <c r="D718" s="10">
        <v>45936</v>
      </c>
      <c r="E718" s="4" t="inlineStr">
        <is>
          <t xml:space="preserve">401000</t>
        </is>
      </c>
      <c r="F718" s="0" t="inlineStr">
        <is>
          <t xml:space="preserve">Fournisseurs</t>
        </is>
      </c>
      <c r="G718" s="0" t="inlineStr">
        <is>
          <t xml:space="preserve">DEC-F004-202509</t>
        </is>
      </c>
      <c r="H718" s="0" t="inlineStr">
        <is>
          <t xml:space="preserve">Reglement fournisseur SCI Les Halles F004-202509</t>
        </is>
      </c>
      <c r="I718" s="8">
        <v>10200</v>
      </c>
      <c r="J718" s="8">
        <v>0</v>
      </c>
      <c r="K718" s="0" t="inlineStr">
        <is>
          <t xml:space="preserve">ADJ</t>
        </is>
      </c>
      <c r="L718" s="0" t="inlineStr">
        <is>
          <t xml:space="preserve">SCI Les Halles</t>
        </is>
      </c>
      <c r="M718" s="8">
        <f>I718-J718</f>
      </c>
      <c r="N718" s="0" t="inlineStr">
        <is>
          <t xml:space="preserve">2025-10</t>
        </is>
      </c>
      <c r="O718" s="0">
        <f>INDEX(Journaux!$E$5:$E$18,MATCH("2025|"&amp;A718,Journaux!$A$5:$A$18,0))</f>
      </c>
      <c r="P718" s="0">
        <f>INDEX(Comptes!$K$5:$K$42,MATCH(E718,Comptes!$A$5:$A$42,0))</f>
      </c>
      <c r="Q718" s="0" t="inlineStr">
        <is>
          <t xml:space="preserve">4</t>
        </is>
      </c>
      <c r="R718" s="7" t="inlineStr">
        <is>
          <t xml:space="preserve">401000|F004</t>
        </is>
      </c>
    </row>
    <row r="719">
      <c r="A719" s="4" t="inlineStr">
        <is>
          <t xml:space="preserve">BQ</t>
        </is>
      </c>
      <c r="B719" s="0" t="inlineStr">
        <is>
          <t xml:space="preserve">Banque Fictive</t>
        </is>
      </c>
      <c r="C719" s="0" t="inlineStr">
        <is>
          <t xml:space="preserve">BQ00173</t>
        </is>
      </c>
      <c r="D719" s="10">
        <v>45936</v>
      </c>
      <c r="E719" s="4" t="inlineStr">
        <is>
          <t xml:space="preserve">512000</t>
        </is>
      </c>
      <c r="F719" s="0" t="inlineStr">
        <is>
          <t xml:space="preserve">Banque Fictive</t>
        </is>
      </c>
      <c r="G719" s="0" t="inlineStr">
        <is>
          <t xml:space="preserve">DEC-F004-202509</t>
        </is>
      </c>
      <c r="H719" s="0" t="inlineStr">
        <is>
          <t xml:space="preserve">Reglement fournisseur SCI Les Halles F004-202509</t>
        </is>
      </c>
      <c r="I719" s="8">
        <v>0</v>
      </c>
      <c r="J719" s="8">
        <v>10200</v>
      </c>
      <c r="K719" s="0"/>
      <c r="L719" s="0"/>
      <c r="M719" s="8">
        <f>I719-J719</f>
      </c>
      <c r="N719" s="0" t="inlineStr">
        <is>
          <t xml:space="preserve">2025-10</t>
        </is>
      </c>
      <c r="O719" s="0">
        <f>INDEX(Journaux!$E$5:$E$18,MATCH("2025|"&amp;A719,Journaux!$A$5:$A$18,0))</f>
      </c>
      <c r="P719" s="0">
        <f>INDEX(Comptes!$K$5:$K$42,MATCH(E719,Comptes!$A$5:$A$42,0))</f>
      </c>
      <c r="Q719" s="0" t="inlineStr">
        <is>
          <t xml:space="preserve">5</t>
        </is>
      </c>
    </row>
    <row r="720">
      <c r="A720" s="4" t="inlineStr">
        <is>
          <t xml:space="preserve">BQ</t>
        </is>
      </c>
      <c r="B720" s="0" t="inlineStr">
        <is>
          <t xml:space="preserve">Banque Fictive</t>
        </is>
      </c>
      <c r="C720" s="0" t="inlineStr">
        <is>
          <t xml:space="preserve">BQ00174</t>
        </is>
      </c>
      <c r="D720" s="10">
        <v>45936</v>
      </c>
      <c r="E720" s="4" t="inlineStr">
        <is>
          <t xml:space="preserve">401000</t>
        </is>
      </c>
      <c r="F720" s="0" t="inlineStr">
        <is>
          <t xml:space="preserve">Fournisseurs</t>
        </is>
      </c>
      <c r="G720" s="0" t="inlineStr">
        <is>
          <t xml:space="preserve">DEC-F005-202509</t>
        </is>
      </c>
      <c r="H720" s="0" t="inlineStr">
        <is>
          <t xml:space="preserve">Reglement fournisseur Energie Plus F005-202509</t>
        </is>
      </c>
      <c r="I720" s="8">
        <v>3234.79</v>
      </c>
      <c r="J720" s="8">
        <v>0</v>
      </c>
      <c r="K720" s="0" t="inlineStr">
        <is>
          <t xml:space="preserve">ADK</t>
        </is>
      </c>
      <c r="L720" s="0" t="inlineStr">
        <is>
          <t xml:space="preserve">Energie Plus</t>
        </is>
      </c>
      <c r="M720" s="8">
        <f>I720-J720</f>
      </c>
      <c r="N720" s="0" t="inlineStr">
        <is>
          <t xml:space="preserve">2025-10</t>
        </is>
      </c>
      <c r="O720" s="0">
        <f>INDEX(Journaux!$E$5:$E$18,MATCH("2025|"&amp;A720,Journaux!$A$5:$A$18,0))</f>
      </c>
      <c r="P720" s="0">
        <f>INDEX(Comptes!$K$5:$K$42,MATCH(E720,Comptes!$A$5:$A$42,0))</f>
      </c>
      <c r="Q720" s="0" t="inlineStr">
        <is>
          <t xml:space="preserve">4</t>
        </is>
      </c>
      <c r="R720" s="7" t="inlineStr">
        <is>
          <t xml:space="preserve">401000|F005</t>
        </is>
      </c>
    </row>
    <row r="721">
      <c r="A721" s="4" t="inlineStr">
        <is>
          <t xml:space="preserve">BQ</t>
        </is>
      </c>
      <c r="B721" s="0" t="inlineStr">
        <is>
          <t xml:space="preserve">Banque Fictive</t>
        </is>
      </c>
      <c r="C721" s="0" t="inlineStr">
        <is>
          <t xml:space="preserve">BQ00174</t>
        </is>
      </c>
      <c r="D721" s="10">
        <v>45936</v>
      </c>
      <c r="E721" s="4" t="inlineStr">
        <is>
          <t xml:space="preserve">512000</t>
        </is>
      </c>
      <c r="F721" s="0" t="inlineStr">
        <is>
          <t xml:space="preserve">Banque Fictive</t>
        </is>
      </c>
      <c r="G721" s="0" t="inlineStr">
        <is>
          <t xml:space="preserve">DEC-F005-202509</t>
        </is>
      </c>
      <c r="H721" s="0" t="inlineStr">
        <is>
          <t xml:space="preserve">Reglement fournisseur Energie Plus F005-202509</t>
        </is>
      </c>
      <c r="I721" s="8">
        <v>0</v>
      </c>
      <c r="J721" s="8">
        <v>3234.79</v>
      </c>
      <c r="K721" s="0"/>
      <c r="L721" s="0"/>
      <c r="M721" s="8">
        <f>I721-J721</f>
      </c>
      <c r="N721" s="0" t="inlineStr">
        <is>
          <t xml:space="preserve">2025-10</t>
        </is>
      </c>
      <c r="O721" s="0">
        <f>INDEX(Journaux!$E$5:$E$18,MATCH("2025|"&amp;A721,Journaux!$A$5:$A$18,0))</f>
      </c>
      <c r="P721" s="0">
        <f>INDEX(Comptes!$K$5:$K$42,MATCH(E721,Comptes!$A$5:$A$42,0))</f>
      </c>
      <c r="Q721" s="0" t="inlineStr">
        <is>
          <t xml:space="preserve">5</t>
        </is>
      </c>
    </row>
    <row r="722">
      <c r="A722" s="4" t="inlineStr">
        <is>
          <t xml:space="preserve">BQ</t>
        </is>
      </c>
      <c r="B722" s="0" t="inlineStr">
        <is>
          <t xml:space="preserve">Banque Fictive</t>
        </is>
      </c>
      <c r="C722" s="0" t="inlineStr">
        <is>
          <t xml:space="preserve">BQ00175</t>
        </is>
      </c>
      <c r="D722" s="10">
        <v>45936</v>
      </c>
      <c r="E722" s="4" t="inlineStr">
        <is>
          <t xml:space="preserve">401000</t>
        </is>
      </c>
      <c r="F722" s="0" t="inlineStr">
        <is>
          <t xml:space="preserve">Fournisseurs</t>
        </is>
      </c>
      <c r="G722" s="0" t="inlineStr">
        <is>
          <t xml:space="preserve">DEC-F008-202509</t>
        </is>
      </c>
      <c r="H722" s="0" t="inlineStr">
        <is>
          <t xml:space="preserve">Reglement fournisseur Telecom Pro F008-202509</t>
        </is>
      </c>
      <c r="I722" s="8">
        <v>576</v>
      </c>
      <c r="J722" s="8">
        <v>0</v>
      </c>
      <c r="K722" s="0" t="inlineStr">
        <is>
          <t xml:space="preserve">ADL</t>
        </is>
      </c>
      <c r="L722" s="0" t="inlineStr">
        <is>
          <t xml:space="preserve">Telecom Pro</t>
        </is>
      </c>
      <c r="M722" s="8">
        <f>I722-J722</f>
      </c>
      <c r="N722" s="0" t="inlineStr">
        <is>
          <t xml:space="preserve">2025-10</t>
        </is>
      </c>
      <c r="O722" s="0">
        <f>INDEX(Journaux!$E$5:$E$18,MATCH("2025|"&amp;A722,Journaux!$A$5:$A$18,0))</f>
      </c>
      <c r="P722" s="0">
        <f>INDEX(Comptes!$K$5:$K$42,MATCH(E722,Comptes!$A$5:$A$42,0))</f>
      </c>
      <c r="Q722" s="0" t="inlineStr">
        <is>
          <t xml:space="preserve">4</t>
        </is>
      </c>
      <c r="R722" s="7" t="inlineStr">
        <is>
          <t xml:space="preserve">401000|F008</t>
        </is>
      </c>
    </row>
    <row r="723">
      <c r="A723" s="4" t="inlineStr">
        <is>
          <t xml:space="preserve">BQ</t>
        </is>
      </c>
      <c r="B723" s="0" t="inlineStr">
        <is>
          <t xml:space="preserve">Banque Fictive</t>
        </is>
      </c>
      <c r="C723" s="0" t="inlineStr">
        <is>
          <t xml:space="preserve">BQ00175</t>
        </is>
      </c>
      <c r="D723" s="10">
        <v>45936</v>
      </c>
      <c r="E723" s="4" t="inlineStr">
        <is>
          <t xml:space="preserve">512000</t>
        </is>
      </c>
      <c r="F723" s="0" t="inlineStr">
        <is>
          <t xml:space="preserve">Banque Fictive</t>
        </is>
      </c>
      <c r="G723" s="0" t="inlineStr">
        <is>
          <t xml:space="preserve">DEC-F008-202509</t>
        </is>
      </c>
      <c r="H723" s="0" t="inlineStr">
        <is>
          <t xml:space="preserve">Reglement fournisseur Telecom Pro F008-202509</t>
        </is>
      </c>
      <c r="I723" s="8">
        <v>0</v>
      </c>
      <c r="J723" s="8">
        <v>576</v>
      </c>
      <c r="K723" s="0"/>
      <c r="L723" s="0"/>
      <c r="M723" s="8">
        <f>I723-J723</f>
      </c>
      <c r="N723" s="0" t="inlineStr">
        <is>
          <t xml:space="preserve">2025-10</t>
        </is>
      </c>
      <c r="O723" s="0">
        <f>INDEX(Journaux!$E$5:$E$18,MATCH("2025|"&amp;A723,Journaux!$A$5:$A$18,0))</f>
      </c>
      <c r="P723" s="0">
        <f>INDEX(Comptes!$K$5:$K$42,MATCH(E723,Comptes!$A$5:$A$42,0))</f>
      </c>
      <c r="Q723" s="0" t="inlineStr">
        <is>
          <t xml:space="preserve">5</t>
        </is>
      </c>
    </row>
    <row r="724">
      <c r="A724" s="4" t="inlineStr">
        <is>
          <t xml:space="preserve">BQ</t>
        </is>
      </c>
      <c r="B724" s="0" t="inlineStr">
        <is>
          <t xml:space="preserve">Banque Fictive</t>
        </is>
      </c>
      <c r="C724" s="0" t="inlineStr">
        <is>
          <t xml:space="preserve">BQ00176</t>
        </is>
      </c>
      <c r="D724" s="10">
        <v>45936</v>
      </c>
      <c r="E724" s="4" t="inlineStr">
        <is>
          <t xml:space="preserve">401000</t>
        </is>
      </c>
      <c r="F724" s="0" t="inlineStr">
        <is>
          <t xml:space="preserve">Fournisseurs</t>
        </is>
      </c>
      <c r="G724" s="0" t="inlineStr">
        <is>
          <t xml:space="preserve">DEC-F007-202509</t>
        </is>
      </c>
      <c r="H724" s="0" t="inlineStr">
        <is>
          <t xml:space="preserve">Reglement fournisseur Cabinet Comptable Exemple F007-202509</t>
        </is>
      </c>
      <c r="I724" s="8">
        <v>7200</v>
      </c>
      <c r="J724" s="8">
        <v>0</v>
      </c>
      <c r="K724" s="0" t="inlineStr">
        <is>
          <t xml:space="preserve">ADM</t>
        </is>
      </c>
      <c r="L724" s="0" t="inlineStr">
        <is>
          <t xml:space="preserve">Cabinet Comptable Exemple</t>
        </is>
      </c>
      <c r="M724" s="8">
        <f>I724-J724</f>
      </c>
      <c r="N724" s="0" t="inlineStr">
        <is>
          <t xml:space="preserve">2025-10</t>
        </is>
      </c>
      <c r="O724" s="0">
        <f>INDEX(Journaux!$E$5:$E$18,MATCH("2025|"&amp;A724,Journaux!$A$5:$A$18,0))</f>
      </c>
      <c r="P724" s="0">
        <f>INDEX(Comptes!$K$5:$K$42,MATCH(E724,Comptes!$A$5:$A$42,0))</f>
      </c>
      <c r="Q724" s="0" t="inlineStr">
        <is>
          <t xml:space="preserve">4</t>
        </is>
      </c>
      <c r="R724" s="7" t="inlineStr">
        <is>
          <t xml:space="preserve">401000|F007</t>
        </is>
      </c>
    </row>
    <row r="725">
      <c r="A725" s="4" t="inlineStr">
        <is>
          <t xml:space="preserve">BQ</t>
        </is>
      </c>
      <c r="B725" s="0" t="inlineStr">
        <is>
          <t xml:space="preserve">Banque Fictive</t>
        </is>
      </c>
      <c r="C725" s="0" t="inlineStr">
        <is>
          <t xml:space="preserve">BQ00176</t>
        </is>
      </c>
      <c r="D725" s="10">
        <v>45936</v>
      </c>
      <c r="E725" s="4" t="inlineStr">
        <is>
          <t xml:space="preserve">512000</t>
        </is>
      </c>
      <c r="F725" s="0" t="inlineStr">
        <is>
          <t xml:space="preserve">Banque Fictive</t>
        </is>
      </c>
      <c r="G725" s="0" t="inlineStr">
        <is>
          <t xml:space="preserve">DEC-F007-202509</t>
        </is>
      </c>
      <c r="H725" s="0" t="inlineStr">
        <is>
          <t xml:space="preserve">Reglement fournisseur Cabinet Comptable Exemple F007-202509</t>
        </is>
      </c>
      <c r="I725" s="8">
        <v>0</v>
      </c>
      <c r="J725" s="8">
        <v>7200</v>
      </c>
      <c r="K725" s="0"/>
      <c r="L725" s="0"/>
      <c r="M725" s="8">
        <f>I725-J725</f>
      </c>
      <c r="N725" s="0" t="inlineStr">
        <is>
          <t xml:space="preserve">2025-10</t>
        </is>
      </c>
      <c r="O725" s="0">
        <f>INDEX(Journaux!$E$5:$E$18,MATCH("2025|"&amp;A725,Journaux!$A$5:$A$18,0))</f>
      </c>
      <c r="P725" s="0">
        <f>INDEX(Comptes!$K$5:$K$42,MATCH(E725,Comptes!$A$5:$A$42,0))</f>
      </c>
      <c r="Q725" s="0" t="inlineStr">
        <is>
          <t xml:space="preserve">5</t>
        </is>
      </c>
    </row>
    <row r="726">
      <c r="A726" s="4" t="inlineStr">
        <is>
          <t xml:space="preserve">VT</t>
        </is>
      </c>
      <c r="B726" s="0" t="inlineStr">
        <is>
          <t xml:space="preserve">Journal des ventes</t>
        </is>
      </c>
      <c r="C726" s="0" t="inlineStr">
        <is>
          <t xml:space="preserve">VT00047</t>
        </is>
      </c>
      <c r="D726" s="10">
        <v>45937</v>
      </c>
      <c r="E726" s="4" t="inlineStr">
        <is>
          <t xml:space="preserve">411000</t>
        </is>
      </c>
      <c r="F726" s="0" t="inlineStr">
        <is>
          <t xml:space="preserve">Clients</t>
        </is>
      </c>
      <c r="G726" s="0" t="inlineStr">
        <is>
          <t xml:space="preserve">FA2025-0047</t>
        </is>
      </c>
      <c r="H726" s="0" t="inlineStr">
        <is>
          <t xml:space="preserve">Facture FA2025-0047 Residence Bel Air</t>
        </is>
      </c>
      <c r="I726" s="8">
        <v>29177.45</v>
      </c>
      <c r="J726" s="8">
        <v>0</v>
      </c>
      <c r="K726" s="0" t="inlineStr">
        <is>
          <t xml:space="preserve">ABA</t>
        </is>
      </c>
      <c r="L726" s="0" t="inlineStr">
        <is>
          <t xml:space="preserve">Residence Bel Air</t>
        </is>
      </c>
      <c r="M726" s="8">
        <f>I726-J726</f>
      </c>
      <c r="N726" s="0" t="inlineStr">
        <is>
          <t xml:space="preserve">2025-10</t>
        </is>
      </c>
      <c r="O726" s="0">
        <f>INDEX(Journaux!$E$5:$E$18,MATCH("2025|"&amp;A726,Journaux!$A$5:$A$18,0))</f>
      </c>
      <c r="P726" s="0">
        <f>INDEX(Comptes!$K$5:$K$42,MATCH(E726,Comptes!$A$5:$A$42,0))</f>
      </c>
      <c r="Q726" s="0" t="inlineStr">
        <is>
          <t xml:space="preserve">4</t>
        </is>
      </c>
      <c r="R726" s="7" t="inlineStr">
        <is>
          <t xml:space="preserve">411000|C003</t>
        </is>
      </c>
    </row>
    <row r="727">
      <c r="A727" s="4" t="inlineStr">
        <is>
          <t xml:space="preserve">VT</t>
        </is>
      </c>
      <c r="B727" s="0" t="inlineStr">
        <is>
          <t xml:space="preserve">Journal des ventes</t>
        </is>
      </c>
      <c r="C727" s="0" t="inlineStr">
        <is>
          <t xml:space="preserve">VT00047</t>
        </is>
      </c>
      <c r="D727" s="10">
        <v>45937</v>
      </c>
      <c r="E727" s="4" t="inlineStr">
        <is>
          <t xml:space="preserve">701000</t>
        </is>
      </c>
      <c r="F727" s="0" t="inlineStr">
        <is>
          <t xml:space="preserve">Ventes de produits finis</t>
        </is>
      </c>
      <c r="G727" s="0" t="inlineStr">
        <is>
          <t xml:space="preserve">FA2025-0047</t>
        </is>
      </c>
      <c r="H727" s="0" t="inlineStr">
        <is>
          <t xml:space="preserve">Facture FA2025-0047 Residence Bel Air</t>
        </is>
      </c>
      <c r="I727" s="8">
        <v>0</v>
      </c>
      <c r="J727" s="8">
        <v>24314.54</v>
      </c>
      <c r="K727" s="0"/>
      <c r="L727" s="0"/>
      <c r="M727" s="8">
        <f>I727-J727</f>
      </c>
      <c r="N727" s="0" t="inlineStr">
        <is>
          <t xml:space="preserve">2025-10</t>
        </is>
      </c>
      <c r="O727" s="0">
        <f>INDEX(Journaux!$E$5:$E$18,MATCH("2025|"&amp;A727,Journaux!$A$5:$A$18,0))</f>
      </c>
      <c r="P727" s="0">
        <f>INDEX(Comptes!$K$5:$K$42,MATCH(E727,Comptes!$A$5:$A$42,0))</f>
      </c>
      <c r="Q727" s="0" t="inlineStr">
        <is>
          <t xml:space="preserve">7</t>
        </is>
      </c>
    </row>
    <row r="728">
      <c r="A728" s="4" t="inlineStr">
        <is>
          <t xml:space="preserve">VT</t>
        </is>
      </c>
      <c r="B728" s="0" t="inlineStr">
        <is>
          <t xml:space="preserve">Journal des ventes</t>
        </is>
      </c>
      <c r="C728" s="0" t="inlineStr">
        <is>
          <t xml:space="preserve">VT00047</t>
        </is>
      </c>
      <c r="D728" s="10">
        <v>45937</v>
      </c>
      <c r="E728" s="4" t="inlineStr">
        <is>
          <t xml:space="preserve">445710</t>
        </is>
      </c>
      <c r="F728" s="0" t="inlineStr">
        <is>
          <t xml:space="preserve">TVA collectee</t>
        </is>
      </c>
      <c r="G728" s="0" t="inlineStr">
        <is>
          <t xml:space="preserve">FA2025-0047</t>
        </is>
      </c>
      <c r="H728" s="0" t="inlineStr">
        <is>
          <t xml:space="preserve">Facture FA2025-0047 Residence Bel Air</t>
        </is>
      </c>
      <c r="I728" s="8">
        <v>0</v>
      </c>
      <c r="J728" s="8">
        <v>4862.91</v>
      </c>
      <c r="K728" s="0"/>
      <c r="L728" s="0"/>
      <c r="M728" s="8">
        <f>I728-J728</f>
      </c>
      <c r="N728" s="0" t="inlineStr">
        <is>
          <t xml:space="preserve">2025-10</t>
        </is>
      </c>
      <c r="O728" s="0">
        <f>INDEX(Journaux!$E$5:$E$18,MATCH("2025|"&amp;A728,Journaux!$A$5:$A$18,0))</f>
      </c>
      <c r="P728" s="0">
        <f>INDEX(Comptes!$K$5:$K$42,MATCH(E728,Comptes!$A$5:$A$42,0))</f>
      </c>
      <c r="Q728" s="0" t="inlineStr">
        <is>
          <t xml:space="preserve">4</t>
        </is>
      </c>
    </row>
    <row r="729">
      <c r="A729" s="4" t="inlineStr">
        <is>
          <t xml:space="preserve">BQ</t>
        </is>
      </c>
      <c r="B729" s="0" t="inlineStr">
        <is>
          <t xml:space="preserve">Banque Fictive</t>
        </is>
      </c>
      <c r="C729" s="0" t="inlineStr">
        <is>
          <t xml:space="preserve">BQ00101</t>
        </is>
      </c>
      <c r="D729" s="10">
        <v>45939</v>
      </c>
      <c r="E729" s="4" t="inlineStr">
        <is>
          <t xml:space="preserve">512000</t>
        </is>
      </c>
      <c r="F729" s="0" t="inlineStr">
        <is>
          <t xml:space="preserve">Banque Fictive</t>
        </is>
      </c>
      <c r="G729" s="0" t="inlineStr">
        <is>
          <t xml:space="preserve">ENC-FA2025-0034</t>
        </is>
      </c>
      <c r="H729" s="0" t="inlineStr">
        <is>
          <t xml:space="preserve">Reglement client Cabinet Varenne Associes FA2025-0034</t>
        </is>
      </c>
      <c r="I729" s="8">
        <v>25251.25</v>
      </c>
      <c r="J729" s="8">
        <v>0</v>
      </c>
      <c r="K729" s="0"/>
      <c r="L729" s="0"/>
      <c r="M729" s="8">
        <f>I729-J729</f>
      </c>
      <c r="N729" s="0" t="inlineStr">
        <is>
          <t xml:space="preserve">2025-10</t>
        </is>
      </c>
      <c r="O729" s="0">
        <f>INDEX(Journaux!$E$5:$E$18,MATCH("2025|"&amp;A729,Journaux!$A$5:$A$18,0))</f>
      </c>
      <c r="P729" s="0">
        <f>INDEX(Comptes!$K$5:$K$42,MATCH(E729,Comptes!$A$5:$A$42,0))</f>
      </c>
      <c r="Q729" s="0" t="inlineStr">
        <is>
          <t xml:space="preserve">5</t>
        </is>
      </c>
    </row>
    <row r="730">
      <c r="A730" s="4" t="inlineStr">
        <is>
          <t xml:space="preserve">BQ</t>
        </is>
      </c>
      <c r="B730" s="0" t="inlineStr">
        <is>
          <t xml:space="preserve">Banque Fictive</t>
        </is>
      </c>
      <c r="C730" s="0" t="inlineStr">
        <is>
          <t xml:space="preserve">BQ00101</t>
        </is>
      </c>
      <c r="D730" s="10">
        <v>45939</v>
      </c>
      <c r="E730" s="4" t="inlineStr">
        <is>
          <t xml:space="preserve">411000</t>
        </is>
      </c>
      <c r="F730" s="0" t="inlineStr">
        <is>
          <t xml:space="preserve">Clients</t>
        </is>
      </c>
      <c r="G730" s="0" t="inlineStr">
        <is>
          <t xml:space="preserve">ENC-FA2025-0034</t>
        </is>
      </c>
      <c r="H730" s="0" t="inlineStr">
        <is>
          <t xml:space="preserve">Reglement client Cabinet Varenne Associes FA2025-0034</t>
        </is>
      </c>
      <c r="I730" s="8">
        <v>0</v>
      </c>
      <c r="J730" s="8">
        <v>25251.25</v>
      </c>
      <c r="K730" s="0" t="inlineStr">
        <is>
          <t xml:space="preserve">AAP</t>
        </is>
      </c>
      <c r="L730" s="0" t="inlineStr">
        <is>
          <t xml:space="preserve">Cabinet Varenne Associes</t>
        </is>
      </c>
      <c r="M730" s="8">
        <f>I730-J730</f>
      </c>
      <c r="N730" s="0" t="inlineStr">
        <is>
          <t xml:space="preserve">2025-10</t>
        </is>
      </c>
      <c r="O730" s="0">
        <f>INDEX(Journaux!$E$5:$E$18,MATCH("2025|"&amp;A730,Journaux!$A$5:$A$18,0))</f>
      </c>
      <c r="P730" s="0">
        <f>INDEX(Comptes!$K$5:$K$42,MATCH(E730,Comptes!$A$5:$A$42,0))</f>
      </c>
      <c r="Q730" s="0" t="inlineStr">
        <is>
          <t xml:space="preserve">4</t>
        </is>
      </c>
      <c r="R730" s="7" t="inlineStr">
        <is>
          <t xml:space="preserve">411000|C004</t>
        </is>
      </c>
    </row>
    <row r="731">
      <c r="A731" s="4" t="inlineStr">
        <is>
          <t xml:space="preserve">BQ</t>
        </is>
      </c>
      <c r="B731" s="0" t="inlineStr">
        <is>
          <t xml:space="preserve">Banque Fictive</t>
        </is>
      </c>
      <c r="C731" s="0" t="inlineStr">
        <is>
          <t xml:space="preserve">BQ00029</t>
        </is>
      </c>
      <c r="D731" s="10">
        <v>45940</v>
      </c>
      <c r="E731" s="4" t="inlineStr">
        <is>
          <t xml:space="preserve">164000</t>
        </is>
      </c>
      <c r="F731" s="0" t="inlineStr">
        <is>
          <t xml:space="preserve">Emprunts aupres des etablissements de credit</t>
        </is>
      </c>
      <c r="G731" s="0" t="inlineStr">
        <is>
          <t xml:space="preserve">ECH202510</t>
        </is>
      </c>
      <c r="H731" s="0" t="inlineStr">
        <is>
          <t xml:space="preserve">Echeance emprunt 10/2025</t>
        </is>
      </c>
      <c r="I731" s="8">
        <v>2000</v>
      </c>
      <c r="J731" s="8">
        <v>0</v>
      </c>
      <c r="K731" s="0"/>
      <c r="L731" s="0"/>
      <c r="M731" s="8">
        <f>I731-J731</f>
      </c>
      <c r="N731" s="0" t="inlineStr">
        <is>
          <t xml:space="preserve">2025-10</t>
        </is>
      </c>
      <c r="O731" s="0">
        <f>INDEX(Journaux!$E$5:$E$18,MATCH("2025|"&amp;A731,Journaux!$A$5:$A$18,0))</f>
      </c>
      <c r="P731" s="0">
        <f>INDEX(Comptes!$K$5:$K$42,MATCH(E731,Comptes!$A$5:$A$42,0))</f>
      </c>
      <c r="Q731" s="0" t="inlineStr">
        <is>
          <t xml:space="preserve">1</t>
        </is>
      </c>
    </row>
    <row r="732">
      <c r="A732" s="4" t="inlineStr">
        <is>
          <t xml:space="preserve">BQ</t>
        </is>
      </c>
      <c r="B732" s="0" t="inlineStr">
        <is>
          <t xml:space="preserve">Banque Fictive</t>
        </is>
      </c>
      <c r="C732" s="0" t="inlineStr">
        <is>
          <t xml:space="preserve">BQ00029</t>
        </is>
      </c>
      <c r="D732" s="10">
        <v>45940</v>
      </c>
      <c r="E732" s="4" t="inlineStr">
        <is>
          <t xml:space="preserve">661100</t>
        </is>
      </c>
      <c r="F732" s="0" t="inlineStr">
        <is>
          <t xml:space="preserve">Interets des emprunts</t>
        </is>
      </c>
      <c r="G732" s="0" t="inlineStr">
        <is>
          <t xml:space="preserve">ECH202510</t>
        </is>
      </c>
      <c r="H732" s="0" t="inlineStr">
        <is>
          <t xml:space="preserve">Echeance emprunt 10/2025</t>
        </is>
      </c>
      <c r="I732" s="8">
        <v>160</v>
      </c>
      <c r="J732" s="8">
        <v>0</v>
      </c>
      <c r="K732" s="0"/>
      <c r="L732" s="0"/>
      <c r="M732" s="8">
        <f>I732-J732</f>
      </c>
      <c r="N732" s="0" t="inlineStr">
        <is>
          <t xml:space="preserve">2025-10</t>
        </is>
      </c>
      <c r="O732" s="0">
        <f>INDEX(Journaux!$E$5:$E$18,MATCH("2025|"&amp;A732,Journaux!$A$5:$A$18,0))</f>
      </c>
      <c r="P732" s="0">
        <f>INDEX(Comptes!$K$5:$K$42,MATCH(E732,Comptes!$A$5:$A$42,0))</f>
      </c>
      <c r="Q732" s="0" t="inlineStr">
        <is>
          <t xml:space="preserve">6</t>
        </is>
      </c>
    </row>
    <row r="733">
      <c r="A733" s="4" t="inlineStr">
        <is>
          <t xml:space="preserve">BQ</t>
        </is>
      </c>
      <c r="B733" s="0" t="inlineStr">
        <is>
          <t xml:space="preserve">Banque Fictive</t>
        </is>
      </c>
      <c r="C733" s="0" t="inlineStr">
        <is>
          <t xml:space="preserve">BQ00029</t>
        </is>
      </c>
      <c r="D733" s="10">
        <v>45940</v>
      </c>
      <c r="E733" s="4" t="inlineStr">
        <is>
          <t xml:space="preserve">512000</t>
        </is>
      </c>
      <c r="F733" s="0" t="inlineStr">
        <is>
          <t xml:space="preserve">Banque Fictive</t>
        </is>
      </c>
      <c r="G733" s="0" t="inlineStr">
        <is>
          <t xml:space="preserve">ECH202510</t>
        </is>
      </c>
      <c r="H733" s="0" t="inlineStr">
        <is>
          <t xml:space="preserve">Echeance emprunt 10/2025</t>
        </is>
      </c>
      <c r="I733" s="8">
        <v>0</v>
      </c>
      <c r="J733" s="8">
        <v>2160</v>
      </c>
      <c r="K733" s="0"/>
      <c r="L733" s="0"/>
      <c r="M733" s="8">
        <f>I733-J733</f>
      </c>
      <c r="N733" s="0" t="inlineStr">
        <is>
          <t xml:space="preserve">2025-10</t>
        </is>
      </c>
      <c r="O733" s="0">
        <f>INDEX(Journaux!$E$5:$E$18,MATCH("2025|"&amp;A733,Journaux!$A$5:$A$18,0))</f>
      </c>
      <c r="P733" s="0">
        <f>INDEX(Comptes!$K$5:$K$42,MATCH(E733,Comptes!$A$5:$A$42,0))</f>
      </c>
      <c r="Q733" s="0" t="inlineStr">
        <is>
          <t xml:space="preserve">5</t>
        </is>
      </c>
    </row>
    <row r="734">
      <c r="A734" s="4" t="inlineStr">
        <is>
          <t xml:space="preserve">VT</t>
        </is>
      </c>
      <c r="B734" s="0" t="inlineStr">
        <is>
          <t xml:space="preserve">Journal des ventes</t>
        </is>
      </c>
      <c r="C734" s="0" t="inlineStr">
        <is>
          <t xml:space="preserve">VT00043</t>
        </is>
      </c>
      <c r="D734" s="10">
        <v>45940</v>
      </c>
      <c r="E734" s="4" t="inlineStr">
        <is>
          <t xml:space="preserve">411000</t>
        </is>
      </c>
      <c r="F734" s="0" t="inlineStr">
        <is>
          <t xml:space="preserve">Clients</t>
        </is>
      </c>
      <c r="G734" s="0" t="inlineStr">
        <is>
          <t xml:space="preserve">FA2025-0043</t>
        </is>
      </c>
      <c r="H734" s="0" t="inlineStr">
        <is>
          <t xml:space="preserve">Facture FA2025-0043 Hotel Les Tilleuls</t>
        </is>
      </c>
      <c r="I734" s="8">
        <v>30225.71</v>
      </c>
      <c r="J734" s="8">
        <v>0</v>
      </c>
      <c r="K734" s="0" t="inlineStr">
        <is>
          <t xml:space="preserve">AAY</t>
        </is>
      </c>
      <c r="L734" s="0" t="inlineStr">
        <is>
          <t xml:space="preserve">Hotel Les Tilleuls</t>
        </is>
      </c>
      <c r="M734" s="8">
        <f>I734-J734</f>
      </c>
      <c r="N734" s="0" t="inlineStr">
        <is>
          <t xml:space="preserve">2025-10</t>
        </is>
      </c>
      <c r="O734" s="0">
        <f>INDEX(Journaux!$E$5:$E$18,MATCH("2025|"&amp;A734,Journaux!$A$5:$A$18,0))</f>
      </c>
      <c r="P734" s="0">
        <f>INDEX(Comptes!$K$5:$K$42,MATCH(E734,Comptes!$A$5:$A$42,0))</f>
      </c>
      <c r="Q734" s="0" t="inlineStr">
        <is>
          <t xml:space="preserve">4</t>
        </is>
      </c>
      <c r="R734" s="7" t="inlineStr">
        <is>
          <t xml:space="preserve">411000|C001</t>
        </is>
      </c>
    </row>
    <row r="735">
      <c r="A735" s="4" t="inlineStr">
        <is>
          <t xml:space="preserve">VT</t>
        </is>
      </c>
      <c r="B735" s="0" t="inlineStr">
        <is>
          <t xml:space="preserve">Journal des ventes</t>
        </is>
      </c>
      <c r="C735" s="0" t="inlineStr">
        <is>
          <t xml:space="preserve">VT00043</t>
        </is>
      </c>
      <c r="D735" s="10">
        <v>45940</v>
      </c>
      <c r="E735" s="4" t="inlineStr">
        <is>
          <t xml:space="preserve">701000</t>
        </is>
      </c>
      <c r="F735" s="0" t="inlineStr">
        <is>
          <t xml:space="preserve">Ventes de produits finis</t>
        </is>
      </c>
      <c r="G735" s="0" t="inlineStr">
        <is>
          <t xml:space="preserve">FA2025-0043</t>
        </is>
      </c>
      <c r="H735" s="0" t="inlineStr">
        <is>
          <t xml:space="preserve">Facture FA2025-0043 Hotel Les Tilleuls</t>
        </is>
      </c>
      <c r="I735" s="8">
        <v>0</v>
      </c>
      <c r="J735" s="8">
        <v>25188.09</v>
      </c>
      <c r="K735" s="0"/>
      <c r="L735" s="0"/>
      <c r="M735" s="8">
        <f>I735-J735</f>
      </c>
      <c r="N735" s="0" t="inlineStr">
        <is>
          <t xml:space="preserve">2025-10</t>
        </is>
      </c>
      <c r="O735" s="0">
        <f>INDEX(Journaux!$E$5:$E$18,MATCH("2025|"&amp;A735,Journaux!$A$5:$A$18,0))</f>
      </c>
      <c r="P735" s="0">
        <f>INDEX(Comptes!$K$5:$K$42,MATCH(E735,Comptes!$A$5:$A$42,0))</f>
      </c>
      <c r="Q735" s="0" t="inlineStr">
        <is>
          <t xml:space="preserve">7</t>
        </is>
      </c>
    </row>
    <row r="736">
      <c r="A736" s="4" t="inlineStr">
        <is>
          <t xml:space="preserve">VT</t>
        </is>
      </c>
      <c r="B736" s="0" t="inlineStr">
        <is>
          <t xml:space="preserve">Journal des ventes</t>
        </is>
      </c>
      <c r="C736" s="0" t="inlineStr">
        <is>
          <t xml:space="preserve">VT00043</t>
        </is>
      </c>
      <c r="D736" s="10">
        <v>45940</v>
      </c>
      <c r="E736" s="4" t="inlineStr">
        <is>
          <t xml:space="preserve">445710</t>
        </is>
      </c>
      <c r="F736" s="0" t="inlineStr">
        <is>
          <t xml:space="preserve">TVA collectee</t>
        </is>
      </c>
      <c r="G736" s="0" t="inlineStr">
        <is>
          <t xml:space="preserve">FA2025-0043</t>
        </is>
      </c>
      <c r="H736" s="0" t="inlineStr">
        <is>
          <t xml:space="preserve">Facture FA2025-0043 Hotel Les Tilleuls</t>
        </is>
      </c>
      <c r="I736" s="8">
        <v>0</v>
      </c>
      <c r="J736" s="8">
        <v>5037.62</v>
      </c>
      <c r="K736" s="0"/>
      <c r="L736" s="0"/>
      <c r="M736" s="8">
        <f>I736-J736</f>
      </c>
      <c r="N736" s="0" t="inlineStr">
        <is>
          <t xml:space="preserve">2025-10</t>
        </is>
      </c>
      <c r="O736" s="0">
        <f>INDEX(Journaux!$E$5:$E$18,MATCH("2025|"&amp;A736,Journaux!$A$5:$A$18,0))</f>
      </c>
      <c r="P736" s="0">
        <f>INDEX(Comptes!$K$5:$K$42,MATCH(E736,Comptes!$A$5:$A$42,0))</f>
      </c>
      <c r="Q736" s="0" t="inlineStr">
        <is>
          <t xml:space="preserve">4</t>
        </is>
      </c>
    </row>
    <row r="737">
      <c r="A737" s="4" t="inlineStr">
        <is>
          <t xml:space="preserve">BQ</t>
        </is>
      </c>
      <c r="B737" s="0" t="inlineStr">
        <is>
          <t xml:space="preserve">Banque Fictive</t>
        </is>
      </c>
      <c r="C737" s="0" t="inlineStr">
        <is>
          <t xml:space="preserve">BQ00104</t>
        </is>
      </c>
      <c r="D737" s="10">
        <v>45943</v>
      </c>
      <c r="E737" s="4" t="inlineStr">
        <is>
          <t xml:space="preserve">512000</t>
        </is>
      </c>
      <c r="F737" s="0" t="inlineStr">
        <is>
          <t xml:space="preserve">Banque Fictive</t>
        </is>
      </c>
      <c r="G737" s="0" t="inlineStr">
        <is>
          <t xml:space="preserve">ENC-FA2025-0037</t>
        </is>
      </c>
      <c r="H737" s="0" t="inlineStr">
        <is>
          <t xml:space="preserve">Reglement client Coworking Atelier 9 FA2025-0037</t>
        </is>
      </c>
      <c r="I737" s="8">
        <v>27749.93</v>
      </c>
      <c r="J737" s="8">
        <v>0</v>
      </c>
      <c r="K737" s="0"/>
      <c r="L737" s="0"/>
      <c r="M737" s="8">
        <f>I737-J737</f>
      </c>
      <c r="N737" s="0" t="inlineStr">
        <is>
          <t xml:space="preserve">2025-10</t>
        </is>
      </c>
      <c r="O737" s="0">
        <f>INDEX(Journaux!$E$5:$E$18,MATCH("2025|"&amp;A737,Journaux!$A$5:$A$18,0))</f>
      </c>
      <c r="P737" s="0">
        <f>INDEX(Comptes!$K$5:$K$42,MATCH(E737,Comptes!$A$5:$A$42,0))</f>
      </c>
      <c r="Q737" s="0" t="inlineStr">
        <is>
          <t xml:space="preserve">5</t>
        </is>
      </c>
    </row>
    <row r="738">
      <c r="A738" s="4" t="inlineStr">
        <is>
          <t xml:space="preserve">BQ</t>
        </is>
      </c>
      <c r="B738" s="0" t="inlineStr">
        <is>
          <t xml:space="preserve">Banque Fictive</t>
        </is>
      </c>
      <c r="C738" s="0" t="inlineStr">
        <is>
          <t xml:space="preserve">BQ00104</t>
        </is>
      </c>
      <c r="D738" s="10">
        <v>45943</v>
      </c>
      <c r="E738" s="4" t="inlineStr">
        <is>
          <t xml:space="preserve">411000</t>
        </is>
      </c>
      <c r="F738" s="0" t="inlineStr">
        <is>
          <t xml:space="preserve">Clients</t>
        </is>
      </c>
      <c r="G738" s="0" t="inlineStr">
        <is>
          <t xml:space="preserve">ENC-FA2025-0037</t>
        </is>
      </c>
      <c r="H738" s="0" t="inlineStr">
        <is>
          <t xml:space="preserve">Reglement client Coworking Atelier 9 FA2025-0037</t>
        </is>
      </c>
      <c r="I738" s="8">
        <v>0</v>
      </c>
      <c r="J738" s="8">
        <v>27749.93</v>
      </c>
      <c r="K738" s="0" t="inlineStr">
        <is>
          <t xml:space="preserve">AAS</t>
        </is>
      </c>
      <c r="L738" s="0" t="inlineStr">
        <is>
          <t xml:space="preserve">Coworking Atelier 9</t>
        </is>
      </c>
      <c r="M738" s="8">
        <f>I738-J738</f>
      </c>
      <c r="N738" s="0" t="inlineStr">
        <is>
          <t xml:space="preserve">2025-10</t>
        </is>
      </c>
      <c r="O738" s="0">
        <f>INDEX(Journaux!$E$5:$E$18,MATCH("2025|"&amp;A738,Journaux!$A$5:$A$18,0))</f>
      </c>
      <c r="P738" s="0">
        <f>INDEX(Comptes!$K$5:$K$42,MATCH(E738,Comptes!$A$5:$A$42,0))</f>
      </c>
      <c r="Q738" s="0" t="inlineStr">
        <is>
          <t xml:space="preserve">4</t>
        </is>
      </c>
      <c r="R738" s="7" t="inlineStr">
        <is>
          <t xml:space="preserve">411000|C008</t>
        </is>
      </c>
    </row>
    <row r="739">
      <c r="A739" s="4" t="inlineStr">
        <is>
          <t xml:space="preserve">AC</t>
        </is>
      </c>
      <c r="B739" s="0" t="inlineStr">
        <is>
          <t xml:space="preserve">Journal des achats</t>
        </is>
      </c>
      <c r="C739" s="0" t="inlineStr">
        <is>
          <t xml:space="preserve">AC00060</t>
        </is>
      </c>
      <c r="D739" s="10">
        <v>45945</v>
      </c>
      <c r="E739" s="4" t="inlineStr">
        <is>
          <t xml:space="preserve">601000</t>
        </is>
      </c>
      <c r="F739" s="0" t="inlineStr">
        <is>
          <t xml:space="preserve">Achats de matieres premieres</t>
        </is>
      </c>
      <c r="G739" s="0" t="inlineStr">
        <is>
          <t xml:space="preserve">F001-2025103</t>
        </is>
      </c>
      <c r="H739" s="0" t="inlineStr">
        <is>
          <t xml:space="preserve">Facture Scierie du Nord F001-2025103</t>
        </is>
      </c>
      <c r="I739" s="8">
        <v>20859.69</v>
      </c>
      <c r="J739" s="8">
        <v>0</v>
      </c>
      <c r="K739" s="0"/>
      <c r="L739" s="0"/>
      <c r="M739" s="8">
        <f>I739-J739</f>
      </c>
      <c r="N739" s="0" t="inlineStr">
        <is>
          <t xml:space="preserve">2025-10</t>
        </is>
      </c>
      <c r="O739" s="0">
        <f>INDEX(Journaux!$E$5:$E$18,MATCH("2025|"&amp;A739,Journaux!$A$5:$A$18,0))</f>
      </c>
      <c r="P739" s="0">
        <f>INDEX(Comptes!$K$5:$K$42,MATCH(E739,Comptes!$A$5:$A$42,0))</f>
      </c>
      <c r="Q739" s="0" t="inlineStr">
        <is>
          <t xml:space="preserve">6</t>
        </is>
      </c>
    </row>
    <row r="740">
      <c r="A740" s="4" t="inlineStr">
        <is>
          <t xml:space="preserve">AC</t>
        </is>
      </c>
      <c r="B740" s="0" t="inlineStr">
        <is>
          <t xml:space="preserve">Journal des achats</t>
        </is>
      </c>
      <c r="C740" s="0" t="inlineStr">
        <is>
          <t xml:space="preserve">AC00060</t>
        </is>
      </c>
      <c r="D740" s="10">
        <v>45945</v>
      </c>
      <c r="E740" s="4" t="inlineStr">
        <is>
          <t xml:space="preserve">445660</t>
        </is>
      </c>
      <c r="F740" s="0" t="inlineStr">
        <is>
          <t xml:space="preserve">TVA deductible sur ABS</t>
        </is>
      </c>
      <c r="G740" s="0" t="inlineStr">
        <is>
          <t xml:space="preserve">F001-2025103</t>
        </is>
      </c>
      <c r="H740" s="0" t="inlineStr">
        <is>
          <t xml:space="preserve">Facture Scierie du Nord F001-2025103</t>
        </is>
      </c>
      <c r="I740" s="8">
        <v>4171.94</v>
      </c>
      <c r="J740" s="8">
        <v>0</v>
      </c>
      <c r="K740" s="0"/>
      <c r="L740" s="0"/>
      <c r="M740" s="8">
        <f>I740-J740</f>
      </c>
      <c r="N740" s="0" t="inlineStr">
        <is>
          <t xml:space="preserve">2025-10</t>
        </is>
      </c>
      <c r="O740" s="0">
        <f>INDEX(Journaux!$E$5:$E$18,MATCH("2025|"&amp;A740,Journaux!$A$5:$A$18,0))</f>
      </c>
      <c r="P740" s="0">
        <f>INDEX(Comptes!$K$5:$K$42,MATCH(E740,Comptes!$A$5:$A$42,0))</f>
      </c>
      <c r="Q740" s="0" t="inlineStr">
        <is>
          <t xml:space="preserve">4</t>
        </is>
      </c>
    </row>
    <row r="741">
      <c r="A741" s="4" t="inlineStr">
        <is>
          <t xml:space="preserve">AC</t>
        </is>
      </c>
      <c r="B741" s="0" t="inlineStr">
        <is>
          <t xml:space="preserve">Journal des achats</t>
        </is>
      </c>
      <c r="C741" s="0" t="inlineStr">
        <is>
          <t xml:space="preserve">AC00060</t>
        </is>
      </c>
      <c r="D741" s="10">
        <v>45945</v>
      </c>
      <c r="E741" s="4" t="inlineStr">
        <is>
          <t xml:space="preserve">401000</t>
        </is>
      </c>
      <c r="F741" s="0" t="inlineStr">
        <is>
          <t xml:space="preserve">Fournisseurs</t>
        </is>
      </c>
      <c r="G741" s="0" t="inlineStr">
        <is>
          <t xml:space="preserve">F001-2025103</t>
        </is>
      </c>
      <c r="H741" s="0" t="inlineStr">
        <is>
          <t xml:space="preserve">Facture Scierie du Nord F001-2025103</t>
        </is>
      </c>
      <c r="I741" s="8">
        <v>0</v>
      </c>
      <c r="J741" s="8">
        <v>25031.63</v>
      </c>
      <c r="K741" s="0" t="inlineStr">
        <is>
          <t xml:space="preserve">ADO</t>
        </is>
      </c>
      <c r="L741" s="0" t="inlineStr">
        <is>
          <t xml:space="preserve">Scierie du Nord</t>
        </is>
      </c>
      <c r="M741" s="8">
        <f>I741-J741</f>
      </c>
      <c r="N741" s="0" t="inlineStr">
        <is>
          <t xml:space="preserve">2025-10</t>
        </is>
      </c>
      <c r="O741" s="0">
        <f>INDEX(Journaux!$E$5:$E$18,MATCH("2025|"&amp;A741,Journaux!$A$5:$A$18,0))</f>
      </c>
      <c r="P741" s="0">
        <f>INDEX(Comptes!$K$5:$K$42,MATCH(E741,Comptes!$A$5:$A$42,0))</f>
      </c>
      <c r="Q741" s="0" t="inlineStr">
        <is>
          <t xml:space="preserve">4</t>
        </is>
      </c>
      <c r="R741" s="7" t="inlineStr">
        <is>
          <t xml:space="preserve">401000|F001</t>
        </is>
      </c>
    </row>
    <row r="742">
      <c r="A742" s="4" t="inlineStr">
        <is>
          <t xml:space="preserve">BQ</t>
        </is>
      </c>
      <c r="B742" s="0" t="inlineStr">
        <is>
          <t xml:space="preserve">Banque Fictive</t>
        </is>
      </c>
      <c r="C742" s="0" t="inlineStr">
        <is>
          <t xml:space="preserve">BQ00165</t>
        </is>
      </c>
      <c r="D742" s="10">
        <v>45946</v>
      </c>
      <c r="E742" s="4" t="inlineStr">
        <is>
          <t xml:space="preserve">401000</t>
        </is>
      </c>
      <c r="F742" s="0" t="inlineStr">
        <is>
          <t xml:space="preserve">Fournisseurs</t>
        </is>
      </c>
      <c r="G742" s="0" t="inlineStr">
        <is>
          <t xml:space="preserve">DEC-F002-2025081</t>
        </is>
      </c>
      <c r="H742" s="0" t="inlineStr">
        <is>
          <t xml:space="preserve">Reglement fournisseur Quincaillerie Pro Est F002-2025081</t>
        </is>
      </c>
      <c r="I742" s="8">
        <v>24595.12</v>
      </c>
      <c r="J742" s="8">
        <v>0</v>
      </c>
      <c r="K742" s="0" t="inlineStr">
        <is>
          <t xml:space="preserve">ADB</t>
        </is>
      </c>
      <c r="L742" s="0" t="inlineStr">
        <is>
          <t xml:space="preserve">Quincaillerie Pro Est</t>
        </is>
      </c>
      <c r="M742" s="8">
        <f>I742-J742</f>
      </c>
      <c r="N742" s="0" t="inlineStr">
        <is>
          <t xml:space="preserve">2025-10</t>
        </is>
      </c>
      <c r="O742" s="0">
        <f>INDEX(Journaux!$E$5:$E$18,MATCH("2025|"&amp;A742,Journaux!$A$5:$A$18,0))</f>
      </c>
      <c r="P742" s="0">
        <f>INDEX(Comptes!$K$5:$K$42,MATCH(E742,Comptes!$A$5:$A$42,0))</f>
      </c>
      <c r="Q742" s="0" t="inlineStr">
        <is>
          <t xml:space="preserve">4</t>
        </is>
      </c>
      <c r="R742" s="7" t="inlineStr">
        <is>
          <t xml:space="preserve">401000|F002</t>
        </is>
      </c>
    </row>
    <row r="743">
      <c r="A743" s="4" t="inlineStr">
        <is>
          <t xml:space="preserve">BQ</t>
        </is>
      </c>
      <c r="B743" s="0" t="inlineStr">
        <is>
          <t xml:space="preserve">Banque Fictive</t>
        </is>
      </c>
      <c r="C743" s="0" t="inlineStr">
        <is>
          <t xml:space="preserve">BQ00165</t>
        </is>
      </c>
      <c r="D743" s="10">
        <v>45946</v>
      </c>
      <c r="E743" s="4" t="inlineStr">
        <is>
          <t xml:space="preserve">512000</t>
        </is>
      </c>
      <c r="F743" s="0" t="inlineStr">
        <is>
          <t xml:space="preserve">Banque Fictive</t>
        </is>
      </c>
      <c r="G743" s="0" t="inlineStr">
        <is>
          <t xml:space="preserve">DEC-F002-2025081</t>
        </is>
      </c>
      <c r="H743" s="0" t="inlineStr">
        <is>
          <t xml:space="preserve">Reglement fournisseur Quincaillerie Pro Est F002-2025081</t>
        </is>
      </c>
      <c r="I743" s="8">
        <v>0</v>
      </c>
      <c r="J743" s="8">
        <v>24595.12</v>
      </c>
      <c r="K743" s="0"/>
      <c r="L743" s="0"/>
      <c r="M743" s="8">
        <f>I743-J743</f>
      </c>
      <c r="N743" s="0" t="inlineStr">
        <is>
          <t xml:space="preserve">2025-10</t>
        </is>
      </c>
      <c r="O743" s="0">
        <f>INDEX(Journaux!$E$5:$E$18,MATCH("2025|"&amp;A743,Journaux!$A$5:$A$18,0))</f>
      </c>
      <c r="P743" s="0">
        <f>INDEX(Comptes!$K$5:$K$42,MATCH(E743,Comptes!$A$5:$A$42,0))</f>
      </c>
      <c r="Q743" s="0" t="inlineStr">
        <is>
          <t xml:space="preserve">5</t>
        </is>
      </c>
    </row>
    <row r="744">
      <c r="A744" s="4" t="inlineStr">
        <is>
          <t xml:space="preserve">BQ</t>
        </is>
      </c>
      <c r="B744" s="0" t="inlineStr">
        <is>
          <t xml:space="preserve">Banque Fictive</t>
        </is>
      </c>
      <c r="C744" s="0" t="inlineStr">
        <is>
          <t xml:space="preserve">BQ00056</t>
        </is>
      </c>
      <c r="D744" s="10">
        <v>45950</v>
      </c>
      <c r="E744" s="4" t="inlineStr">
        <is>
          <t xml:space="preserve">445510</t>
        </is>
      </c>
      <c r="F744" s="0" t="inlineStr">
        <is>
          <t xml:space="preserve">TVA a decaisser</t>
        </is>
      </c>
      <c r="G744" s="0" t="inlineStr">
        <is>
          <t xml:space="preserve">TVA202509</t>
        </is>
      </c>
      <c r="H744" s="0" t="inlineStr">
        <is>
          <t xml:space="preserve">Reglement TVA 09/2025</t>
        </is>
      </c>
      <c r="I744" s="8">
        <v>8831.53</v>
      </c>
      <c r="J744" s="8">
        <v>0</v>
      </c>
      <c r="K744" s="0"/>
      <c r="L744" s="0"/>
      <c r="M744" s="8">
        <f>I744-J744</f>
      </c>
      <c r="N744" s="0" t="inlineStr">
        <is>
          <t xml:space="preserve">2025-10</t>
        </is>
      </c>
      <c r="O744" s="0">
        <f>INDEX(Journaux!$E$5:$E$18,MATCH("2025|"&amp;A744,Journaux!$A$5:$A$18,0))</f>
      </c>
      <c r="P744" s="0">
        <f>INDEX(Comptes!$K$5:$K$42,MATCH(E744,Comptes!$A$5:$A$42,0))</f>
      </c>
      <c r="Q744" s="0" t="inlineStr">
        <is>
          <t xml:space="preserve">4</t>
        </is>
      </c>
    </row>
    <row r="745">
      <c r="A745" s="4" t="inlineStr">
        <is>
          <t xml:space="preserve">BQ</t>
        </is>
      </c>
      <c r="B745" s="0" t="inlineStr">
        <is>
          <t xml:space="preserve">Banque Fictive</t>
        </is>
      </c>
      <c r="C745" s="0" t="inlineStr">
        <is>
          <t xml:space="preserve">BQ00056</t>
        </is>
      </c>
      <c r="D745" s="10">
        <v>45950</v>
      </c>
      <c r="E745" s="4" t="inlineStr">
        <is>
          <t xml:space="preserve">512000</t>
        </is>
      </c>
      <c r="F745" s="0" t="inlineStr">
        <is>
          <t xml:space="preserve">Banque Fictive</t>
        </is>
      </c>
      <c r="G745" s="0" t="inlineStr">
        <is>
          <t xml:space="preserve">TVA202509</t>
        </is>
      </c>
      <c r="H745" s="0" t="inlineStr">
        <is>
          <t xml:space="preserve">Reglement TVA 09/2025</t>
        </is>
      </c>
      <c r="I745" s="8">
        <v>0</v>
      </c>
      <c r="J745" s="8">
        <v>8831.53</v>
      </c>
      <c r="K745" s="0"/>
      <c r="L745" s="0"/>
      <c r="M745" s="8">
        <f>I745-J745</f>
      </c>
      <c r="N745" s="0" t="inlineStr">
        <is>
          <t xml:space="preserve">2025-10</t>
        </is>
      </c>
      <c r="O745" s="0">
        <f>INDEX(Journaux!$E$5:$E$18,MATCH("2025|"&amp;A745,Journaux!$A$5:$A$18,0))</f>
      </c>
      <c r="P745" s="0">
        <f>INDEX(Comptes!$K$5:$K$42,MATCH(E745,Comptes!$A$5:$A$42,0))</f>
      </c>
      <c r="Q745" s="0" t="inlineStr">
        <is>
          <t xml:space="preserve">5</t>
        </is>
      </c>
    </row>
    <row r="746">
      <c r="A746" s="4" t="inlineStr">
        <is>
          <t xml:space="preserve">BQ</t>
        </is>
      </c>
      <c r="B746" s="0" t="inlineStr">
        <is>
          <t xml:space="preserve">Banque Fictive</t>
        </is>
      </c>
      <c r="C746" s="0" t="inlineStr">
        <is>
          <t xml:space="preserve">BQ00103</t>
        </is>
      </c>
      <c r="D746" s="10">
        <v>45950</v>
      </c>
      <c r="E746" s="4" t="inlineStr">
        <is>
          <t xml:space="preserve">512000</t>
        </is>
      </c>
      <c r="F746" s="0" t="inlineStr">
        <is>
          <t xml:space="preserve">Banque Fictive</t>
        </is>
      </c>
      <c r="G746" s="0" t="inlineStr">
        <is>
          <t xml:space="preserve">ENC-FA2025-0036</t>
        </is>
      </c>
      <c r="H746" s="0" t="inlineStr">
        <is>
          <t xml:space="preserve">Reglement client Boutique Hetre et Chene FA2025-0036</t>
        </is>
      </c>
      <c r="I746" s="8">
        <v>26052.44</v>
      </c>
      <c r="J746" s="8">
        <v>0</v>
      </c>
      <c r="K746" s="0"/>
      <c r="L746" s="0"/>
      <c r="M746" s="8">
        <f>I746-J746</f>
      </c>
      <c r="N746" s="0" t="inlineStr">
        <is>
          <t xml:space="preserve">2025-10</t>
        </is>
      </c>
      <c r="O746" s="0">
        <f>INDEX(Journaux!$E$5:$E$18,MATCH("2025|"&amp;A746,Journaux!$A$5:$A$18,0))</f>
      </c>
      <c r="P746" s="0">
        <f>INDEX(Comptes!$K$5:$K$42,MATCH(E746,Comptes!$A$5:$A$42,0))</f>
      </c>
      <c r="Q746" s="0" t="inlineStr">
        <is>
          <t xml:space="preserve">5</t>
        </is>
      </c>
    </row>
    <row r="747">
      <c r="A747" s="4" t="inlineStr">
        <is>
          <t xml:space="preserve">BQ</t>
        </is>
      </c>
      <c r="B747" s="0" t="inlineStr">
        <is>
          <t xml:space="preserve">Banque Fictive</t>
        </is>
      </c>
      <c r="C747" s="0" t="inlineStr">
        <is>
          <t xml:space="preserve">BQ00103</t>
        </is>
      </c>
      <c r="D747" s="10">
        <v>45950</v>
      </c>
      <c r="E747" s="4" t="inlineStr">
        <is>
          <t xml:space="preserve">411000</t>
        </is>
      </c>
      <c r="F747" s="0" t="inlineStr">
        <is>
          <t xml:space="preserve">Clients</t>
        </is>
      </c>
      <c r="G747" s="0" t="inlineStr">
        <is>
          <t xml:space="preserve">ENC-FA2025-0036</t>
        </is>
      </c>
      <c r="H747" s="0" t="inlineStr">
        <is>
          <t xml:space="preserve">Reglement client Boutique Hetre et Chene FA2025-0036</t>
        </is>
      </c>
      <c r="I747" s="8">
        <v>0</v>
      </c>
      <c r="J747" s="8">
        <v>26052.44</v>
      </c>
      <c r="K747" s="0" t="inlineStr">
        <is>
          <t xml:space="preserve">AAR</t>
        </is>
      </c>
      <c r="L747" s="0" t="inlineStr">
        <is>
          <t xml:space="preserve">Boutique Hetre et Chene</t>
        </is>
      </c>
      <c r="M747" s="8">
        <f>I747-J747</f>
      </c>
      <c r="N747" s="0" t="inlineStr">
        <is>
          <t xml:space="preserve">2025-10</t>
        </is>
      </c>
      <c r="O747" s="0">
        <f>INDEX(Journaux!$E$5:$E$18,MATCH("2025|"&amp;A747,Journaux!$A$5:$A$18,0))</f>
      </c>
      <c r="P747" s="0">
        <f>INDEX(Comptes!$K$5:$K$42,MATCH(E747,Comptes!$A$5:$A$42,0))</f>
      </c>
      <c r="Q747" s="0" t="inlineStr">
        <is>
          <t xml:space="preserve">4</t>
        </is>
      </c>
      <c r="R747" s="7" t="inlineStr">
        <is>
          <t xml:space="preserve">411000|C007</t>
        </is>
      </c>
    </row>
    <row r="748">
      <c r="A748" s="4" t="inlineStr">
        <is>
          <t xml:space="preserve">AC</t>
        </is>
      </c>
      <c r="B748" s="0" t="inlineStr">
        <is>
          <t xml:space="preserve">Journal des achats</t>
        </is>
      </c>
      <c r="C748" s="0" t="inlineStr">
        <is>
          <t xml:space="preserve">AC00059</t>
        </is>
      </c>
      <c r="D748" s="10">
        <v>45954</v>
      </c>
      <c r="E748" s="4" t="inlineStr">
        <is>
          <t xml:space="preserve">601000</t>
        </is>
      </c>
      <c r="F748" s="0" t="inlineStr">
        <is>
          <t xml:space="preserve">Achats de matieres premieres</t>
        </is>
      </c>
      <c r="G748" s="0" t="inlineStr">
        <is>
          <t xml:space="preserve">F002-2025102</t>
        </is>
      </c>
      <c r="H748" s="0" t="inlineStr">
        <is>
          <t xml:space="preserve">Facture Quincaillerie Pro Est F002-2025102</t>
        </is>
      </c>
      <c r="I748" s="8">
        <v>21726.76</v>
      </c>
      <c r="J748" s="8">
        <v>0</v>
      </c>
      <c r="K748" s="0"/>
      <c r="L748" s="0"/>
      <c r="M748" s="8">
        <f>I748-J748</f>
      </c>
      <c r="N748" s="0" t="inlineStr">
        <is>
          <t xml:space="preserve">2025-10</t>
        </is>
      </c>
      <c r="O748" s="0">
        <f>INDEX(Journaux!$E$5:$E$18,MATCH("2025|"&amp;A748,Journaux!$A$5:$A$18,0))</f>
      </c>
      <c r="P748" s="0">
        <f>INDEX(Comptes!$K$5:$K$42,MATCH(E748,Comptes!$A$5:$A$42,0))</f>
      </c>
      <c r="Q748" s="0" t="inlineStr">
        <is>
          <t xml:space="preserve">6</t>
        </is>
      </c>
    </row>
    <row r="749">
      <c r="A749" s="4" t="inlineStr">
        <is>
          <t xml:space="preserve">AC</t>
        </is>
      </c>
      <c r="B749" s="0" t="inlineStr">
        <is>
          <t xml:space="preserve">Journal des achats</t>
        </is>
      </c>
      <c r="C749" s="0" t="inlineStr">
        <is>
          <t xml:space="preserve">AC00059</t>
        </is>
      </c>
      <c r="D749" s="10">
        <v>45954</v>
      </c>
      <c r="E749" s="4" t="inlineStr">
        <is>
          <t xml:space="preserve">445660</t>
        </is>
      </c>
      <c r="F749" s="0" t="inlineStr">
        <is>
          <t xml:space="preserve">TVA deductible sur ABS</t>
        </is>
      </c>
      <c r="G749" s="0" t="inlineStr">
        <is>
          <t xml:space="preserve">F002-2025102</t>
        </is>
      </c>
      <c r="H749" s="0" t="inlineStr">
        <is>
          <t xml:space="preserve">Facture Quincaillerie Pro Est F002-2025102</t>
        </is>
      </c>
      <c r="I749" s="8">
        <v>4345.35</v>
      </c>
      <c r="J749" s="8">
        <v>0</v>
      </c>
      <c r="K749" s="0"/>
      <c r="L749" s="0"/>
      <c r="M749" s="8">
        <f>I749-J749</f>
      </c>
      <c r="N749" s="0" t="inlineStr">
        <is>
          <t xml:space="preserve">2025-10</t>
        </is>
      </c>
      <c r="O749" s="0">
        <f>INDEX(Journaux!$E$5:$E$18,MATCH("2025|"&amp;A749,Journaux!$A$5:$A$18,0))</f>
      </c>
      <c r="P749" s="0">
        <f>INDEX(Comptes!$K$5:$K$42,MATCH(E749,Comptes!$A$5:$A$42,0))</f>
      </c>
      <c r="Q749" s="0" t="inlineStr">
        <is>
          <t xml:space="preserve">4</t>
        </is>
      </c>
    </row>
    <row r="750">
      <c r="A750" s="4" t="inlineStr">
        <is>
          <t xml:space="preserve">AC</t>
        </is>
      </c>
      <c r="B750" s="0" t="inlineStr">
        <is>
          <t xml:space="preserve">Journal des achats</t>
        </is>
      </c>
      <c r="C750" s="0" t="inlineStr">
        <is>
          <t xml:space="preserve">AC00059</t>
        </is>
      </c>
      <c r="D750" s="10">
        <v>45954</v>
      </c>
      <c r="E750" s="4" t="inlineStr">
        <is>
          <t xml:space="preserve">401000</t>
        </is>
      </c>
      <c r="F750" s="0" t="inlineStr">
        <is>
          <t xml:space="preserve">Fournisseurs</t>
        </is>
      </c>
      <c r="G750" s="0" t="inlineStr">
        <is>
          <t xml:space="preserve">F002-2025102</t>
        </is>
      </c>
      <c r="H750" s="0" t="inlineStr">
        <is>
          <t xml:space="preserve">Facture Quincaillerie Pro Est F002-2025102</t>
        </is>
      </c>
      <c r="I750" s="8">
        <v>0</v>
      </c>
      <c r="J750" s="8">
        <v>26072.11</v>
      </c>
      <c r="K750" s="0" t="inlineStr">
        <is>
          <t xml:space="preserve">ADN</t>
        </is>
      </c>
      <c r="L750" s="0" t="inlineStr">
        <is>
          <t xml:space="preserve">Quincaillerie Pro Est</t>
        </is>
      </c>
      <c r="M750" s="8">
        <f>I750-J750</f>
      </c>
      <c r="N750" s="0" t="inlineStr">
        <is>
          <t xml:space="preserve">2025-10</t>
        </is>
      </c>
      <c r="O750" s="0">
        <f>INDEX(Journaux!$E$5:$E$18,MATCH("2025|"&amp;A750,Journaux!$A$5:$A$18,0))</f>
      </c>
      <c r="P750" s="0">
        <f>INDEX(Comptes!$K$5:$K$42,MATCH(E750,Comptes!$A$5:$A$42,0))</f>
      </c>
      <c r="Q750" s="0" t="inlineStr">
        <is>
          <t xml:space="preserve">4</t>
        </is>
      </c>
      <c r="R750" s="7" t="inlineStr">
        <is>
          <t xml:space="preserve">401000|F002</t>
        </is>
      </c>
    </row>
    <row r="751">
      <c r="A751" s="4" t="inlineStr">
        <is>
          <t xml:space="preserve">VT</t>
        </is>
      </c>
      <c r="B751" s="0" t="inlineStr">
        <is>
          <t xml:space="preserve">Journal des ventes</t>
        </is>
      </c>
      <c r="C751" s="0" t="inlineStr">
        <is>
          <t xml:space="preserve">VT00044</t>
        </is>
      </c>
      <c r="D751" s="10">
        <v>45954</v>
      </c>
      <c r="E751" s="4" t="inlineStr">
        <is>
          <t xml:space="preserve">411000</t>
        </is>
      </c>
      <c r="F751" s="0" t="inlineStr">
        <is>
          <t xml:space="preserve">Clients</t>
        </is>
      </c>
      <c r="G751" s="0" t="inlineStr">
        <is>
          <t xml:space="preserve">FA2025-0044</t>
        </is>
      </c>
      <c r="H751" s="0" t="inlineStr">
        <is>
          <t xml:space="preserve">Facture FA2025-0044 Hotel Les Tilleuls</t>
        </is>
      </c>
      <c r="I751" s="8">
        <v>31139.5</v>
      </c>
      <c r="J751" s="8">
        <v>0</v>
      </c>
      <c r="K751" s="0" t="inlineStr">
        <is>
          <t xml:space="preserve">AAZ</t>
        </is>
      </c>
      <c r="L751" s="0" t="inlineStr">
        <is>
          <t xml:space="preserve">Hotel Les Tilleuls</t>
        </is>
      </c>
      <c r="M751" s="8">
        <f>I751-J751</f>
      </c>
      <c r="N751" s="0" t="inlineStr">
        <is>
          <t xml:space="preserve">2025-10</t>
        </is>
      </c>
      <c r="O751" s="0">
        <f>INDEX(Journaux!$E$5:$E$18,MATCH("2025|"&amp;A751,Journaux!$A$5:$A$18,0))</f>
      </c>
      <c r="P751" s="0">
        <f>INDEX(Comptes!$K$5:$K$42,MATCH(E751,Comptes!$A$5:$A$42,0))</f>
      </c>
      <c r="Q751" s="0" t="inlineStr">
        <is>
          <t xml:space="preserve">4</t>
        </is>
      </c>
      <c r="R751" s="7" t="inlineStr">
        <is>
          <t xml:space="preserve">411000|C001</t>
        </is>
      </c>
    </row>
    <row r="752">
      <c r="A752" s="4" t="inlineStr">
        <is>
          <t xml:space="preserve">VT</t>
        </is>
      </c>
      <c r="B752" s="0" t="inlineStr">
        <is>
          <t xml:space="preserve">Journal des ventes</t>
        </is>
      </c>
      <c r="C752" s="0" t="inlineStr">
        <is>
          <t xml:space="preserve">VT00044</t>
        </is>
      </c>
      <c r="D752" s="10">
        <v>45954</v>
      </c>
      <c r="E752" s="4" t="inlineStr">
        <is>
          <t xml:space="preserve">701000</t>
        </is>
      </c>
      <c r="F752" s="0" t="inlineStr">
        <is>
          <t xml:space="preserve">Ventes de produits finis</t>
        </is>
      </c>
      <c r="G752" s="0" t="inlineStr">
        <is>
          <t xml:space="preserve">FA2025-0044</t>
        </is>
      </c>
      <c r="H752" s="0" t="inlineStr">
        <is>
          <t xml:space="preserve">Facture FA2025-0044 Hotel Les Tilleuls</t>
        </is>
      </c>
      <c r="I752" s="8">
        <v>0</v>
      </c>
      <c r="J752" s="8">
        <v>25949.58</v>
      </c>
      <c r="K752" s="0"/>
      <c r="L752" s="0"/>
      <c r="M752" s="8">
        <f>I752-J752</f>
      </c>
      <c r="N752" s="0" t="inlineStr">
        <is>
          <t xml:space="preserve">2025-10</t>
        </is>
      </c>
      <c r="O752" s="0">
        <f>INDEX(Journaux!$E$5:$E$18,MATCH("2025|"&amp;A752,Journaux!$A$5:$A$18,0))</f>
      </c>
      <c r="P752" s="0">
        <f>INDEX(Comptes!$K$5:$K$42,MATCH(E752,Comptes!$A$5:$A$42,0))</f>
      </c>
      <c r="Q752" s="0" t="inlineStr">
        <is>
          <t xml:space="preserve">7</t>
        </is>
      </c>
    </row>
    <row r="753">
      <c r="A753" s="4" t="inlineStr">
        <is>
          <t xml:space="preserve">VT</t>
        </is>
      </c>
      <c r="B753" s="0" t="inlineStr">
        <is>
          <t xml:space="preserve">Journal des ventes</t>
        </is>
      </c>
      <c r="C753" s="0" t="inlineStr">
        <is>
          <t xml:space="preserve">VT00044</t>
        </is>
      </c>
      <c r="D753" s="10">
        <v>45954</v>
      </c>
      <c r="E753" s="4" t="inlineStr">
        <is>
          <t xml:space="preserve">445710</t>
        </is>
      </c>
      <c r="F753" s="0" t="inlineStr">
        <is>
          <t xml:space="preserve">TVA collectee</t>
        </is>
      </c>
      <c r="G753" s="0" t="inlineStr">
        <is>
          <t xml:space="preserve">FA2025-0044</t>
        </is>
      </c>
      <c r="H753" s="0" t="inlineStr">
        <is>
          <t xml:space="preserve">Facture FA2025-0044 Hotel Les Tilleuls</t>
        </is>
      </c>
      <c r="I753" s="8">
        <v>0</v>
      </c>
      <c r="J753" s="8">
        <v>5189.92</v>
      </c>
      <c r="K753" s="0"/>
      <c r="L753" s="0"/>
      <c r="M753" s="8">
        <f>I753-J753</f>
      </c>
      <c r="N753" s="0" t="inlineStr">
        <is>
          <t xml:space="preserve">2025-10</t>
        </is>
      </c>
      <c r="O753" s="0">
        <f>INDEX(Journaux!$E$5:$E$18,MATCH("2025|"&amp;A753,Journaux!$A$5:$A$18,0))</f>
      </c>
      <c r="P753" s="0">
        <f>INDEX(Comptes!$K$5:$K$42,MATCH(E753,Comptes!$A$5:$A$42,0))</f>
      </c>
      <c r="Q753" s="0" t="inlineStr">
        <is>
          <t xml:space="preserve">4</t>
        </is>
      </c>
    </row>
    <row r="754">
      <c r="A754" s="4" t="inlineStr">
        <is>
          <t xml:space="preserve">VT</t>
        </is>
      </c>
      <c r="B754" s="0" t="inlineStr">
        <is>
          <t xml:space="preserve">Journal des ventes</t>
        </is>
      </c>
      <c r="C754" s="0" t="inlineStr">
        <is>
          <t xml:space="preserve">VT00046</t>
        </is>
      </c>
      <c r="D754" s="10">
        <v>45954</v>
      </c>
      <c r="E754" s="4" t="inlineStr">
        <is>
          <t xml:space="preserve">411000</t>
        </is>
      </c>
      <c r="F754" s="0" t="inlineStr">
        <is>
          <t xml:space="preserve">Clients</t>
        </is>
      </c>
      <c r="G754" s="0" t="inlineStr">
        <is>
          <t xml:space="preserve">FA2025-0046</t>
        </is>
      </c>
      <c r="H754" s="0" t="inlineStr">
        <is>
          <t xml:space="preserve">Facture FA2025-0046 Clinique du Parc</t>
        </is>
      </c>
      <c r="I754" s="8">
        <v>33625.03</v>
      </c>
      <c r="J754" s="8">
        <v>0</v>
      </c>
      <c r="K754" s="0"/>
      <c r="L754" s="0" t="inlineStr">
        <is>
          <t xml:space="preserve">Clinique du Parc</t>
        </is>
      </c>
      <c r="M754" s="8">
        <f>I754-J754</f>
      </c>
      <c r="N754" s="0" t="inlineStr">
        <is>
          <t xml:space="preserve">2025-10</t>
        </is>
      </c>
      <c r="O754" s="0">
        <f>INDEX(Journaux!$E$5:$E$18,MATCH("2025|"&amp;A754,Journaux!$A$5:$A$18,0))</f>
      </c>
      <c r="P754" s="0">
        <f>INDEX(Comptes!$K$5:$K$42,MATCH(E754,Comptes!$A$5:$A$42,0))</f>
      </c>
      <c r="Q754" s="0" t="inlineStr">
        <is>
          <t xml:space="preserve">4</t>
        </is>
      </c>
      <c r="R754" s="7" t="inlineStr">
        <is>
          <t xml:space="preserve">411000|C006</t>
        </is>
      </c>
    </row>
    <row r="755">
      <c r="A755" s="4" t="inlineStr">
        <is>
          <t xml:space="preserve">VT</t>
        </is>
      </c>
      <c r="B755" s="0" t="inlineStr">
        <is>
          <t xml:space="preserve">Journal des ventes</t>
        </is>
      </c>
      <c r="C755" s="0" t="inlineStr">
        <is>
          <t xml:space="preserve">VT00046</t>
        </is>
      </c>
      <c r="D755" s="10">
        <v>45954</v>
      </c>
      <c r="E755" s="4" t="inlineStr">
        <is>
          <t xml:space="preserve">701000</t>
        </is>
      </c>
      <c r="F755" s="0" t="inlineStr">
        <is>
          <t xml:space="preserve">Ventes de produits finis</t>
        </is>
      </c>
      <c r="G755" s="0" t="inlineStr">
        <is>
          <t xml:space="preserve">FA2025-0046</t>
        </is>
      </c>
      <c r="H755" s="0" t="inlineStr">
        <is>
          <t xml:space="preserve">Facture FA2025-0046 Clinique du Parc</t>
        </is>
      </c>
      <c r="I755" s="8">
        <v>0</v>
      </c>
      <c r="J755" s="8">
        <v>28020.86</v>
      </c>
      <c r="K755" s="0"/>
      <c r="L755" s="0"/>
      <c r="M755" s="8">
        <f>I755-J755</f>
      </c>
      <c r="N755" s="0" t="inlineStr">
        <is>
          <t xml:space="preserve">2025-10</t>
        </is>
      </c>
      <c r="O755" s="0">
        <f>INDEX(Journaux!$E$5:$E$18,MATCH("2025|"&amp;A755,Journaux!$A$5:$A$18,0))</f>
      </c>
      <c r="P755" s="0">
        <f>INDEX(Comptes!$K$5:$K$42,MATCH(E755,Comptes!$A$5:$A$42,0))</f>
      </c>
      <c r="Q755" s="0" t="inlineStr">
        <is>
          <t xml:space="preserve">7</t>
        </is>
      </c>
    </row>
    <row r="756">
      <c r="A756" s="4" t="inlineStr">
        <is>
          <t xml:space="preserve">VT</t>
        </is>
      </c>
      <c r="B756" s="0" t="inlineStr">
        <is>
          <t xml:space="preserve">Journal des ventes</t>
        </is>
      </c>
      <c r="C756" s="0" t="inlineStr">
        <is>
          <t xml:space="preserve">VT00046</t>
        </is>
      </c>
      <c r="D756" s="10">
        <v>45954</v>
      </c>
      <c r="E756" s="4" t="inlineStr">
        <is>
          <t xml:space="preserve">445710</t>
        </is>
      </c>
      <c r="F756" s="0" t="inlineStr">
        <is>
          <t xml:space="preserve">TVA collectee</t>
        </is>
      </c>
      <c r="G756" s="0" t="inlineStr">
        <is>
          <t xml:space="preserve">FA2025-0046</t>
        </is>
      </c>
      <c r="H756" s="0" t="inlineStr">
        <is>
          <t xml:space="preserve">Facture FA2025-0046 Clinique du Parc</t>
        </is>
      </c>
      <c r="I756" s="8">
        <v>0</v>
      </c>
      <c r="J756" s="8">
        <v>5604.17</v>
      </c>
      <c r="K756" s="0"/>
      <c r="L756" s="0"/>
      <c r="M756" s="8">
        <f>I756-J756</f>
      </c>
      <c r="N756" s="0" t="inlineStr">
        <is>
          <t xml:space="preserve">2025-10</t>
        </is>
      </c>
      <c r="O756" s="0">
        <f>INDEX(Journaux!$E$5:$E$18,MATCH("2025|"&amp;A756,Journaux!$A$5:$A$18,0))</f>
      </c>
      <c r="P756" s="0">
        <f>INDEX(Comptes!$K$5:$K$42,MATCH(E756,Comptes!$A$5:$A$42,0))</f>
      </c>
      <c r="Q756" s="0" t="inlineStr">
        <is>
          <t xml:space="preserve">4</t>
        </is>
      </c>
    </row>
    <row r="757">
      <c r="A757" s="4" t="inlineStr">
        <is>
          <t xml:space="preserve">AC</t>
        </is>
      </c>
      <c r="B757" s="0" t="inlineStr">
        <is>
          <t xml:space="preserve">Journal des achats</t>
        </is>
      </c>
      <c r="C757" s="0" t="inlineStr">
        <is>
          <t xml:space="preserve">AC00058</t>
        </is>
      </c>
      <c r="D757" s="10">
        <v>45960</v>
      </c>
      <c r="E757" s="4" t="inlineStr">
        <is>
          <t xml:space="preserve">601000</t>
        </is>
      </c>
      <c r="F757" s="0" t="inlineStr">
        <is>
          <t xml:space="preserve">Achats de matieres premieres</t>
        </is>
      </c>
      <c r="G757" s="0" t="inlineStr">
        <is>
          <t xml:space="preserve">F002-2025101</t>
        </is>
      </c>
      <c r="H757" s="0" t="inlineStr">
        <is>
          <t xml:space="preserve">Facture Quincaillerie Pro Est F002-2025101</t>
        </is>
      </c>
      <c r="I757" s="8">
        <v>17730.22</v>
      </c>
      <c r="J757" s="8">
        <v>0</v>
      </c>
      <c r="K757" s="0"/>
      <c r="L757" s="0"/>
      <c r="M757" s="8">
        <f>I757-J757</f>
      </c>
      <c r="N757" s="0" t="inlineStr">
        <is>
          <t xml:space="preserve">2025-10</t>
        </is>
      </c>
      <c r="O757" s="0">
        <f>INDEX(Journaux!$E$5:$E$18,MATCH("2025|"&amp;A757,Journaux!$A$5:$A$18,0))</f>
      </c>
      <c r="P757" s="0">
        <f>INDEX(Comptes!$K$5:$K$42,MATCH(E757,Comptes!$A$5:$A$42,0))</f>
      </c>
      <c r="Q757" s="0" t="inlineStr">
        <is>
          <t xml:space="preserve">6</t>
        </is>
      </c>
    </row>
    <row r="758">
      <c r="A758" s="4" t="inlineStr">
        <is>
          <t xml:space="preserve">AC</t>
        </is>
      </c>
      <c r="B758" s="0" t="inlineStr">
        <is>
          <t xml:space="preserve">Journal des achats</t>
        </is>
      </c>
      <c r="C758" s="0" t="inlineStr">
        <is>
          <t xml:space="preserve">AC00058</t>
        </is>
      </c>
      <c r="D758" s="10">
        <v>45960</v>
      </c>
      <c r="E758" s="4" t="inlineStr">
        <is>
          <t xml:space="preserve">445660</t>
        </is>
      </c>
      <c r="F758" s="0" t="inlineStr">
        <is>
          <t xml:space="preserve">TVA deductible sur ABS</t>
        </is>
      </c>
      <c r="G758" s="0" t="inlineStr">
        <is>
          <t xml:space="preserve">F002-2025101</t>
        </is>
      </c>
      <c r="H758" s="0" t="inlineStr">
        <is>
          <t xml:space="preserve">Facture Quincaillerie Pro Est F002-2025101</t>
        </is>
      </c>
      <c r="I758" s="8">
        <v>3546.04</v>
      </c>
      <c r="J758" s="8">
        <v>0</v>
      </c>
      <c r="K758" s="0"/>
      <c r="L758" s="0"/>
      <c r="M758" s="8">
        <f>I758-J758</f>
      </c>
      <c r="N758" s="0" t="inlineStr">
        <is>
          <t xml:space="preserve">2025-10</t>
        </is>
      </c>
      <c r="O758" s="0">
        <f>INDEX(Journaux!$E$5:$E$18,MATCH("2025|"&amp;A758,Journaux!$A$5:$A$18,0))</f>
      </c>
      <c r="P758" s="0">
        <f>INDEX(Comptes!$K$5:$K$42,MATCH(E758,Comptes!$A$5:$A$42,0))</f>
      </c>
      <c r="Q758" s="0" t="inlineStr">
        <is>
          <t xml:space="preserve">4</t>
        </is>
      </c>
    </row>
    <row r="759">
      <c r="A759" s="4" t="inlineStr">
        <is>
          <t xml:space="preserve">AC</t>
        </is>
      </c>
      <c r="B759" s="0" t="inlineStr">
        <is>
          <t xml:space="preserve">Journal des achats</t>
        </is>
      </c>
      <c r="C759" s="0" t="inlineStr">
        <is>
          <t xml:space="preserve">AC00058</t>
        </is>
      </c>
      <c r="D759" s="10">
        <v>45960</v>
      </c>
      <c r="E759" s="4" t="inlineStr">
        <is>
          <t xml:space="preserve">401000</t>
        </is>
      </c>
      <c r="F759" s="0" t="inlineStr">
        <is>
          <t xml:space="preserve">Fournisseurs</t>
        </is>
      </c>
      <c r="G759" s="0" t="inlineStr">
        <is>
          <t xml:space="preserve">F002-2025101</t>
        </is>
      </c>
      <c r="H759" s="0" t="inlineStr">
        <is>
          <t xml:space="preserve">Facture Quincaillerie Pro Est F002-2025101</t>
        </is>
      </c>
      <c r="I759" s="8">
        <v>0</v>
      </c>
      <c r="J759" s="8">
        <v>21276.26</v>
      </c>
      <c r="K759" s="0"/>
      <c r="L759" s="0" t="inlineStr">
        <is>
          <t xml:space="preserve">Quincaillerie Pro Est</t>
        </is>
      </c>
      <c r="M759" s="8">
        <f>I759-J759</f>
      </c>
      <c r="N759" s="0" t="inlineStr">
        <is>
          <t xml:space="preserve">2025-10</t>
        </is>
      </c>
      <c r="O759" s="0">
        <f>INDEX(Journaux!$E$5:$E$18,MATCH("2025|"&amp;A759,Journaux!$A$5:$A$18,0))</f>
      </c>
      <c r="P759" s="0">
        <f>INDEX(Comptes!$K$5:$K$42,MATCH(E759,Comptes!$A$5:$A$42,0))</f>
      </c>
      <c r="Q759" s="0" t="inlineStr">
        <is>
          <t xml:space="preserve">4</t>
        </is>
      </c>
      <c r="R759" s="7" t="inlineStr">
        <is>
          <t xml:space="preserve">401000|F002</t>
        </is>
      </c>
    </row>
    <row r="760">
      <c r="A760" s="4" t="inlineStr">
        <is>
          <t xml:space="preserve">VT</t>
        </is>
      </c>
      <c r="B760" s="0" t="inlineStr">
        <is>
          <t xml:space="preserve">Journal des ventes</t>
        </is>
      </c>
      <c r="C760" s="0" t="inlineStr">
        <is>
          <t xml:space="preserve">VT00045</t>
        </is>
      </c>
      <c r="D760" s="10">
        <v>45960</v>
      </c>
      <c r="E760" s="4" t="inlineStr">
        <is>
          <t xml:space="preserve">411000</t>
        </is>
      </c>
      <c r="F760" s="0" t="inlineStr">
        <is>
          <t xml:space="preserve">Clients</t>
        </is>
      </c>
      <c r="G760" s="0" t="inlineStr">
        <is>
          <t xml:space="preserve">FA2025-0045</t>
        </is>
      </c>
      <c r="H760" s="0" t="inlineStr">
        <is>
          <t xml:space="preserve">Facture FA2025-0045 Agence Mobilis</t>
        </is>
      </c>
      <c r="I760" s="8">
        <v>29832.31</v>
      </c>
      <c r="J760" s="8">
        <v>0</v>
      </c>
      <c r="K760" s="0"/>
      <c r="L760" s="0" t="inlineStr">
        <is>
          <t xml:space="preserve">Agence Mobilis</t>
        </is>
      </c>
      <c r="M760" s="8">
        <f>I760-J760</f>
      </c>
      <c r="N760" s="0" t="inlineStr">
        <is>
          <t xml:space="preserve">2025-10</t>
        </is>
      </c>
      <c r="O760" s="0">
        <f>INDEX(Journaux!$E$5:$E$18,MATCH("2025|"&amp;A760,Journaux!$A$5:$A$18,0))</f>
      </c>
      <c r="P760" s="0">
        <f>INDEX(Comptes!$K$5:$K$42,MATCH(E760,Comptes!$A$5:$A$42,0))</f>
      </c>
      <c r="Q760" s="0" t="inlineStr">
        <is>
          <t xml:space="preserve">4</t>
        </is>
      </c>
      <c r="R760" s="7" t="inlineStr">
        <is>
          <t xml:space="preserve">411000|C002</t>
        </is>
      </c>
    </row>
    <row r="761">
      <c r="A761" s="4" t="inlineStr">
        <is>
          <t xml:space="preserve">VT</t>
        </is>
      </c>
      <c r="B761" s="0" t="inlineStr">
        <is>
          <t xml:space="preserve">Journal des ventes</t>
        </is>
      </c>
      <c r="C761" s="0" t="inlineStr">
        <is>
          <t xml:space="preserve">VT00045</t>
        </is>
      </c>
      <c r="D761" s="10">
        <v>45960</v>
      </c>
      <c r="E761" s="4" t="inlineStr">
        <is>
          <t xml:space="preserve">701000</t>
        </is>
      </c>
      <c r="F761" s="0" t="inlineStr">
        <is>
          <t xml:space="preserve">Ventes de produits finis</t>
        </is>
      </c>
      <c r="G761" s="0" t="inlineStr">
        <is>
          <t xml:space="preserve">FA2025-0045</t>
        </is>
      </c>
      <c r="H761" s="0" t="inlineStr">
        <is>
          <t xml:space="preserve">Facture FA2025-0045 Agence Mobilis</t>
        </is>
      </c>
      <c r="I761" s="8">
        <v>0</v>
      </c>
      <c r="J761" s="8">
        <v>24860.26</v>
      </c>
      <c r="K761" s="0"/>
      <c r="L761" s="0"/>
      <c r="M761" s="8">
        <f>I761-J761</f>
      </c>
      <c r="N761" s="0" t="inlineStr">
        <is>
          <t xml:space="preserve">2025-10</t>
        </is>
      </c>
      <c r="O761" s="0">
        <f>INDEX(Journaux!$E$5:$E$18,MATCH("2025|"&amp;A761,Journaux!$A$5:$A$18,0))</f>
      </c>
      <c r="P761" s="0">
        <f>INDEX(Comptes!$K$5:$K$42,MATCH(E761,Comptes!$A$5:$A$42,0))</f>
      </c>
      <c r="Q761" s="0" t="inlineStr">
        <is>
          <t xml:space="preserve">7</t>
        </is>
      </c>
    </row>
    <row r="762">
      <c r="A762" s="4" t="inlineStr">
        <is>
          <t xml:space="preserve">VT</t>
        </is>
      </c>
      <c r="B762" s="0" t="inlineStr">
        <is>
          <t xml:space="preserve">Journal des ventes</t>
        </is>
      </c>
      <c r="C762" s="0" t="inlineStr">
        <is>
          <t xml:space="preserve">VT00045</t>
        </is>
      </c>
      <c r="D762" s="10">
        <v>45960</v>
      </c>
      <c r="E762" s="4" t="inlineStr">
        <is>
          <t xml:space="preserve">445710</t>
        </is>
      </c>
      <c r="F762" s="0" t="inlineStr">
        <is>
          <t xml:space="preserve">TVA collectee</t>
        </is>
      </c>
      <c r="G762" s="0" t="inlineStr">
        <is>
          <t xml:space="preserve">FA2025-0045</t>
        </is>
      </c>
      <c r="H762" s="0" t="inlineStr">
        <is>
          <t xml:space="preserve">Facture FA2025-0045 Agence Mobilis</t>
        </is>
      </c>
      <c r="I762" s="8">
        <v>0</v>
      </c>
      <c r="J762" s="8">
        <v>4972.05</v>
      </c>
      <c r="K762" s="0"/>
      <c r="L762" s="0"/>
      <c r="M762" s="8">
        <f>I762-J762</f>
      </c>
      <c r="N762" s="0" t="inlineStr">
        <is>
          <t xml:space="preserve">2025-10</t>
        </is>
      </c>
      <c r="O762" s="0">
        <f>INDEX(Journaux!$E$5:$E$18,MATCH("2025|"&amp;A762,Journaux!$A$5:$A$18,0))</f>
      </c>
      <c r="P762" s="0">
        <f>INDEX(Comptes!$K$5:$K$42,MATCH(E762,Comptes!$A$5:$A$42,0))</f>
      </c>
      <c r="Q762" s="0" t="inlineStr">
        <is>
          <t xml:space="preserve">4</t>
        </is>
      </c>
    </row>
    <row r="763">
      <c r="A763" s="4" t="inlineStr">
        <is>
          <t xml:space="preserve">BQ</t>
        </is>
      </c>
      <c r="B763" s="0" t="inlineStr">
        <is>
          <t xml:space="preserve">Banque Fictive</t>
        </is>
      </c>
      <c r="C763" s="0" t="inlineStr">
        <is>
          <t xml:space="preserve">BQ00028</t>
        </is>
      </c>
      <c r="D763" s="10">
        <v>45961</v>
      </c>
      <c r="E763" s="4" t="inlineStr">
        <is>
          <t xml:space="preserve">421000</t>
        </is>
      </c>
      <c r="F763" s="0" t="inlineStr">
        <is>
          <t xml:space="preserve">Personnel remunerations dues</t>
        </is>
      </c>
      <c r="G763" s="0" t="inlineStr">
        <is>
          <t xml:space="preserve">VIRSAL202510</t>
        </is>
      </c>
      <c r="H763" s="0" t="inlineStr">
        <is>
          <t xml:space="preserve">Virement salaires 10/2025</t>
        </is>
      </c>
      <c r="I763" s="8">
        <v>39727.74</v>
      </c>
      <c r="J763" s="8">
        <v>0</v>
      </c>
      <c r="K763" s="0"/>
      <c r="L763" s="0"/>
      <c r="M763" s="8">
        <f>I763-J763</f>
      </c>
      <c r="N763" s="0" t="inlineStr">
        <is>
          <t xml:space="preserve">2025-10</t>
        </is>
      </c>
      <c r="O763" s="0">
        <f>INDEX(Journaux!$E$5:$E$18,MATCH("2025|"&amp;A763,Journaux!$A$5:$A$18,0))</f>
      </c>
      <c r="P763" s="0">
        <f>INDEX(Comptes!$K$5:$K$42,MATCH(E763,Comptes!$A$5:$A$42,0))</f>
      </c>
      <c r="Q763" s="0" t="inlineStr">
        <is>
          <t xml:space="preserve">4</t>
        </is>
      </c>
    </row>
    <row r="764">
      <c r="A764" s="4" t="inlineStr">
        <is>
          <t xml:space="preserve">BQ</t>
        </is>
      </c>
      <c r="B764" s="0" t="inlineStr">
        <is>
          <t xml:space="preserve">Banque Fictive</t>
        </is>
      </c>
      <c r="C764" s="0" t="inlineStr">
        <is>
          <t xml:space="preserve">BQ00028</t>
        </is>
      </c>
      <c r="D764" s="10">
        <v>45961</v>
      </c>
      <c r="E764" s="4" t="inlineStr">
        <is>
          <t xml:space="preserve">512000</t>
        </is>
      </c>
      <c r="F764" s="0" t="inlineStr">
        <is>
          <t xml:space="preserve">Banque Fictive</t>
        </is>
      </c>
      <c r="G764" s="0" t="inlineStr">
        <is>
          <t xml:space="preserve">VIRSAL202510</t>
        </is>
      </c>
      <c r="H764" s="0" t="inlineStr">
        <is>
          <t xml:space="preserve">Virement salaires 10/2025</t>
        </is>
      </c>
      <c r="I764" s="8">
        <v>0</v>
      </c>
      <c r="J764" s="8">
        <v>39727.74</v>
      </c>
      <c r="K764" s="0"/>
      <c r="L764" s="0"/>
      <c r="M764" s="8">
        <f>I764-J764</f>
      </c>
      <c r="N764" s="0" t="inlineStr">
        <is>
          <t xml:space="preserve">2025-10</t>
        </is>
      </c>
      <c r="O764" s="0">
        <f>INDEX(Journaux!$E$5:$E$18,MATCH("2025|"&amp;A764,Journaux!$A$5:$A$18,0))</f>
      </c>
      <c r="P764" s="0">
        <f>INDEX(Comptes!$K$5:$K$42,MATCH(E764,Comptes!$A$5:$A$42,0))</f>
      </c>
      <c r="Q764" s="0" t="inlineStr">
        <is>
          <t xml:space="preserve">5</t>
        </is>
      </c>
    </row>
    <row r="765">
      <c r="A765" s="4" t="inlineStr">
        <is>
          <t xml:space="preserve">BQ</t>
        </is>
      </c>
      <c r="B765" s="0" t="inlineStr">
        <is>
          <t xml:space="preserve">Banque Fictive</t>
        </is>
      </c>
      <c r="C765" s="0" t="inlineStr">
        <is>
          <t xml:space="preserve">BQ00030</t>
        </is>
      </c>
      <c r="D765" s="10">
        <v>45961</v>
      </c>
      <c r="E765" s="4" t="inlineStr">
        <is>
          <t xml:space="preserve">627000</t>
        </is>
      </c>
      <c r="F765" s="0" t="inlineStr">
        <is>
          <t xml:space="preserve">Services bancaires</t>
        </is>
      </c>
      <c r="G765" s="0" t="inlineStr">
        <is>
          <t xml:space="preserve">FRB202510</t>
        </is>
      </c>
      <c r="H765" s="0" t="inlineStr">
        <is>
          <t xml:space="preserve">Frais bancaires 10/2025</t>
        </is>
      </c>
      <c r="I765" s="8">
        <v>85</v>
      </c>
      <c r="J765" s="8">
        <v>0</v>
      </c>
      <c r="K765" s="0"/>
      <c r="L765" s="0"/>
      <c r="M765" s="8">
        <f>I765-J765</f>
      </c>
      <c r="N765" s="0" t="inlineStr">
        <is>
          <t xml:space="preserve">2025-10</t>
        </is>
      </c>
      <c r="O765" s="0">
        <f>INDEX(Journaux!$E$5:$E$18,MATCH("2025|"&amp;A765,Journaux!$A$5:$A$18,0))</f>
      </c>
      <c r="P765" s="0">
        <f>INDEX(Comptes!$K$5:$K$42,MATCH(E765,Comptes!$A$5:$A$42,0))</f>
      </c>
      <c r="Q765" s="0" t="inlineStr">
        <is>
          <t xml:space="preserve">6</t>
        </is>
      </c>
    </row>
    <row r="766">
      <c r="A766" s="4" t="inlineStr">
        <is>
          <t xml:space="preserve">BQ</t>
        </is>
      </c>
      <c r="B766" s="0" t="inlineStr">
        <is>
          <t xml:space="preserve">Banque Fictive</t>
        </is>
      </c>
      <c r="C766" s="0" t="inlineStr">
        <is>
          <t xml:space="preserve">BQ00030</t>
        </is>
      </c>
      <c r="D766" s="10">
        <v>45961</v>
      </c>
      <c r="E766" s="4" t="inlineStr">
        <is>
          <t xml:space="preserve">512000</t>
        </is>
      </c>
      <c r="F766" s="0" t="inlineStr">
        <is>
          <t xml:space="preserve">Banque Fictive</t>
        </is>
      </c>
      <c r="G766" s="0" t="inlineStr">
        <is>
          <t xml:space="preserve">FRB202510</t>
        </is>
      </c>
      <c r="H766" s="0" t="inlineStr">
        <is>
          <t xml:space="preserve">Frais bancaires 10/2025</t>
        </is>
      </c>
      <c r="I766" s="8">
        <v>0</v>
      </c>
      <c r="J766" s="8">
        <v>85</v>
      </c>
      <c r="K766" s="0"/>
      <c r="L766" s="0"/>
      <c r="M766" s="8">
        <f>I766-J766</f>
      </c>
      <c r="N766" s="0" t="inlineStr">
        <is>
          <t xml:space="preserve">2025-10</t>
        </is>
      </c>
      <c r="O766" s="0">
        <f>INDEX(Journaux!$E$5:$E$18,MATCH("2025|"&amp;A766,Journaux!$A$5:$A$18,0))</f>
      </c>
      <c r="P766" s="0">
        <f>INDEX(Comptes!$K$5:$K$42,MATCH(E766,Comptes!$A$5:$A$42,0))</f>
      </c>
      <c r="Q766" s="0" t="inlineStr">
        <is>
          <t xml:space="preserve">5</t>
        </is>
      </c>
    </row>
    <row r="767">
      <c r="A767" s="4" t="inlineStr">
        <is>
          <t xml:space="preserve">OD</t>
        </is>
      </c>
      <c r="B767" s="0" t="inlineStr">
        <is>
          <t xml:space="preserve">Operations diverses</t>
        </is>
      </c>
      <c r="C767" s="0" t="inlineStr">
        <is>
          <t xml:space="preserve">OD00010</t>
        </is>
      </c>
      <c r="D767" s="10">
        <v>45961</v>
      </c>
      <c r="E767" s="4" t="inlineStr">
        <is>
          <t xml:space="preserve">445710</t>
        </is>
      </c>
      <c r="F767" s="0" t="inlineStr">
        <is>
          <t xml:space="preserve">TVA collectee</t>
        </is>
      </c>
      <c r="G767" s="0" t="inlineStr">
        <is>
          <t xml:space="preserve">CA3-202510</t>
        </is>
      </c>
      <c r="H767" s="0" t="inlineStr">
        <is>
          <t xml:space="preserve">Declaration TVA 10/2025</t>
        </is>
      </c>
      <c r="I767" s="8">
        <v>25666.67</v>
      </c>
      <c r="J767" s="8">
        <v>0</v>
      </c>
      <c r="K767" s="0"/>
      <c r="L767" s="0"/>
      <c r="M767" s="8">
        <f>I767-J767</f>
      </c>
      <c r="N767" s="0" t="inlineStr">
        <is>
          <t xml:space="preserve">2025-10</t>
        </is>
      </c>
      <c r="O767" s="0">
        <f>INDEX(Journaux!$E$5:$E$18,MATCH("2025|"&amp;A767,Journaux!$A$5:$A$18,0))</f>
      </c>
      <c r="P767" s="0">
        <f>INDEX(Comptes!$K$5:$K$42,MATCH(E767,Comptes!$A$5:$A$42,0))</f>
      </c>
      <c r="Q767" s="0" t="inlineStr">
        <is>
          <t xml:space="preserve">4</t>
        </is>
      </c>
    </row>
    <row r="768">
      <c r="A768" s="4" t="inlineStr">
        <is>
          <t xml:space="preserve">OD</t>
        </is>
      </c>
      <c r="B768" s="0" t="inlineStr">
        <is>
          <t xml:space="preserve">Operations diverses</t>
        </is>
      </c>
      <c r="C768" s="0" t="inlineStr">
        <is>
          <t xml:space="preserve">OD00010</t>
        </is>
      </c>
      <c r="D768" s="10">
        <v>45961</v>
      </c>
      <c r="E768" s="4" t="inlineStr">
        <is>
          <t xml:space="preserve">445660</t>
        </is>
      </c>
      <c r="F768" s="0" t="inlineStr">
        <is>
          <t xml:space="preserve">TVA deductible sur ABS</t>
        </is>
      </c>
      <c r="G768" s="0" t="inlineStr">
        <is>
          <t xml:space="preserve">CA3-202510</t>
        </is>
      </c>
      <c r="H768" s="0" t="inlineStr">
        <is>
          <t xml:space="preserve">Declaration TVA 10/2025</t>
        </is>
      </c>
      <c r="I768" s="8">
        <v>0</v>
      </c>
      <c r="J768" s="8">
        <v>14377.33</v>
      </c>
      <c r="K768" s="0"/>
      <c r="L768" s="0"/>
      <c r="M768" s="8">
        <f>I768-J768</f>
      </c>
      <c r="N768" s="0" t="inlineStr">
        <is>
          <t xml:space="preserve">2025-10</t>
        </is>
      </c>
      <c r="O768" s="0">
        <f>INDEX(Journaux!$E$5:$E$18,MATCH("2025|"&amp;A768,Journaux!$A$5:$A$18,0))</f>
      </c>
      <c r="P768" s="0">
        <f>INDEX(Comptes!$K$5:$K$42,MATCH(E768,Comptes!$A$5:$A$42,0))</f>
      </c>
      <c r="Q768" s="0" t="inlineStr">
        <is>
          <t xml:space="preserve">4</t>
        </is>
      </c>
    </row>
    <row r="769">
      <c r="A769" s="4" t="inlineStr">
        <is>
          <t xml:space="preserve">OD</t>
        </is>
      </c>
      <c r="B769" s="0" t="inlineStr">
        <is>
          <t xml:space="preserve">Operations diverses</t>
        </is>
      </c>
      <c r="C769" s="0" t="inlineStr">
        <is>
          <t xml:space="preserve">OD00010</t>
        </is>
      </c>
      <c r="D769" s="10">
        <v>45961</v>
      </c>
      <c r="E769" s="4" t="inlineStr">
        <is>
          <t xml:space="preserve">445510</t>
        </is>
      </c>
      <c r="F769" s="0" t="inlineStr">
        <is>
          <t xml:space="preserve">TVA a decaisser</t>
        </is>
      </c>
      <c r="G769" s="0" t="inlineStr">
        <is>
          <t xml:space="preserve">CA3-202510</t>
        </is>
      </c>
      <c r="H769" s="0" t="inlineStr">
        <is>
          <t xml:space="preserve">Declaration TVA 10/2025</t>
        </is>
      </c>
      <c r="I769" s="8">
        <v>0</v>
      </c>
      <c r="J769" s="8">
        <v>11289.34</v>
      </c>
      <c r="K769" s="0"/>
      <c r="L769" s="0"/>
      <c r="M769" s="8">
        <f>I769-J769</f>
      </c>
      <c r="N769" s="0" t="inlineStr">
        <is>
          <t xml:space="preserve">2025-10</t>
        </is>
      </c>
      <c r="O769" s="0">
        <f>INDEX(Journaux!$E$5:$E$18,MATCH("2025|"&amp;A769,Journaux!$A$5:$A$18,0))</f>
      </c>
      <c r="P769" s="0">
        <f>INDEX(Comptes!$K$5:$K$42,MATCH(E769,Comptes!$A$5:$A$42,0))</f>
      </c>
      <c r="Q769" s="0" t="inlineStr">
        <is>
          <t xml:space="preserve">4</t>
        </is>
      </c>
    </row>
    <row r="770">
      <c r="A770" s="4" t="inlineStr">
        <is>
          <t xml:space="preserve">SA</t>
        </is>
      </c>
      <c r="B770" s="0" t="inlineStr">
        <is>
          <t xml:space="preserve">Salaires</t>
        </is>
      </c>
      <c r="C770" s="0" t="inlineStr">
        <is>
          <t xml:space="preserve">SA00010</t>
        </is>
      </c>
      <c r="D770" s="10">
        <v>45961</v>
      </c>
      <c r="E770" s="4" t="inlineStr">
        <is>
          <t xml:space="preserve">641000</t>
        </is>
      </c>
      <c r="F770" s="0" t="inlineStr">
        <is>
          <t xml:space="preserve">Remunerations du personnel</t>
        </is>
      </c>
      <c r="G770" s="0" t="inlineStr">
        <is>
          <t xml:space="preserve">PAIE202510</t>
        </is>
      </c>
      <c r="H770" s="0" t="inlineStr">
        <is>
          <t xml:space="preserve">Paie 10/2025</t>
        </is>
      </c>
      <c r="I770" s="8">
        <v>50933</v>
      </c>
      <c r="J770" s="8">
        <v>0</v>
      </c>
      <c r="K770" s="0"/>
      <c r="L770" s="0"/>
      <c r="M770" s="8">
        <f>I770-J770</f>
      </c>
      <c r="N770" s="0" t="inlineStr">
        <is>
          <t xml:space="preserve">2025-10</t>
        </is>
      </c>
      <c r="O770" s="0">
        <f>INDEX(Journaux!$E$5:$E$18,MATCH("2025|"&amp;A770,Journaux!$A$5:$A$18,0))</f>
      </c>
      <c r="P770" s="0">
        <f>INDEX(Comptes!$K$5:$K$42,MATCH(E770,Comptes!$A$5:$A$42,0))</f>
      </c>
      <c r="Q770" s="0" t="inlineStr">
        <is>
          <t xml:space="preserve">6</t>
        </is>
      </c>
    </row>
    <row r="771">
      <c r="A771" s="4" t="inlineStr">
        <is>
          <t xml:space="preserve">SA</t>
        </is>
      </c>
      <c r="B771" s="0" t="inlineStr">
        <is>
          <t xml:space="preserve">Salaires</t>
        </is>
      </c>
      <c r="C771" s="0" t="inlineStr">
        <is>
          <t xml:space="preserve">SA00010</t>
        </is>
      </c>
      <c r="D771" s="10">
        <v>45961</v>
      </c>
      <c r="E771" s="4" t="inlineStr">
        <is>
          <t xml:space="preserve">645100</t>
        </is>
      </c>
      <c r="F771" s="0" t="inlineStr">
        <is>
          <t xml:space="preserve">Cotisations URSSAF</t>
        </is>
      </c>
      <c r="G771" s="0" t="inlineStr">
        <is>
          <t xml:space="preserve">PAIE202510</t>
        </is>
      </c>
      <c r="H771" s="0" t="inlineStr">
        <is>
          <t xml:space="preserve">Paie 10/2025</t>
        </is>
      </c>
      <c r="I771" s="8">
        <v>21391.86</v>
      </c>
      <c r="J771" s="8">
        <v>0</v>
      </c>
      <c r="K771" s="0"/>
      <c r="L771" s="0"/>
      <c r="M771" s="8">
        <f>I771-J771</f>
      </c>
      <c r="N771" s="0" t="inlineStr">
        <is>
          <t xml:space="preserve">2025-10</t>
        </is>
      </c>
      <c r="O771" s="0">
        <f>INDEX(Journaux!$E$5:$E$18,MATCH("2025|"&amp;A771,Journaux!$A$5:$A$18,0))</f>
      </c>
      <c r="P771" s="0">
        <f>INDEX(Comptes!$K$5:$K$42,MATCH(E771,Comptes!$A$5:$A$42,0))</f>
      </c>
      <c r="Q771" s="0" t="inlineStr">
        <is>
          <t xml:space="preserve">6</t>
        </is>
      </c>
    </row>
    <row r="772">
      <c r="A772" s="4" t="inlineStr">
        <is>
          <t xml:space="preserve">SA</t>
        </is>
      </c>
      <c r="B772" s="0" t="inlineStr">
        <is>
          <t xml:space="preserve">Salaires</t>
        </is>
      </c>
      <c r="C772" s="0" t="inlineStr">
        <is>
          <t xml:space="preserve">SA00010</t>
        </is>
      </c>
      <c r="D772" s="10">
        <v>45961</v>
      </c>
      <c r="E772" s="4" t="inlineStr">
        <is>
          <t xml:space="preserve">421000</t>
        </is>
      </c>
      <c r="F772" s="0" t="inlineStr">
        <is>
          <t xml:space="preserve">Personnel remunerations dues</t>
        </is>
      </c>
      <c r="G772" s="0" t="inlineStr">
        <is>
          <t xml:space="preserve">PAIE202510</t>
        </is>
      </c>
      <c r="H772" s="0" t="inlineStr">
        <is>
          <t xml:space="preserve">Paie 10/2025</t>
        </is>
      </c>
      <c r="I772" s="8">
        <v>0</v>
      </c>
      <c r="J772" s="8">
        <v>39727.74</v>
      </c>
      <c r="K772" s="0"/>
      <c r="L772" s="0"/>
      <c r="M772" s="8">
        <f>I772-J772</f>
      </c>
      <c r="N772" s="0" t="inlineStr">
        <is>
          <t xml:space="preserve">2025-10</t>
        </is>
      </c>
      <c r="O772" s="0">
        <f>INDEX(Journaux!$E$5:$E$18,MATCH("2025|"&amp;A772,Journaux!$A$5:$A$18,0))</f>
      </c>
      <c r="P772" s="0">
        <f>INDEX(Comptes!$K$5:$K$42,MATCH(E772,Comptes!$A$5:$A$42,0))</f>
      </c>
      <c r="Q772" s="0" t="inlineStr">
        <is>
          <t xml:space="preserve">4</t>
        </is>
      </c>
    </row>
    <row r="773">
      <c r="A773" s="4" t="inlineStr">
        <is>
          <t xml:space="preserve">SA</t>
        </is>
      </c>
      <c r="B773" s="0" t="inlineStr">
        <is>
          <t xml:space="preserve">Salaires</t>
        </is>
      </c>
      <c r="C773" s="0" t="inlineStr">
        <is>
          <t xml:space="preserve">SA00010</t>
        </is>
      </c>
      <c r="D773" s="10">
        <v>45961</v>
      </c>
      <c r="E773" s="4" t="inlineStr">
        <is>
          <t xml:space="preserve">431000</t>
        </is>
      </c>
      <c r="F773" s="0" t="inlineStr">
        <is>
          <t xml:space="preserve">Securite sociale</t>
        </is>
      </c>
      <c r="G773" s="0" t="inlineStr">
        <is>
          <t xml:space="preserve">PAIE202510</t>
        </is>
      </c>
      <c r="H773" s="0" t="inlineStr">
        <is>
          <t xml:space="preserve">Paie 10/2025</t>
        </is>
      </c>
      <c r="I773" s="8">
        <v>0</v>
      </c>
      <c r="J773" s="8">
        <v>32597.12</v>
      </c>
      <c r="K773" s="0"/>
      <c r="L773" s="0"/>
      <c r="M773" s="8">
        <f>I773-J773</f>
      </c>
      <c r="N773" s="0" t="inlineStr">
        <is>
          <t xml:space="preserve">2025-10</t>
        </is>
      </c>
      <c r="O773" s="0">
        <f>INDEX(Journaux!$E$5:$E$18,MATCH("2025|"&amp;A773,Journaux!$A$5:$A$18,0))</f>
      </c>
      <c r="P773" s="0">
        <f>INDEX(Comptes!$K$5:$K$42,MATCH(E773,Comptes!$A$5:$A$42,0))</f>
      </c>
      <c r="Q773" s="0" t="inlineStr">
        <is>
          <t xml:space="preserve">4</t>
        </is>
      </c>
    </row>
    <row r="774">
      <c r="A774" s="4" t="inlineStr">
        <is>
          <t xml:space="preserve">BQ</t>
        </is>
      </c>
      <c r="B774" s="0" t="inlineStr">
        <is>
          <t xml:space="preserve">Banque Fictive</t>
        </is>
      </c>
      <c r="C774" s="0" t="inlineStr">
        <is>
          <t xml:space="preserve">BQ00166</t>
        </is>
      </c>
      <c r="D774" s="10">
        <v>45964</v>
      </c>
      <c r="E774" s="4" t="inlineStr">
        <is>
          <t xml:space="preserve">401000</t>
        </is>
      </c>
      <c r="F774" s="0" t="inlineStr">
        <is>
          <t xml:space="preserve">Fournisseurs</t>
        </is>
      </c>
      <c r="G774" s="0" t="inlineStr">
        <is>
          <t xml:space="preserve">DEC-F003-2025082</t>
        </is>
      </c>
      <c r="H774" s="0" t="inlineStr">
        <is>
          <t xml:space="preserve">Reglement fournisseur Vernis et Finitions F003-2025082</t>
        </is>
      </c>
      <c r="I774" s="8">
        <v>21464.89</v>
      </c>
      <c r="J774" s="8">
        <v>0</v>
      </c>
      <c r="K774" s="0" t="inlineStr">
        <is>
          <t xml:space="preserve">ADC</t>
        </is>
      </c>
      <c r="L774" s="0" t="inlineStr">
        <is>
          <t xml:space="preserve">Vernis et Finitions</t>
        </is>
      </c>
      <c r="M774" s="8">
        <f>I774-J774</f>
      </c>
      <c r="N774" s="0" t="inlineStr">
        <is>
          <t xml:space="preserve">2025-11</t>
        </is>
      </c>
      <c r="O774" s="0">
        <f>INDEX(Journaux!$E$5:$E$18,MATCH("2025|"&amp;A774,Journaux!$A$5:$A$18,0))</f>
      </c>
      <c r="P774" s="0">
        <f>INDEX(Comptes!$K$5:$K$42,MATCH(E774,Comptes!$A$5:$A$42,0))</f>
      </c>
      <c r="Q774" s="0" t="inlineStr">
        <is>
          <t xml:space="preserve">4</t>
        </is>
      </c>
      <c r="R774" s="7" t="inlineStr">
        <is>
          <t xml:space="preserve">401000|F003</t>
        </is>
      </c>
    </row>
    <row r="775">
      <c r="A775" s="4" t="inlineStr">
        <is>
          <t xml:space="preserve">BQ</t>
        </is>
      </c>
      <c r="B775" s="0" t="inlineStr">
        <is>
          <t xml:space="preserve">Banque Fictive</t>
        </is>
      </c>
      <c r="C775" s="0" t="inlineStr">
        <is>
          <t xml:space="preserve">BQ00166</t>
        </is>
      </c>
      <c r="D775" s="10">
        <v>45964</v>
      </c>
      <c r="E775" s="4" t="inlineStr">
        <is>
          <t xml:space="preserve">512000</t>
        </is>
      </c>
      <c r="F775" s="0" t="inlineStr">
        <is>
          <t xml:space="preserve">Banque Fictive</t>
        </is>
      </c>
      <c r="G775" s="0" t="inlineStr">
        <is>
          <t xml:space="preserve">DEC-F003-2025082</t>
        </is>
      </c>
      <c r="H775" s="0" t="inlineStr">
        <is>
          <t xml:space="preserve">Reglement fournisseur Vernis et Finitions F003-2025082</t>
        </is>
      </c>
      <c r="I775" s="8">
        <v>0</v>
      </c>
      <c r="J775" s="8">
        <v>21464.89</v>
      </c>
      <c r="K775" s="0"/>
      <c r="L775" s="0"/>
      <c r="M775" s="8">
        <f>I775-J775</f>
      </c>
      <c r="N775" s="0" t="inlineStr">
        <is>
          <t xml:space="preserve">2025-11</t>
        </is>
      </c>
      <c r="O775" s="0">
        <f>INDEX(Journaux!$E$5:$E$18,MATCH("2025|"&amp;A775,Journaux!$A$5:$A$18,0))</f>
      </c>
      <c r="P775" s="0">
        <f>INDEX(Comptes!$K$5:$K$42,MATCH(E775,Comptes!$A$5:$A$42,0))</f>
      </c>
      <c r="Q775" s="0" t="inlineStr">
        <is>
          <t xml:space="preserve">5</t>
        </is>
      </c>
    </row>
    <row r="776">
      <c r="A776" s="4" t="inlineStr">
        <is>
          <t xml:space="preserve">AC</t>
        </is>
      </c>
      <c r="B776" s="0" t="inlineStr">
        <is>
          <t xml:space="preserve">Journal des achats</t>
        </is>
      </c>
      <c r="C776" s="0" t="inlineStr">
        <is>
          <t xml:space="preserve">AC00066</t>
        </is>
      </c>
      <c r="D776" s="10">
        <v>45965</v>
      </c>
      <c r="E776" s="4" t="inlineStr">
        <is>
          <t xml:space="preserve">601000</t>
        </is>
      </c>
      <c r="F776" s="0" t="inlineStr">
        <is>
          <t xml:space="preserve">Achats de matieres premieres</t>
        </is>
      </c>
      <c r="G776" s="0" t="inlineStr">
        <is>
          <t xml:space="preserve">F001-2025112</t>
        </is>
      </c>
      <c r="H776" s="0" t="inlineStr">
        <is>
          <t xml:space="preserve">Facture Scierie du Nord F001-2025112</t>
        </is>
      </c>
      <c r="I776" s="8">
        <v>17954.59</v>
      </c>
      <c r="J776" s="8">
        <v>0</v>
      </c>
      <c r="K776" s="0"/>
      <c r="L776" s="0"/>
      <c r="M776" s="8">
        <f>I776-J776</f>
      </c>
      <c r="N776" s="0" t="inlineStr">
        <is>
          <t xml:space="preserve">2025-11</t>
        </is>
      </c>
      <c r="O776" s="0">
        <f>INDEX(Journaux!$E$5:$E$18,MATCH("2025|"&amp;A776,Journaux!$A$5:$A$18,0))</f>
      </c>
      <c r="P776" s="0">
        <f>INDEX(Comptes!$K$5:$K$42,MATCH(E776,Comptes!$A$5:$A$42,0))</f>
      </c>
      <c r="Q776" s="0" t="inlineStr">
        <is>
          <t xml:space="preserve">6</t>
        </is>
      </c>
    </row>
    <row r="777">
      <c r="A777" s="4" t="inlineStr">
        <is>
          <t xml:space="preserve">AC</t>
        </is>
      </c>
      <c r="B777" s="0" t="inlineStr">
        <is>
          <t xml:space="preserve">Journal des achats</t>
        </is>
      </c>
      <c r="C777" s="0" t="inlineStr">
        <is>
          <t xml:space="preserve">AC00066</t>
        </is>
      </c>
      <c r="D777" s="10">
        <v>45965</v>
      </c>
      <c r="E777" s="4" t="inlineStr">
        <is>
          <t xml:space="preserve">445660</t>
        </is>
      </c>
      <c r="F777" s="0" t="inlineStr">
        <is>
          <t xml:space="preserve">TVA deductible sur ABS</t>
        </is>
      </c>
      <c r="G777" s="0" t="inlineStr">
        <is>
          <t xml:space="preserve">F001-2025112</t>
        </is>
      </c>
      <c r="H777" s="0" t="inlineStr">
        <is>
          <t xml:space="preserve">Facture Scierie du Nord F001-2025112</t>
        </is>
      </c>
      <c r="I777" s="8">
        <v>3590.92</v>
      </c>
      <c r="J777" s="8">
        <v>0</v>
      </c>
      <c r="K777" s="0"/>
      <c r="L777" s="0"/>
      <c r="M777" s="8">
        <f>I777-J777</f>
      </c>
      <c r="N777" s="0" t="inlineStr">
        <is>
          <t xml:space="preserve">2025-11</t>
        </is>
      </c>
      <c r="O777" s="0">
        <f>INDEX(Journaux!$E$5:$E$18,MATCH("2025|"&amp;A777,Journaux!$A$5:$A$18,0))</f>
      </c>
      <c r="P777" s="0">
        <f>INDEX(Comptes!$K$5:$K$42,MATCH(E777,Comptes!$A$5:$A$42,0))</f>
      </c>
      <c r="Q777" s="0" t="inlineStr">
        <is>
          <t xml:space="preserve">4</t>
        </is>
      </c>
    </row>
    <row r="778">
      <c r="A778" s="4" t="inlineStr">
        <is>
          <t xml:space="preserve">AC</t>
        </is>
      </c>
      <c r="B778" s="0" t="inlineStr">
        <is>
          <t xml:space="preserve">Journal des achats</t>
        </is>
      </c>
      <c r="C778" s="0" t="inlineStr">
        <is>
          <t xml:space="preserve">AC00066</t>
        </is>
      </c>
      <c r="D778" s="10">
        <v>45965</v>
      </c>
      <c r="E778" s="4" t="inlineStr">
        <is>
          <t xml:space="preserve">401000</t>
        </is>
      </c>
      <c r="F778" s="0" t="inlineStr">
        <is>
          <t xml:space="preserve">Fournisseurs</t>
        </is>
      </c>
      <c r="G778" s="0" t="inlineStr">
        <is>
          <t xml:space="preserve">F001-2025112</t>
        </is>
      </c>
      <c r="H778" s="0" t="inlineStr">
        <is>
          <t xml:space="preserve">Facture Scierie du Nord F001-2025112</t>
        </is>
      </c>
      <c r="I778" s="8">
        <v>0</v>
      </c>
      <c r="J778" s="8">
        <v>21545.51</v>
      </c>
      <c r="K778" s="0"/>
      <c r="L778" s="0" t="inlineStr">
        <is>
          <t xml:space="preserve">Scierie du Nord</t>
        </is>
      </c>
      <c r="M778" s="8">
        <f>I778-J778</f>
      </c>
      <c r="N778" s="0" t="inlineStr">
        <is>
          <t xml:space="preserve">2025-11</t>
        </is>
      </c>
      <c r="O778" s="0">
        <f>INDEX(Journaux!$E$5:$E$18,MATCH("2025|"&amp;A778,Journaux!$A$5:$A$18,0))</f>
      </c>
      <c r="P778" s="0">
        <f>INDEX(Comptes!$K$5:$K$42,MATCH(E778,Comptes!$A$5:$A$42,0))</f>
      </c>
      <c r="Q778" s="0" t="inlineStr">
        <is>
          <t xml:space="preserve">4</t>
        </is>
      </c>
      <c r="R778" s="7" t="inlineStr">
        <is>
          <t xml:space="preserve">401000|F001</t>
        </is>
      </c>
    </row>
    <row r="779">
      <c r="A779" s="4" t="inlineStr">
        <is>
          <t xml:space="preserve">BQ</t>
        </is>
      </c>
      <c r="B779" s="0" t="inlineStr">
        <is>
          <t xml:space="preserve">Banque Fictive</t>
        </is>
      </c>
      <c r="C779" s="0" t="inlineStr">
        <is>
          <t xml:space="preserve">BQ00179</t>
        </is>
      </c>
      <c r="D779" s="10">
        <v>45965</v>
      </c>
      <c r="E779" s="4" t="inlineStr">
        <is>
          <t xml:space="preserve">401000</t>
        </is>
      </c>
      <c r="F779" s="0" t="inlineStr">
        <is>
          <t xml:space="preserve">Fournisseurs</t>
        </is>
      </c>
      <c r="G779" s="0" t="inlineStr">
        <is>
          <t xml:space="preserve">DEC-F004-202510</t>
        </is>
      </c>
      <c r="H779" s="0" t="inlineStr">
        <is>
          <t xml:space="preserve">Reglement fournisseur SCI Les Halles F004-202510</t>
        </is>
      </c>
      <c r="I779" s="8">
        <v>10200</v>
      </c>
      <c r="J779" s="8">
        <v>0</v>
      </c>
      <c r="K779" s="0" t="inlineStr">
        <is>
          <t xml:space="preserve">ADP</t>
        </is>
      </c>
      <c r="L779" s="0" t="inlineStr">
        <is>
          <t xml:space="preserve">SCI Les Halles</t>
        </is>
      </c>
      <c r="M779" s="8">
        <f>I779-J779</f>
      </c>
      <c r="N779" s="0" t="inlineStr">
        <is>
          <t xml:space="preserve">2025-11</t>
        </is>
      </c>
      <c r="O779" s="0">
        <f>INDEX(Journaux!$E$5:$E$18,MATCH("2025|"&amp;A779,Journaux!$A$5:$A$18,0))</f>
      </c>
      <c r="P779" s="0">
        <f>INDEX(Comptes!$K$5:$K$42,MATCH(E779,Comptes!$A$5:$A$42,0))</f>
      </c>
      <c r="Q779" s="0" t="inlineStr">
        <is>
          <t xml:space="preserve">4</t>
        </is>
      </c>
      <c r="R779" s="7" t="inlineStr">
        <is>
          <t xml:space="preserve">401000|F004</t>
        </is>
      </c>
    </row>
    <row r="780">
      <c r="A780" s="4" t="inlineStr">
        <is>
          <t xml:space="preserve">BQ</t>
        </is>
      </c>
      <c r="B780" s="0" t="inlineStr">
        <is>
          <t xml:space="preserve">Banque Fictive</t>
        </is>
      </c>
      <c r="C780" s="0" t="inlineStr">
        <is>
          <t xml:space="preserve">BQ00179</t>
        </is>
      </c>
      <c r="D780" s="10">
        <v>45965</v>
      </c>
      <c r="E780" s="4" t="inlineStr">
        <is>
          <t xml:space="preserve">512000</t>
        </is>
      </c>
      <c r="F780" s="0" t="inlineStr">
        <is>
          <t xml:space="preserve">Banque Fictive</t>
        </is>
      </c>
      <c r="G780" s="0" t="inlineStr">
        <is>
          <t xml:space="preserve">DEC-F004-202510</t>
        </is>
      </c>
      <c r="H780" s="0" t="inlineStr">
        <is>
          <t xml:space="preserve">Reglement fournisseur SCI Les Halles F004-202510</t>
        </is>
      </c>
      <c r="I780" s="8">
        <v>0</v>
      </c>
      <c r="J780" s="8">
        <v>10200</v>
      </c>
      <c r="K780" s="0"/>
      <c r="L780" s="0"/>
      <c r="M780" s="8">
        <f>I780-J780</f>
      </c>
      <c r="N780" s="0" t="inlineStr">
        <is>
          <t xml:space="preserve">2025-11</t>
        </is>
      </c>
      <c r="O780" s="0">
        <f>INDEX(Journaux!$E$5:$E$18,MATCH("2025|"&amp;A780,Journaux!$A$5:$A$18,0))</f>
      </c>
      <c r="P780" s="0">
        <f>INDEX(Comptes!$K$5:$K$42,MATCH(E780,Comptes!$A$5:$A$42,0))</f>
      </c>
      <c r="Q780" s="0" t="inlineStr">
        <is>
          <t xml:space="preserve">5</t>
        </is>
      </c>
    </row>
    <row r="781">
      <c r="A781" s="4" t="inlineStr">
        <is>
          <t xml:space="preserve">BQ</t>
        </is>
      </c>
      <c r="B781" s="0" t="inlineStr">
        <is>
          <t xml:space="preserve">Banque Fictive</t>
        </is>
      </c>
      <c r="C781" s="0" t="inlineStr">
        <is>
          <t xml:space="preserve">BQ00180</t>
        </is>
      </c>
      <c r="D781" s="10">
        <v>45965</v>
      </c>
      <c r="E781" s="4" t="inlineStr">
        <is>
          <t xml:space="preserve">401000</t>
        </is>
      </c>
      <c r="F781" s="0" t="inlineStr">
        <is>
          <t xml:space="preserve">Fournisseurs</t>
        </is>
      </c>
      <c r="G781" s="0" t="inlineStr">
        <is>
          <t xml:space="preserve">DEC-F005-202510</t>
        </is>
      </c>
      <c r="H781" s="0" t="inlineStr">
        <is>
          <t xml:space="preserve">Reglement fournisseur Energie Plus F005-202510</t>
        </is>
      </c>
      <c r="I781" s="8">
        <v>3108.02</v>
      </c>
      <c r="J781" s="8">
        <v>0</v>
      </c>
      <c r="K781" s="0" t="inlineStr">
        <is>
          <t xml:space="preserve">ADQ</t>
        </is>
      </c>
      <c r="L781" s="0" t="inlineStr">
        <is>
          <t xml:space="preserve">Energie Plus</t>
        </is>
      </c>
      <c r="M781" s="8">
        <f>I781-J781</f>
      </c>
      <c r="N781" s="0" t="inlineStr">
        <is>
          <t xml:space="preserve">2025-11</t>
        </is>
      </c>
      <c r="O781" s="0">
        <f>INDEX(Journaux!$E$5:$E$18,MATCH("2025|"&amp;A781,Journaux!$A$5:$A$18,0))</f>
      </c>
      <c r="P781" s="0">
        <f>INDEX(Comptes!$K$5:$K$42,MATCH(E781,Comptes!$A$5:$A$42,0))</f>
      </c>
      <c r="Q781" s="0" t="inlineStr">
        <is>
          <t xml:space="preserve">4</t>
        </is>
      </c>
      <c r="R781" s="7" t="inlineStr">
        <is>
          <t xml:space="preserve">401000|F005</t>
        </is>
      </c>
    </row>
    <row r="782">
      <c r="A782" s="4" t="inlineStr">
        <is>
          <t xml:space="preserve">BQ</t>
        </is>
      </c>
      <c r="B782" s="0" t="inlineStr">
        <is>
          <t xml:space="preserve">Banque Fictive</t>
        </is>
      </c>
      <c r="C782" s="0" t="inlineStr">
        <is>
          <t xml:space="preserve">BQ00180</t>
        </is>
      </c>
      <c r="D782" s="10">
        <v>45965</v>
      </c>
      <c r="E782" s="4" t="inlineStr">
        <is>
          <t xml:space="preserve">512000</t>
        </is>
      </c>
      <c r="F782" s="0" t="inlineStr">
        <is>
          <t xml:space="preserve">Banque Fictive</t>
        </is>
      </c>
      <c r="G782" s="0" t="inlineStr">
        <is>
          <t xml:space="preserve">DEC-F005-202510</t>
        </is>
      </c>
      <c r="H782" s="0" t="inlineStr">
        <is>
          <t xml:space="preserve">Reglement fournisseur Energie Plus F005-202510</t>
        </is>
      </c>
      <c r="I782" s="8">
        <v>0</v>
      </c>
      <c r="J782" s="8">
        <v>3108.02</v>
      </c>
      <c r="K782" s="0"/>
      <c r="L782" s="0"/>
      <c r="M782" s="8">
        <f>I782-J782</f>
      </c>
      <c r="N782" s="0" t="inlineStr">
        <is>
          <t xml:space="preserve">2025-11</t>
        </is>
      </c>
      <c r="O782" s="0">
        <f>INDEX(Journaux!$E$5:$E$18,MATCH("2025|"&amp;A782,Journaux!$A$5:$A$18,0))</f>
      </c>
      <c r="P782" s="0">
        <f>INDEX(Comptes!$K$5:$K$42,MATCH(E782,Comptes!$A$5:$A$42,0))</f>
      </c>
      <c r="Q782" s="0" t="inlineStr">
        <is>
          <t xml:space="preserve">5</t>
        </is>
      </c>
    </row>
    <row r="783">
      <c r="A783" s="4" t="inlineStr">
        <is>
          <t xml:space="preserve">BQ</t>
        </is>
      </c>
      <c r="B783" s="0" t="inlineStr">
        <is>
          <t xml:space="preserve">Banque Fictive</t>
        </is>
      </c>
      <c r="C783" s="0" t="inlineStr">
        <is>
          <t xml:space="preserve">BQ00181</t>
        </is>
      </c>
      <c r="D783" s="10">
        <v>45965</v>
      </c>
      <c r="E783" s="4" t="inlineStr">
        <is>
          <t xml:space="preserve">401000</t>
        </is>
      </c>
      <c r="F783" s="0" t="inlineStr">
        <is>
          <t xml:space="preserve">Fournisseurs</t>
        </is>
      </c>
      <c r="G783" s="0" t="inlineStr">
        <is>
          <t xml:space="preserve">DEC-F008-202510</t>
        </is>
      </c>
      <c r="H783" s="0" t="inlineStr">
        <is>
          <t xml:space="preserve">Reglement fournisseur Telecom Pro F008-202510</t>
        </is>
      </c>
      <c r="I783" s="8">
        <v>576</v>
      </c>
      <c r="J783" s="8">
        <v>0</v>
      </c>
      <c r="K783" s="0" t="inlineStr">
        <is>
          <t xml:space="preserve">ADR</t>
        </is>
      </c>
      <c r="L783" s="0" t="inlineStr">
        <is>
          <t xml:space="preserve">Telecom Pro</t>
        </is>
      </c>
      <c r="M783" s="8">
        <f>I783-J783</f>
      </c>
      <c r="N783" s="0" t="inlineStr">
        <is>
          <t xml:space="preserve">2025-11</t>
        </is>
      </c>
      <c r="O783" s="0">
        <f>INDEX(Journaux!$E$5:$E$18,MATCH("2025|"&amp;A783,Journaux!$A$5:$A$18,0))</f>
      </c>
      <c r="P783" s="0">
        <f>INDEX(Comptes!$K$5:$K$42,MATCH(E783,Comptes!$A$5:$A$42,0))</f>
      </c>
      <c r="Q783" s="0" t="inlineStr">
        <is>
          <t xml:space="preserve">4</t>
        </is>
      </c>
      <c r="R783" s="7" t="inlineStr">
        <is>
          <t xml:space="preserve">401000|F008</t>
        </is>
      </c>
    </row>
    <row r="784">
      <c r="A784" s="4" t="inlineStr">
        <is>
          <t xml:space="preserve">BQ</t>
        </is>
      </c>
      <c r="B784" s="0" t="inlineStr">
        <is>
          <t xml:space="preserve">Banque Fictive</t>
        </is>
      </c>
      <c r="C784" s="0" t="inlineStr">
        <is>
          <t xml:space="preserve">BQ00181</t>
        </is>
      </c>
      <c r="D784" s="10">
        <v>45965</v>
      </c>
      <c r="E784" s="4" t="inlineStr">
        <is>
          <t xml:space="preserve">512000</t>
        </is>
      </c>
      <c r="F784" s="0" t="inlineStr">
        <is>
          <t xml:space="preserve">Banque Fictive</t>
        </is>
      </c>
      <c r="G784" s="0" t="inlineStr">
        <is>
          <t xml:space="preserve">DEC-F008-202510</t>
        </is>
      </c>
      <c r="H784" s="0" t="inlineStr">
        <is>
          <t xml:space="preserve">Reglement fournisseur Telecom Pro F008-202510</t>
        </is>
      </c>
      <c r="I784" s="8">
        <v>0</v>
      </c>
      <c r="J784" s="8">
        <v>576</v>
      </c>
      <c r="K784" s="0"/>
      <c r="L784" s="0"/>
      <c r="M784" s="8">
        <f>I784-J784</f>
      </c>
      <c r="N784" s="0" t="inlineStr">
        <is>
          <t xml:space="preserve">2025-11</t>
        </is>
      </c>
      <c r="O784" s="0">
        <f>INDEX(Journaux!$E$5:$E$18,MATCH("2025|"&amp;A784,Journaux!$A$5:$A$18,0))</f>
      </c>
      <c r="P784" s="0">
        <f>INDEX(Comptes!$K$5:$K$42,MATCH(E784,Comptes!$A$5:$A$42,0))</f>
      </c>
      <c r="Q784" s="0" t="inlineStr">
        <is>
          <t xml:space="preserve">5</t>
        </is>
      </c>
    </row>
    <row r="785">
      <c r="A785" s="4" t="inlineStr">
        <is>
          <t xml:space="preserve">BQ</t>
        </is>
      </c>
      <c r="B785" s="0" t="inlineStr">
        <is>
          <t xml:space="preserve">Banque Fictive</t>
        </is>
      </c>
      <c r="C785" s="0" t="inlineStr">
        <is>
          <t xml:space="preserve">BQ00182</t>
        </is>
      </c>
      <c r="D785" s="10">
        <v>45965</v>
      </c>
      <c r="E785" s="4" t="inlineStr">
        <is>
          <t xml:space="preserve">401000</t>
        </is>
      </c>
      <c r="F785" s="0" t="inlineStr">
        <is>
          <t xml:space="preserve">Fournisseurs</t>
        </is>
      </c>
      <c r="G785" s="0" t="inlineStr">
        <is>
          <t xml:space="preserve">DEC-F006-202510</t>
        </is>
      </c>
      <c r="H785" s="0" t="inlineStr">
        <is>
          <t xml:space="preserve">Reglement fournisseur Assurances Mutuelles Exemple F006-202510</t>
        </is>
      </c>
      <c r="I785" s="8">
        <v>3000</v>
      </c>
      <c r="J785" s="8">
        <v>0</v>
      </c>
      <c r="K785" s="0" t="inlineStr">
        <is>
          <t xml:space="preserve">ADS</t>
        </is>
      </c>
      <c r="L785" s="0" t="inlineStr">
        <is>
          <t xml:space="preserve">Assurances Mutuelles Exemple</t>
        </is>
      </c>
      <c r="M785" s="8">
        <f>I785-J785</f>
      </c>
      <c r="N785" s="0" t="inlineStr">
        <is>
          <t xml:space="preserve">2025-11</t>
        </is>
      </c>
      <c r="O785" s="0">
        <f>INDEX(Journaux!$E$5:$E$18,MATCH("2025|"&amp;A785,Journaux!$A$5:$A$18,0))</f>
      </c>
      <c r="P785" s="0">
        <f>INDEX(Comptes!$K$5:$K$42,MATCH(E785,Comptes!$A$5:$A$42,0))</f>
      </c>
      <c r="Q785" s="0" t="inlineStr">
        <is>
          <t xml:space="preserve">4</t>
        </is>
      </c>
      <c r="R785" s="7" t="inlineStr">
        <is>
          <t xml:space="preserve">401000|F006</t>
        </is>
      </c>
    </row>
    <row r="786">
      <c r="A786" s="4" t="inlineStr">
        <is>
          <t xml:space="preserve">BQ</t>
        </is>
      </c>
      <c r="B786" s="0" t="inlineStr">
        <is>
          <t xml:space="preserve">Banque Fictive</t>
        </is>
      </c>
      <c r="C786" s="0" t="inlineStr">
        <is>
          <t xml:space="preserve">BQ00182</t>
        </is>
      </c>
      <c r="D786" s="10">
        <v>45965</v>
      </c>
      <c r="E786" s="4" t="inlineStr">
        <is>
          <t xml:space="preserve">512000</t>
        </is>
      </c>
      <c r="F786" s="0" t="inlineStr">
        <is>
          <t xml:space="preserve">Banque Fictive</t>
        </is>
      </c>
      <c r="G786" s="0" t="inlineStr">
        <is>
          <t xml:space="preserve">DEC-F006-202510</t>
        </is>
      </c>
      <c r="H786" s="0" t="inlineStr">
        <is>
          <t xml:space="preserve">Reglement fournisseur Assurances Mutuelles Exemple F006-202510</t>
        </is>
      </c>
      <c r="I786" s="8">
        <v>0</v>
      </c>
      <c r="J786" s="8">
        <v>3000</v>
      </c>
      <c r="K786" s="0"/>
      <c r="L786" s="0"/>
      <c r="M786" s="8">
        <f>I786-J786</f>
      </c>
      <c r="N786" s="0" t="inlineStr">
        <is>
          <t xml:space="preserve">2025-11</t>
        </is>
      </c>
      <c r="O786" s="0">
        <f>INDEX(Journaux!$E$5:$E$18,MATCH("2025|"&amp;A786,Journaux!$A$5:$A$18,0))</f>
      </c>
      <c r="P786" s="0">
        <f>INDEX(Comptes!$K$5:$K$42,MATCH(E786,Comptes!$A$5:$A$42,0))</f>
      </c>
      <c r="Q786" s="0" t="inlineStr">
        <is>
          <t xml:space="preserve">5</t>
        </is>
      </c>
    </row>
    <row r="787">
      <c r="A787" s="4" t="inlineStr">
        <is>
          <t xml:space="preserve">AC</t>
        </is>
      </c>
      <c r="B787" s="0" t="inlineStr">
        <is>
          <t xml:space="preserve">Journal des achats</t>
        </is>
      </c>
      <c r="C787" s="0" t="inlineStr">
        <is>
          <t xml:space="preserve">AC00068</t>
        </is>
      </c>
      <c r="D787" s="10">
        <v>45966</v>
      </c>
      <c r="E787" s="4" t="inlineStr">
        <is>
          <t xml:space="preserve">613200</t>
        </is>
      </c>
      <c r="F787" s="0" t="inlineStr">
        <is>
          <t xml:space="preserve">Locations immobilieres</t>
        </is>
      </c>
      <c r="G787" s="0" t="inlineStr">
        <is>
          <t xml:space="preserve">F004-202511</t>
        </is>
      </c>
      <c r="H787" s="0" t="inlineStr">
        <is>
          <t xml:space="preserve">Facture SCI Les Halles 2025-11</t>
        </is>
      </c>
      <c r="I787" s="8">
        <v>8500</v>
      </c>
      <c r="J787" s="8">
        <v>0</v>
      </c>
      <c r="K787" s="0"/>
      <c r="L787" s="0"/>
      <c r="M787" s="8">
        <f>I787-J787</f>
      </c>
      <c r="N787" s="0" t="inlineStr">
        <is>
          <t xml:space="preserve">2025-11</t>
        </is>
      </c>
      <c r="O787" s="0">
        <f>INDEX(Journaux!$E$5:$E$18,MATCH("2025|"&amp;A787,Journaux!$A$5:$A$18,0))</f>
      </c>
      <c r="P787" s="0">
        <f>INDEX(Comptes!$K$5:$K$42,MATCH(E787,Comptes!$A$5:$A$42,0))</f>
      </c>
      <c r="Q787" s="0" t="inlineStr">
        <is>
          <t xml:space="preserve">6</t>
        </is>
      </c>
    </row>
    <row r="788">
      <c r="A788" s="4" t="inlineStr">
        <is>
          <t xml:space="preserve">AC</t>
        </is>
      </c>
      <c r="B788" s="0" t="inlineStr">
        <is>
          <t xml:space="preserve">Journal des achats</t>
        </is>
      </c>
      <c r="C788" s="0" t="inlineStr">
        <is>
          <t xml:space="preserve">AC00068</t>
        </is>
      </c>
      <c r="D788" s="10">
        <v>45966</v>
      </c>
      <c r="E788" s="4" t="inlineStr">
        <is>
          <t xml:space="preserve">445660</t>
        </is>
      </c>
      <c r="F788" s="0" t="inlineStr">
        <is>
          <t xml:space="preserve">TVA deductible sur ABS</t>
        </is>
      </c>
      <c r="G788" s="0" t="inlineStr">
        <is>
          <t xml:space="preserve">F004-202511</t>
        </is>
      </c>
      <c r="H788" s="0" t="inlineStr">
        <is>
          <t xml:space="preserve">Facture SCI Les Halles 2025-11</t>
        </is>
      </c>
      <c r="I788" s="8">
        <v>1700</v>
      </c>
      <c r="J788" s="8">
        <v>0</v>
      </c>
      <c r="K788" s="0"/>
      <c r="L788" s="0"/>
      <c r="M788" s="8">
        <f>I788-J788</f>
      </c>
      <c r="N788" s="0" t="inlineStr">
        <is>
          <t xml:space="preserve">2025-11</t>
        </is>
      </c>
      <c r="O788" s="0">
        <f>INDEX(Journaux!$E$5:$E$18,MATCH("2025|"&amp;A788,Journaux!$A$5:$A$18,0))</f>
      </c>
      <c r="P788" s="0">
        <f>INDEX(Comptes!$K$5:$K$42,MATCH(E788,Comptes!$A$5:$A$42,0))</f>
      </c>
      <c r="Q788" s="0" t="inlineStr">
        <is>
          <t xml:space="preserve">4</t>
        </is>
      </c>
    </row>
    <row r="789">
      <c r="A789" s="4" t="inlineStr">
        <is>
          <t xml:space="preserve">AC</t>
        </is>
      </c>
      <c r="B789" s="0" t="inlineStr">
        <is>
          <t xml:space="preserve">Journal des achats</t>
        </is>
      </c>
      <c r="C789" s="0" t="inlineStr">
        <is>
          <t xml:space="preserve">AC00068</t>
        </is>
      </c>
      <c r="D789" s="10">
        <v>45966</v>
      </c>
      <c r="E789" s="4" t="inlineStr">
        <is>
          <t xml:space="preserve">401000</t>
        </is>
      </c>
      <c r="F789" s="0" t="inlineStr">
        <is>
          <t xml:space="preserve">Fournisseurs</t>
        </is>
      </c>
      <c r="G789" s="0" t="inlineStr">
        <is>
          <t xml:space="preserve">F004-202511</t>
        </is>
      </c>
      <c r="H789" s="0" t="inlineStr">
        <is>
          <t xml:space="preserve">Facture SCI Les Halles 2025-11</t>
        </is>
      </c>
      <c r="I789" s="8">
        <v>0</v>
      </c>
      <c r="J789" s="8">
        <v>10200</v>
      </c>
      <c r="K789" s="0" t="inlineStr">
        <is>
          <t xml:space="preserve">ADT</t>
        </is>
      </c>
      <c r="L789" s="0" t="inlineStr">
        <is>
          <t xml:space="preserve">SCI Les Halles</t>
        </is>
      </c>
      <c r="M789" s="8">
        <f>I789-J789</f>
      </c>
      <c r="N789" s="0" t="inlineStr">
        <is>
          <t xml:space="preserve">2025-11</t>
        </is>
      </c>
      <c r="O789" s="0">
        <f>INDEX(Journaux!$E$5:$E$18,MATCH("2025|"&amp;A789,Journaux!$A$5:$A$18,0))</f>
      </c>
      <c r="P789" s="0">
        <f>INDEX(Comptes!$K$5:$K$42,MATCH(E789,Comptes!$A$5:$A$42,0))</f>
      </c>
      <c r="Q789" s="0" t="inlineStr">
        <is>
          <t xml:space="preserve">4</t>
        </is>
      </c>
      <c r="R789" s="7" t="inlineStr">
        <is>
          <t xml:space="preserve">401000|F004</t>
        </is>
      </c>
    </row>
    <row r="790">
      <c r="A790" s="4" t="inlineStr">
        <is>
          <t xml:space="preserve">AC</t>
        </is>
      </c>
      <c r="B790" s="0" t="inlineStr">
        <is>
          <t xml:space="preserve">Journal des achats</t>
        </is>
      </c>
      <c r="C790" s="0" t="inlineStr">
        <is>
          <t xml:space="preserve">AC00069</t>
        </is>
      </c>
      <c r="D790" s="10">
        <v>45966</v>
      </c>
      <c r="E790" s="4" t="inlineStr">
        <is>
          <t xml:space="preserve">606100</t>
        </is>
      </c>
      <c r="F790" s="0" t="inlineStr">
        <is>
          <t xml:space="preserve">Fournitures non stockables energie</t>
        </is>
      </c>
      <c r="G790" s="0" t="inlineStr">
        <is>
          <t xml:space="preserve">F005-202511</t>
        </is>
      </c>
      <c r="H790" s="0" t="inlineStr">
        <is>
          <t xml:space="preserve">Facture Energie Plus 2025-11</t>
        </is>
      </c>
      <c r="I790" s="8">
        <v>2900.87</v>
      </c>
      <c r="J790" s="8">
        <v>0</v>
      </c>
      <c r="K790" s="0"/>
      <c r="L790" s="0"/>
      <c r="M790" s="8">
        <f>I790-J790</f>
      </c>
      <c r="N790" s="0" t="inlineStr">
        <is>
          <t xml:space="preserve">2025-11</t>
        </is>
      </c>
      <c r="O790" s="0">
        <f>INDEX(Journaux!$E$5:$E$18,MATCH("2025|"&amp;A790,Journaux!$A$5:$A$18,0))</f>
      </c>
      <c r="P790" s="0">
        <f>INDEX(Comptes!$K$5:$K$42,MATCH(E790,Comptes!$A$5:$A$42,0))</f>
      </c>
      <c r="Q790" s="0" t="inlineStr">
        <is>
          <t xml:space="preserve">6</t>
        </is>
      </c>
    </row>
    <row r="791">
      <c r="A791" s="4" t="inlineStr">
        <is>
          <t xml:space="preserve">AC</t>
        </is>
      </c>
      <c r="B791" s="0" t="inlineStr">
        <is>
          <t xml:space="preserve">Journal des achats</t>
        </is>
      </c>
      <c r="C791" s="0" t="inlineStr">
        <is>
          <t xml:space="preserve">AC00069</t>
        </is>
      </c>
      <c r="D791" s="10">
        <v>45966</v>
      </c>
      <c r="E791" s="4" t="inlineStr">
        <is>
          <t xml:space="preserve">445660</t>
        </is>
      </c>
      <c r="F791" s="0" t="inlineStr">
        <is>
          <t xml:space="preserve">TVA deductible sur ABS</t>
        </is>
      </c>
      <c r="G791" s="0" t="inlineStr">
        <is>
          <t xml:space="preserve">F005-202511</t>
        </is>
      </c>
      <c r="H791" s="0" t="inlineStr">
        <is>
          <t xml:space="preserve">Facture Energie Plus 2025-11</t>
        </is>
      </c>
      <c r="I791" s="8">
        <v>580.17</v>
      </c>
      <c r="J791" s="8">
        <v>0</v>
      </c>
      <c r="K791" s="0"/>
      <c r="L791" s="0"/>
      <c r="M791" s="8">
        <f>I791-J791</f>
      </c>
      <c r="N791" s="0" t="inlineStr">
        <is>
          <t xml:space="preserve">2025-11</t>
        </is>
      </c>
      <c r="O791" s="0">
        <f>INDEX(Journaux!$E$5:$E$18,MATCH("2025|"&amp;A791,Journaux!$A$5:$A$18,0))</f>
      </c>
      <c r="P791" s="0">
        <f>INDEX(Comptes!$K$5:$K$42,MATCH(E791,Comptes!$A$5:$A$42,0))</f>
      </c>
      <c r="Q791" s="0" t="inlineStr">
        <is>
          <t xml:space="preserve">4</t>
        </is>
      </c>
    </row>
    <row r="792">
      <c r="A792" s="4" t="inlineStr">
        <is>
          <t xml:space="preserve">AC</t>
        </is>
      </c>
      <c r="B792" s="0" t="inlineStr">
        <is>
          <t xml:space="preserve">Journal des achats</t>
        </is>
      </c>
      <c r="C792" s="0" t="inlineStr">
        <is>
          <t xml:space="preserve">AC00069</t>
        </is>
      </c>
      <c r="D792" s="10">
        <v>45966</v>
      </c>
      <c r="E792" s="4" t="inlineStr">
        <is>
          <t xml:space="preserve">401000</t>
        </is>
      </c>
      <c r="F792" s="0" t="inlineStr">
        <is>
          <t xml:space="preserve">Fournisseurs</t>
        </is>
      </c>
      <c r="G792" s="0" t="inlineStr">
        <is>
          <t xml:space="preserve">F005-202511</t>
        </is>
      </c>
      <c r="H792" s="0" t="inlineStr">
        <is>
          <t xml:space="preserve">Facture Energie Plus 2025-11</t>
        </is>
      </c>
      <c r="I792" s="8">
        <v>0</v>
      </c>
      <c r="J792" s="8">
        <v>3481.04</v>
      </c>
      <c r="K792" s="0" t="inlineStr">
        <is>
          <t xml:space="preserve">ADU</t>
        </is>
      </c>
      <c r="L792" s="0" t="inlineStr">
        <is>
          <t xml:space="preserve">Energie Plus</t>
        </is>
      </c>
      <c r="M792" s="8">
        <f>I792-J792</f>
      </c>
      <c r="N792" s="0" t="inlineStr">
        <is>
          <t xml:space="preserve">2025-11</t>
        </is>
      </c>
      <c r="O792" s="0">
        <f>INDEX(Journaux!$E$5:$E$18,MATCH("2025|"&amp;A792,Journaux!$A$5:$A$18,0))</f>
      </c>
      <c r="P792" s="0">
        <f>INDEX(Comptes!$K$5:$K$42,MATCH(E792,Comptes!$A$5:$A$42,0))</f>
      </c>
      <c r="Q792" s="0" t="inlineStr">
        <is>
          <t xml:space="preserve">4</t>
        </is>
      </c>
      <c r="R792" s="7" t="inlineStr">
        <is>
          <t xml:space="preserve">401000|F005</t>
        </is>
      </c>
    </row>
    <row r="793">
      <c r="A793" s="4" t="inlineStr">
        <is>
          <t xml:space="preserve">AC</t>
        </is>
      </c>
      <c r="B793" s="0" t="inlineStr">
        <is>
          <t xml:space="preserve">Journal des achats</t>
        </is>
      </c>
      <c r="C793" s="0" t="inlineStr">
        <is>
          <t xml:space="preserve">AC00070</t>
        </is>
      </c>
      <c r="D793" s="10">
        <v>45966</v>
      </c>
      <c r="E793" s="4" t="inlineStr">
        <is>
          <t xml:space="preserve">626000</t>
        </is>
      </c>
      <c r="F793" s="0" t="inlineStr">
        <is>
          <t xml:space="preserve">Frais postaux et telecommunications</t>
        </is>
      </c>
      <c r="G793" s="0" t="inlineStr">
        <is>
          <t xml:space="preserve">F008-202511</t>
        </is>
      </c>
      <c r="H793" s="0" t="inlineStr">
        <is>
          <t xml:space="preserve">Facture Telecom Pro 2025-11</t>
        </is>
      </c>
      <c r="I793" s="8">
        <v>480</v>
      </c>
      <c r="J793" s="8">
        <v>0</v>
      </c>
      <c r="K793" s="0"/>
      <c r="L793" s="0"/>
      <c r="M793" s="8">
        <f>I793-J793</f>
      </c>
      <c r="N793" s="0" t="inlineStr">
        <is>
          <t xml:space="preserve">2025-11</t>
        </is>
      </c>
      <c r="O793" s="0">
        <f>INDEX(Journaux!$E$5:$E$18,MATCH("2025|"&amp;A793,Journaux!$A$5:$A$18,0))</f>
      </c>
      <c r="P793" s="0">
        <f>INDEX(Comptes!$K$5:$K$42,MATCH(E793,Comptes!$A$5:$A$42,0))</f>
      </c>
      <c r="Q793" s="0" t="inlineStr">
        <is>
          <t xml:space="preserve">6</t>
        </is>
      </c>
    </row>
    <row r="794">
      <c r="A794" s="4" t="inlineStr">
        <is>
          <t xml:space="preserve">AC</t>
        </is>
      </c>
      <c r="B794" s="0" t="inlineStr">
        <is>
          <t xml:space="preserve">Journal des achats</t>
        </is>
      </c>
      <c r="C794" s="0" t="inlineStr">
        <is>
          <t xml:space="preserve">AC00070</t>
        </is>
      </c>
      <c r="D794" s="10">
        <v>45966</v>
      </c>
      <c r="E794" s="4" t="inlineStr">
        <is>
          <t xml:space="preserve">445660</t>
        </is>
      </c>
      <c r="F794" s="0" t="inlineStr">
        <is>
          <t xml:space="preserve">TVA deductible sur ABS</t>
        </is>
      </c>
      <c r="G794" s="0" t="inlineStr">
        <is>
          <t xml:space="preserve">F008-202511</t>
        </is>
      </c>
      <c r="H794" s="0" t="inlineStr">
        <is>
          <t xml:space="preserve">Facture Telecom Pro 2025-11</t>
        </is>
      </c>
      <c r="I794" s="8">
        <v>96</v>
      </c>
      <c r="J794" s="8">
        <v>0</v>
      </c>
      <c r="K794" s="0"/>
      <c r="L794" s="0"/>
      <c r="M794" s="8">
        <f>I794-J794</f>
      </c>
      <c r="N794" s="0" t="inlineStr">
        <is>
          <t xml:space="preserve">2025-11</t>
        </is>
      </c>
      <c r="O794" s="0">
        <f>INDEX(Journaux!$E$5:$E$18,MATCH("2025|"&amp;A794,Journaux!$A$5:$A$18,0))</f>
      </c>
      <c r="P794" s="0">
        <f>INDEX(Comptes!$K$5:$K$42,MATCH(E794,Comptes!$A$5:$A$42,0))</f>
      </c>
      <c r="Q794" s="0" t="inlineStr">
        <is>
          <t xml:space="preserve">4</t>
        </is>
      </c>
    </row>
    <row r="795">
      <c r="A795" s="4" t="inlineStr">
        <is>
          <t xml:space="preserve">AC</t>
        </is>
      </c>
      <c r="B795" s="0" t="inlineStr">
        <is>
          <t xml:space="preserve">Journal des achats</t>
        </is>
      </c>
      <c r="C795" s="0" t="inlineStr">
        <is>
          <t xml:space="preserve">AC00070</t>
        </is>
      </c>
      <c r="D795" s="10">
        <v>45966</v>
      </c>
      <c r="E795" s="4" t="inlineStr">
        <is>
          <t xml:space="preserve">401000</t>
        </is>
      </c>
      <c r="F795" s="0" t="inlineStr">
        <is>
          <t xml:space="preserve">Fournisseurs</t>
        </is>
      </c>
      <c r="G795" s="0" t="inlineStr">
        <is>
          <t xml:space="preserve">F008-202511</t>
        </is>
      </c>
      <c r="H795" s="0" t="inlineStr">
        <is>
          <t xml:space="preserve">Facture Telecom Pro 2025-11</t>
        </is>
      </c>
      <c r="I795" s="8">
        <v>0</v>
      </c>
      <c r="J795" s="8">
        <v>576</v>
      </c>
      <c r="K795" s="0" t="inlineStr">
        <is>
          <t xml:space="preserve">ADV</t>
        </is>
      </c>
      <c r="L795" s="0" t="inlineStr">
        <is>
          <t xml:space="preserve">Telecom Pro</t>
        </is>
      </c>
      <c r="M795" s="8">
        <f>I795-J795</f>
      </c>
      <c r="N795" s="0" t="inlineStr">
        <is>
          <t xml:space="preserve">2025-11</t>
        </is>
      </c>
      <c r="O795" s="0">
        <f>INDEX(Journaux!$E$5:$E$18,MATCH("2025|"&amp;A795,Journaux!$A$5:$A$18,0))</f>
      </c>
      <c r="P795" s="0">
        <f>INDEX(Comptes!$K$5:$K$42,MATCH(E795,Comptes!$A$5:$A$42,0))</f>
      </c>
      <c r="Q795" s="0" t="inlineStr">
        <is>
          <t xml:space="preserve">4</t>
        </is>
      </c>
      <c r="R795" s="7" t="inlineStr">
        <is>
          <t xml:space="preserve">401000|F008</t>
        </is>
      </c>
    </row>
    <row r="796">
      <c r="A796" s="4" t="inlineStr">
        <is>
          <t xml:space="preserve">BQ</t>
        </is>
      </c>
      <c r="B796" s="0" t="inlineStr">
        <is>
          <t xml:space="preserve">Banque Fictive</t>
        </is>
      </c>
      <c r="C796" s="0" t="inlineStr">
        <is>
          <t xml:space="preserve">BQ00105</t>
        </is>
      </c>
      <c r="D796" s="10">
        <v>45967</v>
      </c>
      <c r="E796" s="4" t="inlineStr">
        <is>
          <t xml:space="preserve">512000</t>
        </is>
      </c>
      <c r="F796" s="0" t="inlineStr">
        <is>
          <t xml:space="preserve">Banque Fictive</t>
        </is>
      </c>
      <c r="G796" s="0" t="inlineStr">
        <is>
          <t xml:space="preserve">ENC-FA2025-0038</t>
        </is>
      </c>
      <c r="H796" s="0" t="inlineStr">
        <is>
          <t xml:space="preserve">Reglement client Coworking Atelier 9 FA2025-0038</t>
        </is>
      </c>
      <c r="I796" s="8">
        <v>31087.38</v>
      </c>
      <c r="J796" s="8">
        <v>0</v>
      </c>
      <c r="K796" s="0"/>
      <c r="L796" s="0"/>
      <c r="M796" s="8">
        <f>I796-J796</f>
      </c>
      <c r="N796" s="0" t="inlineStr">
        <is>
          <t xml:space="preserve">2025-11</t>
        </is>
      </c>
      <c r="O796" s="0">
        <f>INDEX(Journaux!$E$5:$E$18,MATCH("2025|"&amp;A796,Journaux!$A$5:$A$18,0))</f>
      </c>
      <c r="P796" s="0">
        <f>INDEX(Comptes!$K$5:$K$42,MATCH(E796,Comptes!$A$5:$A$42,0))</f>
      </c>
      <c r="Q796" s="0" t="inlineStr">
        <is>
          <t xml:space="preserve">5</t>
        </is>
      </c>
    </row>
    <row r="797">
      <c r="A797" s="4" t="inlineStr">
        <is>
          <t xml:space="preserve">BQ</t>
        </is>
      </c>
      <c r="B797" s="0" t="inlineStr">
        <is>
          <t xml:space="preserve">Banque Fictive</t>
        </is>
      </c>
      <c r="C797" s="0" t="inlineStr">
        <is>
          <t xml:space="preserve">BQ00105</t>
        </is>
      </c>
      <c r="D797" s="10">
        <v>45967</v>
      </c>
      <c r="E797" s="4" t="inlineStr">
        <is>
          <t xml:space="preserve">411000</t>
        </is>
      </c>
      <c r="F797" s="0" t="inlineStr">
        <is>
          <t xml:space="preserve">Clients</t>
        </is>
      </c>
      <c r="G797" s="0" t="inlineStr">
        <is>
          <t xml:space="preserve">ENC-FA2025-0038</t>
        </is>
      </c>
      <c r="H797" s="0" t="inlineStr">
        <is>
          <t xml:space="preserve">Reglement client Coworking Atelier 9 FA2025-0038</t>
        </is>
      </c>
      <c r="I797" s="8">
        <v>0</v>
      </c>
      <c r="J797" s="8">
        <v>31087.38</v>
      </c>
      <c r="K797" s="0" t="inlineStr">
        <is>
          <t xml:space="preserve">AAT</t>
        </is>
      </c>
      <c r="L797" s="0" t="inlineStr">
        <is>
          <t xml:space="preserve">Coworking Atelier 9</t>
        </is>
      </c>
      <c r="M797" s="8">
        <f>I797-J797</f>
      </c>
      <c r="N797" s="0" t="inlineStr">
        <is>
          <t xml:space="preserve">2025-11</t>
        </is>
      </c>
      <c r="O797" s="0">
        <f>INDEX(Journaux!$E$5:$E$18,MATCH("2025|"&amp;A797,Journaux!$A$5:$A$18,0))</f>
      </c>
      <c r="P797" s="0">
        <f>INDEX(Comptes!$K$5:$K$42,MATCH(E797,Comptes!$A$5:$A$42,0))</f>
      </c>
      <c r="Q797" s="0" t="inlineStr">
        <is>
          <t xml:space="preserve">4</t>
        </is>
      </c>
      <c r="R797" s="7" t="inlineStr">
        <is>
          <t xml:space="preserve">411000|C008</t>
        </is>
      </c>
    </row>
    <row r="798">
      <c r="A798" s="4" t="inlineStr">
        <is>
          <t xml:space="preserve">BQ</t>
        </is>
      </c>
      <c r="B798" s="0" t="inlineStr">
        <is>
          <t xml:space="preserve">Banque Fictive</t>
        </is>
      </c>
      <c r="C798" s="0" t="inlineStr">
        <is>
          <t xml:space="preserve">BQ00106</t>
        </is>
      </c>
      <c r="D798" s="10">
        <v>45967</v>
      </c>
      <c r="E798" s="4" t="inlineStr">
        <is>
          <t xml:space="preserve">512000</t>
        </is>
      </c>
      <c r="F798" s="0" t="inlineStr">
        <is>
          <t xml:space="preserve">Banque Fictive</t>
        </is>
      </c>
      <c r="G798" s="0" t="inlineStr">
        <is>
          <t xml:space="preserve">ENC-FA2025-0039</t>
        </is>
      </c>
      <c r="H798" s="0" t="inlineStr">
        <is>
          <t xml:space="preserve">Reglement client Boutique Hetre et Chene FA2025-0039</t>
        </is>
      </c>
      <c r="I798" s="8">
        <v>31865.21</v>
      </c>
      <c r="J798" s="8">
        <v>0</v>
      </c>
      <c r="K798" s="0"/>
      <c r="L798" s="0"/>
      <c r="M798" s="8">
        <f>I798-J798</f>
      </c>
      <c r="N798" s="0" t="inlineStr">
        <is>
          <t xml:space="preserve">2025-11</t>
        </is>
      </c>
      <c r="O798" s="0">
        <f>INDEX(Journaux!$E$5:$E$18,MATCH("2025|"&amp;A798,Journaux!$A$5:$A$18,0))</f>
      </c>
      <c r="P798" s="0">
        <f>INDEX(Comptes!$K$5:$K$42,MATCH(E798,Comptes!$A$5:$A$42,0))</f>
      </c>
      <c r="Q798" s="0" t="inlineStr">
        <is>
          <t xml:space="preserve">5</t>
        </is>
      </c>
    </row>
    <row r="799">
      <c r="A799" s="4" t="inlineStr">
        <is>
          <t xml:space="preserve">BQ</t>
        </is>
      </c>
      <c r="B799" s="0" t="inlineStr">
        <is>
          <t xml:space="preserve">Banque Fictive</t>
        </is>
      </c>
      <c r="C799" s="0" t="inlineStr">
        <is>
          <t xml:space="preserve">BQ00106</t>
        </is>
      </c>
      <c r="D799" s="10">
        <v>45967</v>
      </c>
      <c r="E799" s="4" t="inlineStr">
        <is>
          <t xml:space="preserve">411000</t>
        </is>
      </c>
      <c r="F799" s="0" t="inlineStr">
        <is>
          <t xml:space="preserve">Clients</t>
        </is>
      </c>
      <c r="G799" s="0" t="inlineStr">
        <is>
          <t xml:space="preserve">ENC-FA2025-0039</t>
        </is>
      </c>
      <c r="H799" s="0" t="inlineStr">
        <is>
          <t xml:space="preserve">Reglement client Boutique Hetre et Chene FA2025-0039</t>
        </is>
      </c>
      <c r="I799" s="8">
        <v>0</v>
      </c>
      <c r="J799" s="8">
        <v>31865.21</v>
      </c>
      <c r="K799" s="0" t="inlineStr">
        <is>
          <t xml:space="preserve">AAU</t>
        </is>
      </c>
      <c r="L799" s="0" t="inlineStr">
        <is>
          <t xml:space="preserve">Boutique Hetre et Chene</t>
        </is>
      </c>
      <c r="M799" s="8">
        <f>I799-J799</f>
      </c>
      <c r="N799" s="0" t="inlineStr">
        <is>
          <t xml:space="preserve">2025-11</t>
        </is>
      </c>
      <c r="O799" s="0">
        <f>INDEX(Journaux!$E$5:$E$18,MATCH("2025|"&amp;A799,Journaux!$A$5:$A$18,0))</f>
      </c>
      <c r="P799" s="0">
        <f>INDEX(Comptes!$K$5:$K$42,MATCH(E799,Comptes!$A$5:$A$42,0))</f>
      </c>
      <c r="Q799" s="0" t="inlineStr">
        <is>
          <t xml:space="preserve">4</t>
        </is>
      </c>
      <c r="R799" s="7" t="inlineStr">
        <is>
          <t xml:space="preserve">411000|C007</t>
        </is>
      </c>
    </row>
    <row r="800">
      <c r="A800" s="4" t="inlineStr">
        <is>
          <t xml:space="preserve">AC</t>
        </is>
      </c>
      <c r="B800" s="0" t="inlineStr">
        <is>
          <t xml:space="preserve">Journal des achats</t>
        </is>
      </c>
      <c r="C800" s="0" t="inlineStr">
        <is>
          <t xml:space="preserve">AC00065</t>
        </is>
      </c>
      <c r="D800" s="10">
        <v>45971</v>
      </c>
      <c r="E800" s="4" t="inlineStr">
        <is>
          <t xml:space="preserve">601000</t>
        </is>
      </c>
      <c r="F800" s="0" t="inlineStr">
        <is>
          <t xml:space="preserve">Achats de matieres premieres</t>
        </is>
      </c>
      <c r="G800" s="0" t="inlineStr">
        <is>
          <t xml:space="preserve">F001-2025111</t>
        </is>
      </c>
      <c r="H800" s="0" t="inlineStr">
        <is>
          <t xml:space="preserve">Facture Scierie du Nord F001-2025111</t>
        </is>
      </c>
      <c r="I800" s="8">
        <v>25405.41</v>
      </c>
      <c r="J800" s="8">
        <v>0</v>
      </c>
      <c r="K800" s="0"/>
      <c r="L800" s="0"/>
      <c r="M800" s="8">
        <f>I800-J800</f>
      </c>
      <c r="N800" s="0" t="inlineStr">
        <is>
          <t xml:space="preserve">2025-11</t>
        </is>
      </c>
      <c r="O800" s="0">
        <f>INDEX(Journaux!$E$5:$E$18,MATCH("2025|"&amp;A800,Journaux!$A$5:$A$18,0))</f>
      </c>
      <c r="P800" s="0">
        <f>INDEX(Comptes!$K$5:$K$42,MATCH(E800,Comptes!$A$5:$A$42,0))</f>
      </c>
      <c r="Q800" s="0" t="inlineStr">
        <is>
          <t xml:space="preserve">6</t>
        </is>
      </c>
    </row>
    <row r="801">
      <c r="A801" s="4" t="inlineStr">
        <is>
          <t xml:space="preserve">AC</t>
        </is>
      </c>
      <c r="B801" s="0" t="inlineStr">
        <is>
          <t xml:space="preserve">Journal des achats</t>
        </is>
      </c>
      <c r="C801" s="0" t="inlineStr">
        <is>
          <t xml:space="preserve">AC00065</t>
        </is>
      </c>
      <c r="D801" s="10">
        <v>45971</v>
      </c>
      <c r="E801" s="4" t="inlineStr">
        <is>
          <t xml:space="preserve">445660</t>
        </is>
      </c>
      <c r="F801" s="0" t="inlineStr">
        <is>
          <t xml:space="preserve">TVA deductible sur ABS</t>
        </is>
      </c>
      <c r="G801" s="0" t="inlineStr">
        <is>
          <t xml:space="preserve">F001-2025111</t>
        </is>
      </c>
      <c r="H801" s="0" t="inlineStr">
        <is>
          <t xml:space="preserve">Facture Scierie du Nord F001-2025111</t>
        </is>
      </c>
      <c r="I801" s="8">
        <v>5081.08</v>
      </c>
      <c r="J801" s="8">
        <v>0</v>
      </c>
      <c r="K801" s="0"/>
      <c r="L801" s="0"/>
      <c r="M801" s="8">
        <f>I801-J801</f>
      </c>
      <c r="N801" s="0" t="inlineStr">
        <is>
          <t xml:space="preserve">2025-11</t>
        </is>
      </c>
      <c r="O801" s="0">
        <f>INDEX(Journaux!$E$5:$E$18,MATCH("2025|"&amp;A801,Journaux!$A$5:$A$18,0))</f>
      </c>
      <c r="P801" s="0">
        <f>INDEX(Comptes!$K$5:$K$42,MATCH(E801,Comptes!$A$5:$A$42,0))</f>
      </c>
      <c r="Q801" s="0" t="inlineStr">
        <is>
          <t xml:space="preserve">4</t>
        </is>
      </c>
    </row>
    <row r="802">
      <c r="A802" s="4" t="inlineStr">
        <is>
          <t xml:space="preserve">AC</t>
        </is>
      </c>
      <c r="B802" s="0" t="inlineStr">
        <is>
          <t xml:space="preserve">Journal des achats</t>
        </is>
      </c>
      <c r="C802" s="0" t="inlineStr">
        <is>
          <t xml:space="preserve">AC00065</t>
        </is>
      </c>
      <c r="D802" s="10">
        <v>45971</v>
      </c>
      <c r="E802" s="4" t="inlineStr">
        <is>
          <t xml:space="preserve">401000</t>
        </is>
      </c>
      <c r="F802" s="0" t="inlineStr">
        <is>
          <t xml:space="preserve">Fournisseurs</t>
        </is>
      </c>
      <c r="G802" s="0" t="inlineStr">
        <is>
          <t xml:space="preserve">F001-2025111</t>
        </is>
      </c>
      <c r="H802" s="0" t="inlineStr">
        <is>
          <t xml:space="preserve">Facture Scierie du Nord F001-2025111</t>
        </is>
      </c>
      <c r="I802" s="8">
        <v>0</v>
      </c>
      <c r="J802" s="8">
        <v>30486.49</v>
      </c>
      <c r="K802" s="0"/>
      <c r="L802" s="0" t="inlineStr">
        <is>
          <t xml:space="preserve">Scierie du Nord</t>
        </is>
      </c>
      <c r="M802" s="8">
        <f>I802-J802</f>
      </c>
      <c r="N802" s="0" t="inlineStr">
        <is>
          <t xml:space="preserve">2025-11</t>
        </is>
      </c>
      <c r="O802" s="0">
        <f>INDEX(Journaux!$E$5:$E$18,MATCH("2025|"&amp;A802,Journaux!$A$5:$A$18,0))</f>
      </c>
      <c r="P802" s="0">
        <f>INDEX(Comptes!$K$5:$K$42,MATCH(E802,Comptes!$A$5:$A$42,0))</f>
      </c>
      <c r="Q802" s="0" t="inlineStr">
        <is>
          <t xml:space="preserve">4</t>
        </is>
      </c>
      <c r="R802" s="7" t="inlineStr">
        <is>
          <t xml:space="preserve">401000|F001</t>
        </is>
      </c>
    </row>
    <row r="803">
      <c r="A803" s="4" t="inlineStr">
        <is>
          <t xml:space="preserve">BQ</t>
        </is>
      </c>
      <c r="B803" s="0" t="inlineStr">
        <is>
          <t xml:space="preserve">Banque Fictive</t>
        </is>
      </c>
      <c r="C803" s="0" t="inlineStr">
        <is>
          <t xml:space="preserve">BQ00032</t>
        </is>
      </c>
      <c r="D803" s="10">
        <v>45971</v>
      </c>
      <c r="E803" s="4" t="inlineStr">
        <is>
          <t xml:space="preserve">164000</t>
        </is>
      </c>
      <c r="F803" s="0" t="inlineStr">
        <is>
          <t xml:space="preserve">Emprunts aupres des etablissements de credit</t>
        </is>
      </c>
      <c r="G803" s="0" t="inlineStr">
        <is>
          <t xml:space="preserve">ECH202511</t>
        </is>
      </c>
      <c r="H803" s="0" t="inlineStr">
        <is>
          <t xml:space="preserve">Echeance emprunt 11/2025</t>
        </is>
      </c>
      <c r="I803" s="8">
        <v>2000</v>
      </c>
      <c r="J803" s="8">
        <v>0</v>
      </c>
      <c r="K803" s="0"/>
      <c r="L803" s="0"/>
      <c r="M803" s="8">
        <f>I803-J803</f>
      </c>
      <c r="N803" s="0" t="inlineStr">
        <is>
          <t xml:space="preserve">2025-11</t>
        </is>
      </c>
      <c r="O803" s="0">
        <f>INDEX(Journaux!$E$5:$E$18,MATCH("2025|"&amp;A803,Journaux!$A$5:$A$18,0))</f>
      </c>
      <c r="P803" s="0">
        <f>INDEX(Comptes!$K$5:$K$42,MATCH(E803,Comptes!$A$5:$A$42,0))</f>
      </c>
      <c r="Q803" s="0" t="inlineStr">
        <is>
          <t xml:space="preserve">1</t>
        </is>
      </c>
    </row>
    <row r="804">
      <c r="A804" s="4" t="inlineStr">
        <is>
          <t xml:space="preserve">BQ</t>
        </is>
      </c>
      <c r="B804" s="0" t="inlineStr">
        <is>
          <t xml:space="preserve">Banque Fictive</t>
        </is>
      </c>
      <c r="C804" s="0" t="inlineStr">
        <is>
          <t xml:space="preserve">BQ00032</t>
        </is>
      </c>
      <c r="D804" s="10">
        <v>45971</v>
      </c>
      <c r="E804" s="4" t="inlineStr">
        <is>
          <t xml:space="preserve">661100</t>
        </is>
      </c>
      <c r="F804" s="0" t="inlineStr">
        <is>
          <t xml:space="preserve">Interets des emprunts</t>
        </is>
      </c>
      <c r="G804" s="0" t="inlineStr">
        <is>
          <t xml:space="preserve">ECH202511</t>
        </is>
      </c>
      <c r="H804" s="0" t="inlineStr">
        <is>
          <t xml:space="preserve">Echeance emprunt 11/2025</t>
        </is>
      </c>
      <c r="I804" s="8">
        <v>153.33</v>
      </c>
      <c r="J804" s="8">
        <v>0</v>
      </c>
      <c r="K804" s="0"/>
      <c r="L804" s="0"/>
      <c r="M804" s="8">
        <f>I804-J804</f>
      </c>
      <c r="N804" s="0" t="inlineStr">
        <is>
          <t xml:space="preserve">2025-11</t>
        </is>
      </c>
      <c r="O804" s="0">
        <f>INDEX(Journaux!$E$5:$E$18,MATCH("2025|"&amp;A804,Journaux!$A$5:$A$18,0))</f>
      </c>
      <c r="P804" s="0">
        <f>INDEX(Comptes!$K$5:$K$42,MATCH(E804,Comptes!$A$5:$A$42,0))</f>
      </c>
      <c r="Q804" s="0" t="inlineStr">
        <is>
          <t xml:space="preserve">6</t>
        </is>
      </c>
    </row>
    <row r="805">
      <c r="A805" s="4" t="inlineStr">
        <is>
          <t xml:space="preserve">BQ</t>
        </is>
      </c>
      <c r="B805" s="0" t="inlineStr">
        <is>
          <t xml:space="preserve">Banque Fictive</t>
        </is>
      </c>
      <c r="C805" s="0" t="inlineStr">
        <is>
          <t xml:space="preserve">BQ00032</t>
        </is>
      </c>
      <c r="D805" s="10">
        <v>45971</v>
      </c>
      <c r="E805" s="4" t="inlineStr">
        <is>
          <t xml:space="preserve">512000</t>
        </is>
      </c>
      <c r="F805" s="0" t="inlineStr">
        <is>
          <t xml:space="preserve">Banque Fictive</t>
        </is>
      </c>
      <c r="G805" s="0" t="inlineStr">
        <is>
          <t xml:space="preserve">ECH202511</t>
        </is>
      </c>
      <c r="H805" s="0" t="inlineStr">
        <is>
          <t xml:space="preserve">Echeance emprunt 11/2025</t>
        </is>
      </c>
      <c r="I805" s="8">
        <v>0</v>
      </c>
      <c r="J805" s="8">
        <v>2153.33</v>
      </c>
      <c r="K805" s="0"/>
      <c r="L805" s="0"/>
      <c r="M805" s="8">
        <f>I805-J805</f>
      </c>
      <c r="N805" s="0" t="inlineStr">
        <is>
          <t xml:space="preserve">2025-11</t>
        </is>
      </c>
      <c r="O805" s="0">
        <f>INDEX(Journaux!$E$5:$E$18,MATCH("2025|"&amp;A805,Journaux!$A$5:$A$18,0))</f>
      </c>
      <c r="P805" s="0">
        <f>INDEX(Comptes!$K$5:$K$42,MATCH(E805,Comptes!$A$5:$A$42,0))</f>
      </c>
      <c r="Q805" s="0" t="inlineStr">
        <is>
          <t xml:space="preserve">5</t>
        </is>
      </c>
    </row>
    <row r="806">
      <c r="A806" s="4" t="inlineStr">
        <is>
          <t xml:space="preserve">VT</t>
        </is>
      </c>
      <c r="B806" s="0" t="inlineStr">
        <is>
          <t xml:space="preserve">Journal des ventes</t>
        </is>
      </c>
      <c r="C806" s="0" t="inlineStr">
        <is>
          <t xml:space="preserve">VT00049</t>
        </is>
      </c>
      <c r="D806" s="10">
        <v>45973</v>
      </c>
      <c r="E806" s="4" t="inlineStr">
        <is>
          <t xml:space="preserve">411000</t>
        </is>
      </c>
      <c r="F806" s="0" t="inlineStr">
        <is>
          <t xml:space="preserve">Clients</t>
        </is>
      </c>
      <c r="G806" s="0" t="inlineStr">
        <is>
          <t xml:space="preserve">FA2025-0049</t>
        </is>
      </c>
      <c r="H806" s="0" t="inlineStr">
        <is>
          <t xml:space="preserve">Facture FA2025-0049 Coworking Atelier 9</t>
        </is>
      </c>
      <c r="I806" s="8">
        <v>29171.84</v>
      </c>
      <c r="J806" s="8">
        <v>0</v>
      </c>
      <c r="K806" s="0"/>
      <c r="L806" s="0" t="inlineStr">
        <is>
          <t xml:space="preserve">Coworking Atelier 9</t>
        </is>
      </c>
      <c r="M806" s="8">
        <f>I806-J806</f>
      </c>
      <c r="N806" s="0" t="inlineStr">
        <is>
          <t xml:space="preserve">2025-11</t>
        </is>
      </c>
      <c r="O806" s="0">
        <f>INDEX(Journaux!$E$5:$E$18,MATCH("2025|"&amp;A806,Journaux!$A$5:$A$18,0))</f>
      </c>
      <c r="P806" s="0">
        <f>INDEX(Comptes!$K$5:$K$42,MATCH(E806,Comptes!$A$5:$A$42,0))</f>
      </c>
      <c r="Q806" s="0" t="inlineStr">
        <is>
          <t xml:space="preserve">4</t>
        </is>
      </c>
      <c r="R806" s="7" t="inlineStr">
        <is>
          <t xml:space="preserve">411000|C008</t>
        </is>
      </c>
    </row>
    <row r="807">
      <c r="A807" s="4" t="inlineStr">
        <is>
          <t xml:space="preserve">VT</t>
        </is>
      </c>
      <c r="B807" s="0" t="inlineStr">
        <is>
          <t xml:space="preserve">Journal des ventes</t>
        </is>
      </c>
      <c r="C807" s="0" t="inlineStr">
        <is>
          <t xml:space="preserve">VT00049</t>
        </is>
      </c>
      <c r="D807" s="10">
        <v>45973</v>
      </c>
      <c r="E807" s="4" t="inlineStr">
        <is>
          <t xml:space="preserve">701000</t>
        </is>
      </c>
      <c r="F807" s="0" t="inlineStr">
        <is>
          <t xml:space="preserve">Ventes de produits finis</t>
        </is>
      </c>
      <c r="G807" s="0" t="inlineStr">
        <is>
          <t xml:space="preserve">FA2025-0049</t>
        </is>
      </c>
      <c r="H807" s="0" t="inlineStr">
        <is>
          <t xml:space="preserve">Facture FA2025-0049 Coworking Atelier 9</t>
        </is>
      </c>
      <c r="I807" s="8">
        <v>0</v>
      </c>
      <c r="J807" s="8">
        <v>24309.87</v>
      </c>
      <c r="K807" s="0"/>
      <c r="L807" s="0"/>
      <c r="M807" s="8">
        <f>I807-J807</f>
      </c>
      <c r="N807" s="0" t="inlineStr">
        <is>
          <t xml:space="preserve">2025-11</t>
        </is>
      </c>
      <c r="O807" s="0">
        <f>INDEX(Journaux!$E$5:$E$18,MATCH("2025|"&amp;A807,Journaux!$A$5:$A$18,0))</f>
      </c>
      <c r="P807" s="0">
        <f>INDEX(Comptes!$K$5:$K$42,MATCH(E807,Comptes!$A$5:$A$42,0))</f>
      </c>
      <c r="Q807" s="0" t="inlineStr">
        <is>
          <t xml:space="preserve">7</t>
        </is>
      </c>
    </row>
    <row r="808">
      <c r="A808" s="4" t="inlineStr">
        <is>
          <t xml:space="preserve">VT</t>
        </is>
      </c>
      <c r="B808" s="0" t="inlineStr">
        <is>
          <t xml:space="preserve">Journal des ventes</t>
        </is>
      </c>
      <c r="C808" s="0" t="inlineStr">
        <is>
          <t xml:space="preserve">VT00049</t>
        </is>
      </c>
      <c r="D808" s="10">
        <v>45973</v>
      </c>
      <c r="E808" s="4" t="inlineStr">
        <is>
          <t xml:space="preserve">445710</t>
        </is>
      </c>
      <c r="F808" s="0" t="inlineStr">
        <is>
          <t xml:space="preserve">TVA collectee</t>
        </is>
      </c>
      <c r="G808" s="0" t="inlineStr">
        <is>
          <t xml:space="preserve">FA2025-0049</t>
        </is>
      </c>
      <c r="H808" s="0" t="inlineStr">
        <is>
          <t xml:space="preserve">Facture FA2025-0049 Coworking Atelier 9</t>
        </is>
      </c>
      <c r="I808" s="8">
        <v>0</v>
      </c>
      <c r="J808" s="8">
        <v>4861.97</v>
      </c>
      <c r="K808" s="0"/>
      <c r="L808" s="0"/>
      <c r="M808" s="8">
        <f>I808-J808</f>
      </c>
      <c r="N808" s="0" t="inlineStr">
        <is>
          <t xml:space="preserve">2025-11</t>
        </is>
      </c>
      <c r="O808" s="0">
        <f>INDEX(Journaux!$E$5:$E$18,MATCH("2025|"&amp;A808,Journaux!$A$5:$A$18,0))</f>
      </c>
      <c r="P808" s="0">
        <f>INDEX(Comptes!$K$5:$K$42,MATCH(E808,Comptes!$A$5:$A$42,0))</f>
      </c>
      <c r="Q808" s="0" t="inlineStr">
        <is>
          <t xml:space="preserve">4</t>
        </is>
      </c>
    </row>
    <row r="809">
      <c r="A809" s="4" t="inlineStr">
        <is>
          <t xml:space="preserve">AC</t>
        </is>
      </c>
      <c r="B809" s="0" t="inlineStr">
        <is>
          <t xml:space="preserve">Journal des achats</t>
        </is>
      </c>
      <c r="C809" s="0" t="inlineStr">
        <is>
          <t xml:space="preserve">AC00067</t>
        </is>
      </c>
      <c r="D809" s="10">
        <v>45974</v>
      </c>
      <c r="E809" s="4" t="inlineStr">
        <is>
          <t xml:space="preserve">601000</t>
        </is>
      </c>
      <c r="F809" s="0" t="inlineStr">
        <is>
          <t xml:space="preserve">Achats de matieres premieres</t>
        </is>
      </c>
      <c r="G809" s="0" t="inlineStr">
        <is>
          <t xml:space="preserve">F001-2025113</t>
        </is>
      </c>
      <c r="H809" s="0" t="inlineStr">
        <is>
          <t xml:space="preserve">Facture Scierie du Nord F001-2025113</t>
        </is>
      </c>
      <c r="I809" s="8">
        <v>16956.66</v>
      </c>
      <c r="J809" s="8">
        <v>0</v>
      </c>
      <c r="K809" s="0"/>
      <c r="L809" s="0"/>
      <c r="M809" s="8">
        <f>I809-J809</f>
      </c>
      <c r="N809" s="0" t="inlineStr">
        <is>
          <t xml:space="preserve">2025-11</t>
        </is>
      </c>
      <c r="O809" s="0">
        <f>INDEX(Journaux!$E$5:$E$18,MATCH("2025|"&amp;A809,Journaux!$A$5:$A$18,0))</f>
      </c>
      <c r="P809" s="0">
        <f>INDEX(Comptes!$K$5:$K$42,MATCH(E809,Comptes!$A$5:$A$42,0))</f>
      </c>
      <c r="Q809" s="0" t="inlineStr">
        <is>
          <t xml:space="preserve">6</t>
        </is>
      </c>
    </row>
    <row r="810">
      <c r="A810" s="4" t="inlineStr">
        <is>
          <t xml:space="preserve">AC</t>
        </is>
      </c>
      <c r="B810" s="0" t="inlineStr">
        <is>
          <t xml:space="preserve">Journal des achats</t>
        </is>
      </c>
      <c r="C810" s="0" t="inlineStr">
        <is>
          <t xml:space="preserve">AC00067</t>
        </is>
      </c>
      <c r="D810" s="10">
        <v>45974</v>
      </c>
      <c r="E810" s="4" t="inlineStr">
        <is>
          <t xml:space="preserve">445660</t>
        </is>
      </c>
      <c r="F810" s="0" t="inlineStr">
        <is>
          <t xml:space="preserve">TVA deductible sur ABS</t>
        </is>
      </c>
      <c r="G810" s="0" t="inlineStr">
        <is>
          <t xml:space="preserve">F001-2025113</t>
        </is>
      </c>
      <c r="H810" s="0" t="inlineStr">
        <is>
          <t xml:space="preserve">Facture Scierie du Nord F001-2025113</t>
        </is>
      </c>
      <c r="I810" s="8">
        <v>3391.33</v>
      </c>
      <c r="J810" s="8">
        <v>0</v>
      </c>
      <c r="K810" s="0"/>
      <c r="L810" s="0"/>
      <c r="M810" s="8">
        <f>I810-J810</f>
      </c>
      <c r="N810" s="0" t="inlineStr">
        <is>
          <t xml:space="preserve">2025-11</t>
        </is>
      </c>
      <c r="O810" s="0">
        <f>INDEX(Journaux!$E$5:$E$18,MATCH("2025|"&amp;A810,Journaux!$A$5:$A$18,0))</f>
      </c>
      <c r="P810" s="0">
        <f>INDEX(Comptes!$K$5:$K$42,MATCH(E810,Comptes!$A$5:$A$42,0))</f>
      </c>
      <c r="Q810" s="0" t="inlineStr">
        <is>
          <t xml:space="preserve">4</t>
        </is>
      </c>
    </row>
    <row r="811">
      <c r="A811" s="4" t="inlineStr">
        <is>
          <t xml:space="preserve">AC</t>
        </is>
      </c>
      <c r="B811" s="0" t="inlineStr">
        <is>
          <t xml:space="preserve">Journal des achats</t>
        </is>
      </c>
      <c r="C811" s="0" t="inlineStr">
        <is>
          <t xml:space="preserve">AC00067</t>
        </is>
      </c>
      <c r="D811" s="10">
        <v>45974</v>
      </c>
      <c r="E811" s="4" t="inlineStr">
        <is>
          <t xml:space="preserve">401000</t>
        </is>
      </c>
      <c r="F811" s="0" t="inlineStr">
        <is>
          <t xml:space="preserve">Fournisseurs</t>
        </is>
      </c>
      <c r="G811" s="0" t="inlineStr">
        <is>
          <t xml:space="preserve">F001-2025113</t>
        </is>
      </c>
      <c r="H811" s="0" t="inlineStr">
        <is>
          <t xml:space="preserve">Facture Scierie du Nord F001-2025113</t>
        </is>
      </c>
      <c r="I811" s="8">
        <v>0</v>
      </c>
      <c r="J811" s="8">
        <v>20347.99</v>
      </c>
      <c r="K811" s="0"/>
      <c r="L811" s="0" t="inlineStr">
        <is>
          <t xml:space="preserve">Scierie du Nord</t>
        </is>
      </c>
      <c r="M811" s="8">
        <f>I811-J811</f>
      </c>
      <c r="N811" s="0" t="inlineStr">
        <is>
          <t xml:space="preserve">2025-11</t>
        </is>
      </c>
      <c r="O811" s="0">
        <f>INDEX(Journaux!$E$5:$E$18,MATCH("2025|"&amp;A811,Journaux!$A$5:$A$18,0))</f>
      </c>
      <c r="P811" s="0">
        <f>INDEX(Comptes!$K$5:$K$42,MATCH(E811,Comptes!$A$5:$A$42,0))</f>
      </c>
      <c r="Q811" s="0" t="inlineStr">
        <is>
          <t xml:space="preserve">4</t>
        </is>
      </c>
      <c r="R811" s="7" t="inlineStr">
        <is>
          <t xml:space="preserve">401000|F001</t>
        </is>
      </c>
    </row>
    <row r="812">
      <c r="A812" s="4" t="inlineStr">
        <is>
          <t xml:space="preserve">VT</t>
        </is>
      </c>
      <c r="B812" s="0" t="inlineStr">
        <is>
          <t xml:space="preserve">Journal des ventes</t>
        </is>
      </c>
      <c r="C812" s="0" t="inlineStr">
        <is>
          <t xml:space="preserve">VT00048</t>
        </is>
      </c>
      <c r="D812" s="10">
        <v>45979</v>
      </c>
      <c r="E812" s="4" t="inlineStr">
        <is>
          <t xml:space="preserve">411000</t>
        </is>
      </c>
      <c r="F812" s="0" t="inlineStr">
        <is>
          <t xml:space="preserve">Clients</t>
        </is>
      </c>
      <c r="G812" s="0" t="inlineStr">
        <is>
          <t xml:space="preserve">FA2025-0048</t>
        </is>
      </c>
      <c r="H812" s="0" t="inlineStr">
        <is>
          <t xml:space="preserve">Facture FA2025-0048 Hotel Les Tilleuls</t>
        </is>
      </c>
      <c r="I812" s="8">
        <v>24859.57</v>
      </c>
      <c r="J812" s="8">
        <v>0</v>
      </c>
      <c r="K812" s="0"/>
      <c r="L812" s="0" t="inlineStr">
        <is>
          <t xml:space="preserve">Hotel Les Tilleuls</t>
        </is>
      </c>
      <c r="M812" s="8">
        <f>I812-J812</f>
      </c>
      <c r="N812" s="0" t="inlineStr">
        <is>
          <t xml:space="preserve">2025-11</t>
        </is>
      </c>
      <c r="O812" s="0">
        <f>INDEX(Journaux!$E$5:$E$18,MATCH("2025|"&amp;A812,Journaux!$A$5:$A$18,0))</f>
      </c>
      <c r="P812" s="0">
        <f>INDEX(Comptes!$K$5:$K$42,MATCH(E812,Comptes!$A$5:$A$42,0))</f>
      </c>
      <c r="Q812" s="0" t="inlineStr">
        <is>
          <t xml:space="preserve">4</t>
        </is>
      </c>
      <c r="R812" s="7" t="inlineStr">
        <is>
          <t xml:space="preserve">411000|C001</t>
        </is>
      </c>
    </row>
    <row r="813">
      <c r="A813" s="4" t="inlineStr">
        <is>
          <t xml:space="preserve">VT</t>
        </is>
      </c>
      <c r="B813" s="0" t="inlineStr">
        <is>
          <t xml:space="preserve">Journal des ventes</t>
        </is>
      </c>
      <c r="C813" s="0" t="inlineStr">
        <is>
          <t xml:space="preserve">VT00048</t>
        </is>
      </c>
      <c r="D813" s="10">
        <v>45979</v>
      </c>
      <c r="E813" s="4" t="inlineStr">
        <is>
          <t xml:space="preserve">701000</t>
        </is>
      </c>
      <c r="F813" s="0" t="inlineStr">
        <is>
          <t xml:space="preserve">Ventes de produits finis</t>
        </is>
      </c>
      <c r="G813" s="0" t="inlineStr">
        <is>
          <t xml:space="preserve">FA2025-0048</t>
        </is>
      </c>
      <c r="H813" s="0" t="inlineStr">
        <is>
          <t xml:space="preserve">Facture FA2025-0048 Hotel Les Tilleuls</t>
        </is>
      </c>
      <c r="I813" s="8">
        <v>0</v>
      </c>
      <c r="J813" s="8">
        <v>20716.31</v>
      </c>
      <c r="K813" s="0"/>
      <c r="L813" s="0"/>
      <c r="M813" s="8">
        <f>I813-J813</f>
      </c>
      <c r="N813" s="0" t="inlineStr">
        <is>
          <t xml:space="preserve">2025-11</t>
        </is>
      </c>
      <c r="O813" s="0">
        <f>INDEX(Journaux!$E$5:$E$18,MATCH("2025|"&amp;A813,Journaux!$A$5:$A$18,0))</f>
      </c>
      <c r="P813" s="0">
        <f>INDEX(Comptes!$K$5:$K$42,MATCH(E813,Comptes!$A$5:$A$42,0))</f>
      </c>
      <c r="Q813" s="0" t="inlineStr">
        <is>
          <t xml:space="preserve">7</t>
        </is>
      </c>
    </row>
    <row r="814">
      <c r="A814" s="4" t="inlineStr">
        <is>
          <t xml:space="preserve">VT</t>
        </is>
      </c>
      <c r="B814" s="0" t="inlineStr">
        <is>
          <t xml:space="preserve">Journal des ventes</t>
        </is>
      </c>
      <c r="C814" s="0" t="inlineStr">
        <is>
          <t xml:space="preserve">VT00048</t>
        </is>
      </c>
      <c r="D814" s="10">
        <v>45979</v>
      </c>
      <c r="E814" s="4" t="inlineStr">
        <is>
          <t xml:space="preserve">445710</t>
        </is>
      </c>
      <c r="F814" s="0" t="inlineStr">
        <is>
          <t xml:space="preserve">TVA collectee</t>
        </is>
      </c>
      <c r="G814" s="0" t="inlineStr">
        <is>
          <t xml:space="preserve">FA2025-0048</t>
        </is>
      </c>
      <c r="H814" s="0" t="inlineStr">
        <is>
          <t xml:space="preserve">Facture FA2025-0048 Hotel Les Tilleuls</t>
        </is>
      </c>
      <c r="I814" s="8">
        <v>0</v>
      </c>
      <c r="J814" s="8">
        <v>4143.26</v>
      </c>
      <c r="K814" s="0"/>
      <c r="L814" s="0"/>
      <c r="M814" s="8">
        <f>I814-J814</f>
      </c>
      <c r="N814" s="0" t="inlineStr">
        <is>
          <t xml:space="preserve">2025-11</t>
        </is>
      </c>
      <c r="O814" s="0">
        <f>INDEX(Journaux!$E$5:$E$18,MATCH("2025|"&amp;A814,Journaux!$A$5:$A$18,0))</f>
      </c>
      <c r="P814" s="0">
        <f>INDEX(Comptes!$K$5:$K$42,MATCH(E814,Comptes!$A$5:$A$42,0))</f>
      </c>
      <c r="Q814" s="0" t="inlineStr">
        <is>
          <t xml:space="preserve">4</t>
        </is>
      </c>
    </row>
    <row r="815">
      <c r="A815" s="4" t="inlineStr">
        <is>
          <t xml:space="preserve">BQ</t>
        </is>
      </c>
      <c r="B815" s="0" t="inlineStr">
        <is>
          <t xml:space="preserve">Banque Fictive</t>
        </is>
      </c>
      <c r="C815" s="0" t="inlineStr">
        <is>
          <t xml:space="preserve">BQ00057</t>
        </is>
      </c>
      <c r="D815" s="10">
        <v>45981</v>
      </c>
      <c r="E815" s="4" t="inlineStr">
        <is>
          <t xml:space="preserve">445510</t>
        </is>
      </c>
      <c r="F815" s="0" t="inlineStr">
        <is>
          <t xml:space="preserve">TVA a decaisser</t>
        </is>
      </c>
      <c r="G815" s="0" t="inlineStr">
        <is>
          <t xml:space="preserve">TVA202510</t>
        </is>
      </c>
      <c r="H815" s="0" t="inlineStr">
        <is>
          <t xml:space="preserve">Reglement TVA 10/2025</t>
        </is>
      </c>
      <c r="I815" s="8">
        <v>11289.34</v>
      </c>
      <c r="J815" s="8">
        <v>0</v>
      </c>
      <c r="K815" s="0"/>
      <c r="L815" s="0"/>
      <c r="M815" s="8">
        <f>I815-J815</f>
      </c>
      <c r="N815" s="0" t="inlineStr">
        <is>
          <t xml:space="preserve">2025-11</t>
        </is>
      </c>
      <c r="O815" s="0">
        <f>INDEX(Journaux!$E$5:$E$18,MATCH("2025|"&amp;A815,Journaux!$A$5:$A$18,0))</f>
      </c>
      <c r="P815" s="0">
        <f>INDEX(Comptes!$K$5:$K$42,MATCH(E815,Comptes!$A$5:$A$42,0))</f>
      </c>
      <c r="Q815" s="0" t="inlineStr">
        <is>
          <t xml:space="preserve">4</t>
        </is>
      </c>
    </row>
    <row r="816">
      <c r="A816" s="4" t="inlineStr">
        <is>
          <t xml:space="preserve">BQ</t>
        </is>
      </c>
      <c r="B816" s="0" t="inlineStr">
        <is>
          <t xml:space="preserve">Banque Fictive</t>
        </is>
      </c>
      <c r="C816" s="0" t="inlineStr">
        <is>
          <t xml:space="preserve">BQ00057</t>
        </is>
      </c>
      <c r="D816" s="10">
        <v>45981</v>
      </c>
      <c r="E816" s="4" t="inlineStr">
        <is>
          <t xml:space="preserve">512000</t>
        </is>
      </c>
      <c r="F816" s="0" t="inlineStr">
        <is>
          <t xml:space="preserve">Banque Fictive</t>
        </is>
      </c>
      <c r="G816" s="0" t="inlineStr">
        <is>
          <t xml:space="preserve">TVA202510</t>
        </is>
      </c>
      <c r="H816" s="0" t="inlineStr">
        <is>
          <t xml:space="preserve">Reglement TVA 10/2025</t>
        </is>
      </c>
      <c r="I816" s="8">
        <v>0</v>
      </c>
      <c r="J816" s="8">
        <v>11289.34</v>
      </c>
      <c r="K816" s="0"/>
      <c r="L816" s="0"/>
      <c r="M816" s="8">
        <f>I816-J816</f>
      </c>
      <c r="N816" s="0" t="inlineStr">
        <is>
          <t xml:space="preserve">2025-11</t>
        </is>
      </c>
      <c r="O816" s="0">
        <f>INDEX(Journaux!$E$5:$E$18,MATCH("2025|"&amp;A816,Journaux!$A$5:$A$18,0))</f>
      </c>
      <c r="P816" s="0">
        <f>INDEX(Comptes!$K$5:$K$42,MATCH(E816,Comptes!$A$5:$A$42,0))</f>
      </c>
      <c r="Q816" s="0" t="inlineStr">
        <is>
          <t xml:space="preserve">5</t>
        </is>
      </c>
    </row>
    <row r="817">
      <c r="A817" s="4" t="inlineStr">
        <is>
          <t xml:space="preserve">VT</t>
        </is>
      </c>
      <c r="B817" s="0" t="inlineStr">
        <is>
          <t xml:space="preserve">Journal des ventes</t>
        </is>
      </c>
      <c r="C817" s="0" t="inlineStr">
        <is>
          <t xml:space="preserve">VT00051</t>
        </is>
      </c>
      <c r="D817" s="10">
        <v>45981</v>
      </c>
      <c r="E817" s="4" t="inlineStr">
        <is>
          <t xml:space="preserve">411000</t>
        </is>
      </c>
      <c r="F817" s="0" t="inlineStr">
        <is>
          <t xml:space="preserve">Clients</t>
        </is>
      </c>
      <c r="G817" s="0" t="inlineStr">
        <is>
          <t xml:space="preserve">FA2025-0051</t>
        </is>
      </c>
      <c r="H817" s="0" t="inlineStr">
        <is>
          <t xml:space="preserve">Facture FA2025-0051 Agence Mobilis</t>
        </is>
      </c>
      <c r="I817" s="8">
        <v>26214.85</v>
      </c>
      <c r="J817" s="8">
        <v>0</v>
      </c>
      <c r="K817" s="0"/>
      <c r="L817" s="0" t="inlineStr">
        <is>
          <t xml:space="preserve">Agence Mobilis</t>
        </is>
      </c>
      <c r="M817" s="8">
        <f>I817-J817</f>
      </c>
      <c r="N817" s="0" t="inlineStr">
        <is>
          <t xml:space="preserve">2025-11</t>
        </is>
      </c>
      <c r="O817" s="0">
        <f>INDEX(Journaux!$E$5:$E$18,MATCH("2025|"&amp;A817,Journaux!$A$5:$A$18,0))</f>
      </c>
      <c r="P817" s="0">
        <f>INDEX(Comptes!$K$5:$K$42,MATCH(E817,Comptes!$A$5:$A$42,0))</f>
      </c>
      <c r="Q817" s="0" t="inlineStr">
        <is>
          <t xml:space="preserve">4</t>
        </is>
      </c>
      <c r="R817" s="7" t="inlineStr">
        <is>
          <t xml:space="preserve">411000|C002</t>
        </is>
      </c>
    </row>
    <row r="818">
      <c r="A818" s="4" t="inlineStr">
        <is>
          <t xml:space="preserve">VT</t>
        </is>
      </c>
      <c r="B818" s="0" t="inlineStr">
        <is>
          <t xml:space="preserve">Journal des ventes</t>
        </is>
      </c>
      <c r="C818" s="0" t="inlineStr">
        <is>
          <t xml:space="preserve">VT00051</t>
        </is>
      </c>
      <c r="D818" s="10">
        <v>45981</v>
      </c>
      <c r="E818" s="4" t="inlineStr">
        <is>
          <t xml:space="preserve">701000</t>
        </is>
      </c>
      <c r="F818" s="0" t="inlineStr">
        <is>
          <t xml:space="preserve">Ventes de produits finis</t>
        </is>
      </c>
      <c r="G818" s="0" t="inlineStr">
        <is>
          <t xml:space="preserve">FA2025-0051</t>
        </is>
      </c>
      <c r="H818" s="0" t="inlineStr">
        <is>
          <t xml:space="preserve">Facture FA2025-0051 Agence Mobilis</t>
        </is>
      </c>
      <c r="I818" s="8">
        <v>0</v>
      </c>
      <c r="J818" s="8">
        <v>21845.71</v>
      </c>
      <c r="K818" s="0"/>
      <c r="L818" s="0"/>
      <c r="M818" s="8">
        <f>I818-J818</f>
      </c>
      <c r="N818" s="0" t="inlineStr">
        <is>
          <t xml:space="preserve">2025-11</t>
        </is>
      </c>
      <c r="O818" s="0">
        <f>INDEX(Journaux!$E$5:$E$18,MATCH("2025|"&amp;A818,Journaux!$A$5:$A$18,0))</f>
      </c>
      <c r="P818" s="0">
        <f>INDEX(Comptes!$K$5:$K$42,MATCH(E818,Comptes!$A$5:$A$42,0))</f>
      </c>
      <c r="Q818" s="0" t="inlineStr">
        <is>
          <t xml:space="preserve">7</t>
        </is>
      </c>
    </row>
    <row r="819">
      <c r="A819" s="4" t="inlineStr">
        <is>
          <t xml:space="preserve">VT</t>
        </is>
      </c>
      <c r="B819" s="0" t="inlineStr">
        <is>
          <t xml:space="preserve">Journal des ventes</t>
        </is>
      </c>
      <c r="C819" s="0" t="inlineStr">
        <is>
          <t xml:space="preserve">VT00051</t>
        </is>
      </c>
      <c r="D819" s="10">
        <v>45981</v>
      </c>
      <c r="E819" s="4" t="inlineStr">
        <is>
          <t xml:space="preserve">445710</t>
        </is>
      </c>
      <c r="F819" s="0" t="inlineStr">
        <is>
          <t xml:space="preserve">TVA collectee</t>
        </is>
      </c>
      <c r="G819" s="0" t="inlineStr">
        <is>
          <t xml:space="preserve">FA2025-0051</t>
        </is>
      </c>
      <c r="H819" s="0" t="inlineStr">
        <is>
          <t xml:space="preserve">Facture FA2025-0051 Agence Mobilis</t>
        </is>
      </c>
      <c r="I819" s="8">
        <v>0</v>
      </c>
      <c r="J819" s="8">
        <v>4369.14</v>
      </c>
      <c r="K819" s="0"/>
      <c r="L819" s="0"/>
      <c r="M819" s="8">
        <f>I819-J819</f>
      </c>
      <c r="N819" s="0" t="inlineStr">
        <is>
          <t xml:space="preserve">2025-11</t>
        </is>
      </c>
      <c r="O819" s="0">
        <f>INDEX(Journaux!$E$5:$E$18,MATCH("2025|"&amp;A819,Journaux!$A$5:$A$18,0))</f>
      </c>
      <c r="P819" s="0">
        <f>INDEX(Comptes!$K$5:$K$42,MATCH(E819,Comptes!$A$5:$A$42,0))</f>
      </c>
      <c r="Q819" s="0" t="inlineStr">
        <is>
          <t xml:space="preserve">4</t>
        </is>
      </c>
    </row>
    <row r="820">
      <c r="A820" s="4" t="inlineStr">
        <is>
          <t xml:space="preserve">VT</t>
        </is>
      </c>
      <c r="B820" s="0" t="inlineStr">
        <is>
          <t xml:space="preserve">Journal des ventes</t>
        </is>
      </c>
      <c r="C820" s="0" t="inlineStr">
        <is>
          <t xml:space="preserve">VT00052</t>
        </is>
      </c>
      <c r="D820" s="10">
        <v>45981</v>
      </c>
      <c r="E820" s="4" t="inlineStr">
        <is>
          <t xml:space="preserve">411000</t>
        </is>
      </c>
      <c r="F820" s="0" t="inlineStr">
        <is>
          <t xml:space="preserve">Clients</t>
        </is>
      </c>
      <c r="G820" s="0" t="inlineStr">
        <is>
          <t xml:space="preserve">FA2025-0052</t>
        </is>
      </c>
      <c r="H820" s="0" t="inlineStr">
        <is>
          <t xml:space="preserve">Facture FA2025-0052 Clinique du Parc</t>
        </is>
      </c>
      <c r="I820" s="8">
        <v>18815.21</v>
      </c>
      <c r="J820" s="8">
        <v>0</v>
      </c>
      <c r="K820" s="0"/>
      <c r="L820" s="0" t="inlineStr">
        <is>
          <t xml:space="preserve">Clinique du Parc</t>
        </is>
      </c>
      <c r="M820" s="8">
        <f>I820-J820</f>
      </c>
      <c r="N820" s="0" t="inlineStr">
        <is>
          <t xml:space="preserve">2025-11</t>
        </is>
      </c>
      <c r="O820" s="0">
        <f>INDEX(Journaux!$E$5:$E$18,MATCH("2025|"&amp;A820,Journaux!$A$5:$A$18,0))</f>
      </c>
      <c r="P820" s="0">
        <f>INDEX(Comptes!$K$5:$K$42,MATCH(E820,Comptes!$A$5:$A$42,0))</f>
      </c>
      <c r="Q820" s="0" t="inlineStr">
        <is>
          <t xml:space="preserve">4</t>
        </is>
      </c>
      <c r="R820" s="7" t="inlineStr">
        <is>
          <t xml:space="preserve">411000|C006</t>
        </is>
      </c>
    </row>
    <row r="821">
      <c r="A821" s="4" t="inlineStr">
        <is>
          <t xml:space="preserve">VT</t>
        </is>
      </c>
      <c r="B821" s="0" t="inlineStr">
        <is>
          <t xml:space="preserve">Journal des ventes</t>
        </is>
      </c>
      <c r="C821" s="0" t="inlineStr">
        <is>
          <t xml:space="preserve">VT00052</t>
        </is>
      </c>
      <c r="D821" s="10">
        <v>45981</v>
      </c>
      <c r="E821" s="4" t="inlineStr">
        <is>
          <t xml:space="preserve">701000</t>
        </is>
      </c>
      <c r="F821" s="0" t="inlineStr">
        <is>
          <t xml:space="preserve">Ventes de produits finis</t>
        </is>
      </c>
      <c r="G821" s="0" t="inlineStr">
        <is>
          <t xml:space="preserve">FA2025-0052</t>
        </is>
      </c>
      <c r="H821" s="0" t="inlineStr">
        <is>
          <t xml:space="preserve">Facture FA2025-0052 Clinique du Parc</t>
        </is>
      </c>
      <c r="I821" s="8">
        <v>0</v>
      </c>
      <c r="J821" s="8">
        <v>15679.34</v>
      </c>
      <c r="K821" s="0"/>
      <c r="L821" s="0"/>
      <c r="M821" s="8">
        <f>I821-J821</f>
      </c>
      <c r="N821" s="0" t="inlineStr">
        <is>
          <t xml:space="preserve">2025-11</t>
        </is>
      </c>
      <c r="O821" s="0">
        <f>INDEX(Journaux!$E$5:$E$18,MATCH("2025|"&amp;A821,Journaux!$A$5:$A$18,0))</f>
      </c>
      <c r="P821" s="0">
        <f>INDEX(Comptes!$K$5:$K$42,MATCH(E821,Comptes!$A$5:$A$42,0))</f>
      </c>
      <c r="Q821" s="0" t="inlineStr">
        <is>
          <t xml:space="preserve">7</t>
        </is>
      </c>
    </row>
    <row r="822">
      <c r="A822" s="4" t="inlineStr">
        <is>
          <t xml:space="preserve">VT</t>
        </is>
      </c>
      <c r="B822" s="0" t="inlineStr">
        <is>
          <t xml:space="preserve">Journal des ventes</t>
        </is>
      </c>
      <c r="C822" s="0" t="inlineStr">
        <is>
          <t xml:space="preserve">VT00052</t>
        </is>
      </c>
      <c r="D822" s="10">
        <v>45981</v>
      </c>
      <c r="E822" s="4" t="inlineStr">
        <is>
          <t xml:space="preserve">445710</t>
        </is>
      </c>
      <c r="F822" s="0" t="inlineStr">
        <is>
          <t xml:space="preserve">TVA collectee</t>
        </is>
      </c>
      <c r="G822" s="0" t="inlineStr">
        <is>
          <t xml:space="preserve">FA2025-0052</t>
        </is>
      </c>
      <c r="H822" s="0" t="inlineStr">
        <is>
          <t xml:space="preserve">Facture FA2025-0052 Clinique du Parc</t>
        </is>
      </c>
      <c r="I822" s="8">
        <v>0</v>
      </c>
      <c r="J822" s="8">
        <v>3135.87</v>
      </c>
      <c r="K822" s="0"/>
      <c r="L822" s="0"/>
      <c r="M822" s="8">
        <f>I822-J822</f>
      </c>
      <c r="N822" s="0" t="inlineStr">
        <is>
          <t xml:space="preserve">2025-11</t>
        </is>
      </c>
      <c r="O822" s="0">
        <f>INDEX(Journaux!$E$5:$E$18,MATCH("2025|"&amp;A822,Journaux!$A$5:$A$18,0))</f>
      </c>
      <c r="P822" s="0">
        <f>INDEX(Comptes!$K$5:$K$42,MATCH(E822,Comptes!$A$5:$A$42,0))</f>
      </c>
      <c r="Q822" s="0" t="inlineStr">
        <is>
          <t xml:space="preserve">4</t>
        </is>
      </c>
    </row>
    <row r="823">
      <c r="A823" s="4" t="inlineStr">
        <is>
          <t xml:space="preserve">VT</t>
        </is>
      </c>
      <c r="B823" s="0" t="inlineStr">
        <is>
          <t xml:space="preserve">Journal des ventes</t>
        </is>
      </c>
      <c r="C823" s="0" t="inlineStr">
        <is>
          <t xml:space="preserve">VT00053</t>
        </is>
      </c>
      <c r="D823" s="10">
        <v>45982</v>
      </c>
      <c r="E823" s="4" t="inlineStr">
        <is>
          <t xml:space="preserve">411000</t>
        </is>
      </c>
      <c r="F823" s="0" t="inlineStr">
        <is>
          <t xml:space="preserve">Clients</t>
        </is>
      </c>
      <c r="G823" s="0" t="inlineStr">
        <is>
          <t xml:space="preserve">FA2025-0053</t>
        </is>
      </c>
      <c r="H823" s="0" t="inlineStr">
        <is>
          <t xml:space="preserve">Facture FA2025-0053 Agence Mobilis</t>
        </is>
      </c>
      <c r="I823" s="8">
        <v>25980.37</v>
      </c>
      <c r="J823" s="8">
        <v>0</v>
      </c>
      <c r="K823" s="0"/>
      <c r="L823" s="0" t="inlineStr">
        <is>
          <t xml:space="preserve">Agence Mobilis</t>
        </is>
      </c>
      <c r="M823" s="8">
        <f>I823-J823</f>
      </c>
      <c r="N823" s="0" t="inlineStr">
        <is>
          <t xml:space="preserve">2025-11</t>
        </is>
      </c>
      <c r="O823" s="0">
        <f>INDEX(Journaux!$E$5:$E$18,MATCH("2025|"&amp;A823,Journaux!$A$5:$A$18,0))</f>
      </c>
      <c r="P823" s="0">
        <f>INDEX(Comptes!$K$5:$K$42,MATCH(E823,Comptes!$A$5:$A$42,0))</f>
      </c>
      <c r="Q823" s="0" t="inlineStr">
        <is>
          <t xml:space="preserve">4</t>
        </is>
      </c>
      <c r="R823" s="7" t="inlineStr">
        <is>
          <t xml:space="preserve">411000|C002</t>
        </is>
      </c>
    </row>
    <row r="824">
      <c r="A824" s="4" t="inlineStr">
        <is>
          <t xml:space="preserve">VT</t>
        </is>
      </c>
      <c r="B824" s="0" t="inlineStr">
        <is>
          <t xml:space="preserve">Journal des ventes</t>
        </is>
      </c>
      <c r="C824" s="0" t="inlineStr">
        <is>
          <t xml:space="preserve">VT00053</t>
        </is>
      </c>
      <c r="D824" s="10">
        <v>45982</v>
      </c>
      <c r="E824" s="4" t="inlineStr">
        <is>
          <t xml:space="preserve">701000</t>
        </is>
      </c>
      <c r="F824" s="0" t="inlineStr">
        <is>
          <t xml:space="preserve">Ventes de produits finis</t>
        </is>
      </c>
      <c r="G824" s="0" t="inlineStr">
        <is>
          <t xml:space="preserve">FA2025-0053</t>
        </is>
      </c>
      <c r="H824" s="0" t="inlineStr">
        <is>
          <t xml:space="preserve">Facture FA2025-0053 Agence Mobilis</t>
        </is>
      </c>
      <c r="I824" s="8">
        <v>0</v>
      </c>
      <c r="J824" s="8">
        <v>21650.31</v>
      </c>
      <c r="K824" s="0"/>
      <c r="L824" s="0"/>
      <c r="M824" s="8">
        <f>I824-J824</f>
      </c>
      <c r="N824" s="0" t="inlineStr">
        <is>
          <t xml:space="preserve">2025-11</t>
        </is>
      </c>
      <c r="O824" s="0">
        <f>INDEX(Journaux!$E$5:$E$18,MATCH("2025|"&amp;A824,Journaux!$A$5:$A$18,0))</f>
      </c>
      <c r="P824" s="0">
        <f>INDEX(Comptes!$K$5:$K$42,MATCH(E824,Comptes!$A$5:$A$42,0))</f>
      </c>
      <c r="Q824" s="0" t="inlineStr">
        <is>
          <t xml:space="preserve">7</t>
        </is>
      </c>
    </row>
    <row r="825">
      <c r="A825" s="4" t="inlineStr">
        <is>
          <t xml:space="preserve">VT</t>
        </is>
      </c>
      <c r="B825" s="0" t="inlineStr">
        <is>
          <t xml:space="preserve">Journal des ventes</t>
        </is>
      </c>
      <c r="C825" s="0" t="inlineStr">
        <is>
          <t xml:space="preserve">VT00053</t>
        </is>
      </c>
      <c r="D825" s="10">
        <v>45982</v>
      </c>
      <c r="E825" s="4" t="inlineStr">
        <is>
          <t xml:space="preserve">445710</t>
        </is>
      </c>
      <c r="F825" s="0" t="inlineStr">
        <is>
          <t xml:space="preserve">TVA collectee</t>
        </is>
      </c>
      <c r="G825" s="0" t="inlineStr">
        <is>
          <t xml:space="preserve">FA2025-0053</t>
        </is>
      </c>
      <c r="H825" s="0" t="inlineStr">
        <is>
          <t xml:space="preserve">Facture FA2025-0053 Agence Mobilis</t>
        </is>
      </c>
      <c r="I825" s="8">
        <v>0</v>
      </c>
      <c r="J825" s="8">
        <v>4330.06</v>
      </c>
      <c r="K825" s="0"/>
      <c r="L825" s="0"/>
      <c r="M825" s="8">
        <f>I825-J825</f>
      </c>
      <c r="N825" s="0" t="inlineStr">
        <is>
          <t xml:space="preserve">2025-11</t>
        </is>
      </c>
      <c r="O825" s="0">
        <f>INDEX(Journaux!$E$5:$E$18,MATCH("2025|"&amp;A825,Journaux!$A$5:$A$18,0))</f>
      </c>
      <c r="P825" s="0">
        <f>INDEX(Comptes!$K$5:$K$42,MATCH(E825,Comptes!$A$5:$A$42,0))</f>
      </c>
      <c r="Q825" s="0" t="inlineStr">
        <is>
          <t xml:space="preserve">4</t>
        </is>
      </c>
    </row>
    <row r="826">
      <c r="A826" s="4" t="inlineStr">
        <is>
          <t xml:space="preserve">BQ</t>
        </is>
      </c>
      <c r="B826" s="0" t="inlineStr">
        <is>
          <t xml:space="preserve">Banque Fictive</t>
        </is>
      </c>
      <c r="C826" s="0" t="inlineStr">
        <is>
          <t xml:space="preserve">BQ00107</t>
        </is>
      </c>
      <c r="D826" s="10">
        <v>45986</v>
      </c>
      <c r="E826" s="4" t="inlineStr">
        <is>
          <t xml:space="preserve">512000</t>
        </is>
      </c>
      <c r="F826" s="0" t="inlineStr">
        <is>
          <t xml:space="preserve">Banque Fictive</t>
        </is>
      </c>
      <c r="G826" s="0" t="inlineStr">
        <is>
          <t xml:space="preserve">ENC-FA2025-0040</t>
        </is>
      </c>
      <c r="H826" s="0" t="inlineStr">
        <is>
          <t xml:space="preserve">Reglement client Cabinet Varenne Associes FA2025-0040</t>
        </is>
      </c>
      <c r="I826" s="8">
        <v>19239.48</v>
      </c>
      <c r="J826" s="8">
        <v>0</v>
      </c>
      <c r="K826" s="0"/>
      <c r="L826" s="0"/>
      <c r="M826" s="8">
        <f>I826-J826</f>
      </c>
      <c r="N826" s="0" t="inlineStr">
        <is>
          <t xml:space="preserve">2025-11</t>
        </is>
      </c>
      <c r="O826" s="0">
        <f>INDEX(Journaux!$E$5:$E$18,MATCH("2025|"&amp;A826,Journaux!$A$5:$A$18,0))</f>
      </c>
      <c r="P826" s="0">
        <f>INDEX(Comptes!$K$5:$K$42,MATCH(E826,Comptes!$A$5:$A$42,0))</f>
      </c>
      <c r="Q826" s="0" t="inlineStr">
        <is>
          <t xml:space="preserve">5</t>
        </is>
      </c>
    </row>
    <row r="827">
      <c r="A827" s="4" t="inlineStr">
        <is>
          <t xml:space="preserve">BQ</t>
        </is>
      </c>
      <c r="B827" s="0" t="inlineStr">
        <is>
          <t xml:space="preserve">Banque Fictive</t>
        </is>
      </c>
      <c r="C827" s="0" t="inlineStr">
        <is>
          <t xml:space="preserve">BQ00107</t>
        </is>
      </c>
      <c r="D827" s="10">
        <v>45986</v>
      </c>
      <c r="E827" s="4" t="inlineStr">
        <is>
          <t xml:space="preserve">411000</t>
        </is>
      </c>
      <c r="F827" s="0" t="inlineStr">
        <is>
          <t xml:space="preserve">Clients</t>
        </is>
      </c>
      <c r="G827" s="0" t="inlineStr">
        <is>
          <t xml:space="preserve">ENC-FA2025-0040</t>
        </is>
      </c>
      <c r="H827" s="0" t="inlineStr">
        <is>
          <t xml:space="preserve">Reglement client Cabinet Varenne Associes FA2025-0040</t>
        </is>
      </c>
      <c r="I827" s="8">
        <v>0</v>
      </c>
      <c r="J827" s="8">
        <v>19239.48</v>
      </c>
      <c r="K827" s="0" t="inlineStr">
        <is>
          <t xml:space="preserve">AAV</t>
        </is>
      </c>
      <c r="L827" s="0" t="inlineStr">
        <is>
          <t xml:space="preserve">Cabinet Varenne Associes</t>
        </is>
      </c>
      <c r="M827" s="8">
        <f>I827-J827</f>
      </c>
      <c r="N827" s="0" t="inlineStr">
        <is>
          <t xml:space="preserve">2025-11</t>
        </is>
      </c>
      <c r="O827" s="0">
        <f>INDEX(Journaux!$E$5:$E$18,MATCH("2025|"&amp;A827,Journaux!$A$5:$A$18,0))</f>
      </c>
      <c r="P827" s="0">
        <f>INDEX(Comptes!$K$5:$K$42,MATCH(E827,Comptes!$A$5:$A$42,0))</f>
      </c>
      <c r="Q827" s="0" t="inlineStr">
        <is>
          <t xml:space="preserve">4</t>
        </is>
      </c>
      <c r="R827" s="7" t="inlineStr">
        <is>
          <t xml:space="preserve">411000|C004</t>
        </is>
      </c>
    </row>
    <row r="828">
      <c r="A828" s="4" t="inlineStr">
        <is>
          <t xml:space="preserve">BQ</t>
        </is>
      </c>
      <c r="B828" s="0" t="inlineStr">
        <is>
          <t xml:space="preserve">Banque Fictive</t>
        </is>
      </c>
      <c r="C828" s="0" t="inlineStr">
        <is>
          <t xml:space="preserve">BQ00108</t>
        </is>
      </c>
      <c r="D828" s="10">
        <v>45986</v>
      </c>
      <c r="E828" s="4" t="inlineStr">
        <is>
          <t xml:space="preserve">512000</t>
        </is>
      </c>
      <c r="F828" s="0" t="inlineStr">
        <is>
          <t xml:space="preserve">Banque Fictive</t>
        </is>
      </c>
      <c r="G828" s="0" t="inlineStr">
        <is>
          <t xml:space="preserve">ENC-FA2025-0041</t>
        </is>
      </c>
      <c r="H828" s="0" t="inlineStr">
        <is>
          <t xml:space="preserve">Reglement client Restaurant Le Comptoir FA2025-0041</t>
        </is>
      </c>
      <c r="I828" s="8">
        <v>31395.34</v>
      </c>
      <c r="J828" s="8">
        <v>0</v>
      </c>
      <c r="K828" s="0"/>
      <c r="L828" s="0"/>
      <c r="M828" s="8">
        <f>I828-J828</f>
      </c>
      <c r="N828" s="0" t="inlineStr">
        <is>
          <t xml:space="preserve">2025-11</t>
        </is>
      </c>
      <c r="O828" s="0">
        <f>INDEX(Journaux!$E$5:$E$18,MATCH("2025|"&amp;A828,Journaux!$A$5:$A$18,0))</f>
      </c>
      <c r="P828" s="0">
        <f>INDEX(Comptes!$K$5:$K$42,MATCH(E828,Comptes!$A$5:$A$42,0))</f>
      </c>
      <c r="Q828" s="0" t="inlineStr">
        <is>
          <t xml:space="preserve">5</t>
        </is>
      </c>
    </row>
    <row r="829">
      <c r="A829" s="4" t="inlineStr">
        <is>
          <t xml:space="preserve">BQ</t>
        </is>
      </c>
      <c r="B829" s="0" t="inlineStr">
        <is>
          <t xml:space="preserve">Banque Fictive</t>
        </is>
      </c>
      <c r="C829" s="0" t="inlineStr">
        <is>
          <t xml:space="preserve">BQ00108</t>
        </is>
      </c>
      <c r="D829" s="10">
        <v>45986</v>
      </c>
      <c r="E829" s="4" t="inlineStr">
        <is>
          <t xml:space="preserve">411000</t>
        </is>
      </c>
      <c r="F829" s="0" t="inlineStr">
        <is>
          <t xml:space="preserve">Clients</t>
        </is>
      </c>
      <c r="G829" s="0" t="inlineStr">
        <is>
          <t xml:space="preserve">ENC-FA2025-0041</t>
        </is>
      </c>
      <c r="H829" s="0" t="inlineStr">
        <is>
          <t xml:space="preserve">Reglement client Restaurant Le Comptoir FA2025-0041</t>
        </is>
      </c>
      <c r="I829" s="8">
        <v>0</v>
      </c>
      <c r="J829" s="8">
        <v>31395.34</v>
      </c>
      <c r="K829" s="0" t="inlineStr">
        <is>
          <t xml:space="preserve">AAW</t>
        </is>
      </c>
      <c r="L829" s="0" t="inlineStr">
        <is>
          <t xml:space="preserve">Restaurant Le Comptoir</t>
        </is>
      </c>
      <c r="M829" s="8">
        <f>I829-J829</f>
      </c>
      <c r="N829" s="0" t="inlineStr">
        <is>
          <t xml:space="preserve">2025-11</t>
        </is>
      </c>
      <c r="O829" s="0">
        <f>INDEX(Journaux!$E$5:$E$18,MATCH("2025|"&amp;A829,Journaux!$A$5:$A$18,0))</f>
      </c>
      <c r="P829" s="0">
        <f>INDEX(Comptes!$K$5:$K$42,MATCH(E829,Comptes!$A$5:$A$42,0))</f>
      </c>
      <c r="Q829" s="0" t="inlineStr">
        <is>
          <t xml:space="preserve">4</t>
        </is>
      </c>
      <c r="R829" s="7" t="inlineStr">
        <is>
          <t xml:space="preserve">411000|C005</t>
        </is>
      </c>
    </row>
    <row r="830">
      <c r="A830" s="4" t="inlineStr">
        <is>
          <t xml:space="preserve">VT</t>
        </is>
      </c>
      <c r="B830" s="0" t="inlineStr">
        <is>
          <t xml:space="preserve">Journal des ventes</t>
        </is>
      </c>
      <c r="C830" s="0" t="inlineStr">
        <is>
          <t xml:space="preserve">VT00050</t>
        </is>
      </c>
      <c r="D830" s="10">
        <v>45988</v>
      </c>
      <c r="E830" s="4" t="inlineStr">
        <is>
          <t xml:space="preserve">411000</t>
        </is>
      </c>
      <c r="F830" s="0" t="inlineStr">
        <is>
          <t xml:space="preserve">Clients</t>
        </is>
      </c>
      <c r="G830" s="0" t="inlineStr">
        <is>
          <t xml:space="preserve">FA2025-0050</t>
        </is>
      </c>
      <c r="H830" s="0" t="inlineStr">
        <is>
          <t xml:space="preserve">Facture FA2025-0050 Boutique Hetre et Chene</t>
        </is>
      </c>
      <c r="I830" s="8">
        <v>28958.15</v>
      </c>
      <c r="J830" s="8">
        <v>0</v>
      </c>
      <c r="K830" s="0"/>
      <c r="L830" s="0" t="inlineStr">
        <is>
          <t xml:space="preserve">Boutique Hetre et Chene</t>
        </is>
      </c>
      <c r="M830" s="8">
        <f>I830-J830</f>
      </c>
      <c r="N830" s="0" t="inlineStr">
        <is>
          <t xml:space="preserve">2025-11</t>
        </is>
      </c>
      <c r="O830" s="0">
        <f>INDEX(Journaux!$E$5:$E$18,MATCH("2025|"&amp;A830,Journaux!$A$5:$A$18,0))</f>
      </c>
      <c r="P830" s="0">
        <f>INDEX(Comptes!$K$5:$K$42,MATCH(E830,Comptes!$A$5:$A$42,0))</f>
      </c>
      <c r="Q830" s="0" t="inlineStr">
        <is>
          <t xml:space="preserve">4</t>
        </is>
      </c>
      <c r="R830" s="7" t="inlineStr">
        <is>
          <t xml:space="preserve">411000|C007</t>
        </is>
      </c>
    </row>
    <row r="831">
      <c r="A831" s="4" t="inlineStr">
        <is>
          <t xml:space="preserve">VT</t>
        </is>
      </c>
      <c r="B831" s="0" t="inlineStr">
        <is>
          <t xml:space="preserve">Journal des ventes</t>
        </is>
      </c>
      <c r="C831" s="0" t="inlineStr">
        <is>
          <t xml:space="preserve">VT00050</t>
        </is>
      </c>
      <c r="D831" s="10">
        <v>45988</v>
      </c>
      <c r="E831" s="4" t="inlineStr">
        <is>
          <t xml:space="preserve">701000</t>
        </is>
      </c>
      <c r="F831" s="0" t="inlineStr">
        <is>
          <t xml:space="preserve">Ventes de produits finis</t>
        </is>
      </c>
      <c r="G831" s="0" t="inlineStr">
        <is>
          <t xml:space="preserve">FA2025-0050</t>
        </is>
      </c>
      <c r="H831" s="0" t="inlineStr">
        <is>
          <t xml:space="preserve">Facture FA2025-0050 Boutique Hetre et Chene</t>
        </is>
      </c>
      <c r="I831" s="8">
        <v>0</v>
      </c>
      <c r="J831" s="8">
        <v>24131.79</v>
      </c>
      <c r="K831" s="0"/>
      <c r="L831" s="0"/>
      <c r="M831" s="8">
        <f>I831-J831</f>
      </c>
      <c r="N831" s="0" t="inlineStr">
        <is>
          <t xml:space="preserve">2025-11</t>
        </is>
      </c>
      <c r="O831" s="0">
        <f>INDEX(Journaux!$E$5:$E$18,MATCH("2025|"&amp;A831,Journaux!$A$5:$A$18,0))</f>
      </c>
      <c r="P831" s="0">
        <f>INDEX(Comptes!$K$5:$K$42,MATCH(E831,Comptes!$A$5:$A$42,0))</f>
      </c>
      <c r="Q831" s="0" t="inlineStr">
        <is>
          <t xml:space="preserve">7</t>
        </is>
      </c>
    </row>
    <row r="832">
      <c r="A832" s="4" t="inlineStr">
        <is>
          <t xml:space="preserve">VT</t>
        </is>
      </c>
      <c r="B832" s="0" t="inlineStr">
        <is>
          <t xml:space="preserve">Journal des ventes</t>
        </is>
      </c>
      <c r="C832" s="0" t="inlineStr">
        <is>
          <t xml:space="preserve">VT00050</t>
        </is>
      </c>
      <c r="D832" s="10">
        <v>45988</v>
      </c>
      <c r="E832" s="4" t="inlineStr">
        <is>
          <t xml:space="preserve">445710</t>
        </is>
      </c>
      <c r="F832" s="0" t="inlineStr">
        <is>
          <t xml:space="preserve">TVA collectee</t>
        </is>
      </c>
      <c r="G832" s="0" t="inlineStr">
        <is>
          <t xml:space="preserve">FA2025-0050</t>
        </is>
      </c>
      <c r="H832" s="0" t="inlineStr">
        <is>
          <t xml:space="preserve">Facture FA2025-0050 Boutique Hetre et Chene</t>
        </is>
      </c>
      <c r="I832" s="8">
        <v>0</v>
      </c>
      <c r="J832" s="8">
        <v>4826.36</v>
      </c>
      <c r="K832" s="0"/>
      <c r="L832" s="0"/>
      <c r="M832" s="8">
        <f>I832-J832</f>
      </c>
      <c r="N832" s="0" t="inlineStr">
        <is>
          <t xml:space="preserve">2025-11</t>
        </is>
      </c>
      <c r="O832" s="0">
        <f>INDEX(Journaux!$E$5:$E$18,MATCH("2025|"&amp;A832,Journaux!$A$5:$A$18,0))</f>
      </c>
      <c r="P832" s="0">
        <f>INDEX(Comptes!$K$5:$K$42,MATCH(E832,Comptes!$A$5:$A$42,0))</f>
      </c>
      <c r="Q832" s="0" t="inlineStr">
        <is>
          <t xml:space="preserve">4</t>
        </is>
      </c>
    </row>
    <row r="833">
      <c r="A833" s="4" t="inlineStr">
        <is>
          <t xml:space="preserve">BQ</t>
        </is>
      </c>
      <c r="B833" s="0" t="inlineStr">
        <is>
          <t xml:space="preserve">Banque Fictive</t>
        </is>
      </c>
      <c r="C833" s="0" t="inlineStr">
        <is>
          <t xml:space="preserve">BQ00031</t>
        </is>
      </c>
      <c r="D833" s="10">
        <v>45991</v>
      </c>
      <c r="E833" s="4" t="inlineStr">
        <is>
          <t xml:space="preserve">421000</t>
        </is>
      </c>
      <c r="F833" s="0" t="inlineStr">
        <is>
          <t xml:space="preserve">Personnel remunerations dues</t>
        </is>
      </c>
      <c r="G833" s="0" t="inlineStr">
        <is>
          <t xml:space="preserve">VIRSAL202511</t>
        </is>
      </c>
      <c r="H833" s="0" t="inlineStr">
        <is>
          <t xml:space="preserve">Virement salaires 11/2025</t>
        </is>
      </c>
      <c r="I833" s="8">
        <v>39701.03</v>
      </c>
      <c r="J833" s="8">
        <v>0</v>
      </c>
      <c r="K833" s="0"/>
      <c r="L833" s="0"/>
      <c r="M833" s="8">
        <f>I833-J833</f>
      </c>
      <c r="N833" s="0" t="inlineStr">
        <is>
          <t xml:space="preserve">2025-11</t>
        </is>
      </c>
      <c r="O833" s="0">
        <f>INDEX(Journaux!$E$5:$E$18,MATCH("2025|"&amp;A833,Journaux!$A$5:$A$18,0))</f>
      </c>
      <c r="P833" s="0">
        <f>INDEX(Comptes!$K$5:$K$42,MATCH(E833,Comptes!$A$5:$A$42,0))</f>
      </c>
      <c r="Q833" s="0" t="inlineStr">
        <is>
          <t xml:space="preserve">4</t>
        </is>
      </c>
    </row>
    <row r="834">
      <c r="A834" s="4" t="inlineStr">
        <is>
          <t xml:space="preserve">BQ</t>
        </is>
      </c>
      <c r="B834" s="0" t="inlineStr">
        <is>
          <t xml:space="preserve">Banque Fictive</t>
        </is>
      </c>
      <c r="C834" s="0" t="inlineStr">
        <is>
          <t xml:space="preserve">BQ00031</t>
        </is>
      </c>
      <c r="D834" s="10">
        <v>45991</v>
      </c>
      <c r="E834" s="4" t="inlineStr">
        <is>
          <t xml:space="preserve">512000</t>
        </is>
      </c>
      <c r="F834" s="0" t="inlineStr">
        <is>
          <t xml:space="preserve">Banque Fictive</t>
        </is>
      </c>
      <c r="G834" s="0" t="inlineStr">
        <is>
          <t xml:space="preserve">VIRSAL202511</t>
        </is>
      </c>
      <c r="H834" s="0" t="inlineStr">
        <is>
          <t xml:space="preserve">Virement salaires 11/2025</t>
        </is>
      </c>
      <c r="I834" s="8">
        <v>0</v>
      </c>
      <c r="J834" s="8">
        <v>39701.03</v>
      </c>
      <c r="K834" s="0"/>
      <c r="L834" s="0"/>
      <c r="M834" s="8">
        <f>I834-J834</f>
      </c>
      <c r="N834" s="0" t="inlineStr">
        <is>
          <t xml:space="preserve">2025-11</t>
        </is>
      </c>
      <c r="O834" s="0">
        <f>INDEX(Journaux!$E$5:$E$18,MATCH("2025|"&amp;A834,Journaux!$A$5:$A$18,0))</f>
      </c>
      <c r="P834" s="0">
        <f>INDEX(Comptes!$K$5:$K$42,MATCH(E834,Comptes!$A$5:$A$42,0))</f>
      </c>
      <c r="Q834" s="0" t="inlineStr">
        <is>
          <t xml:space="preserve">5</t>
        </is>
      </c>
    </row>
    <row r="835">
      <c r="A835" s="4" t="inlineStr">
        <is>
          <t xml:space="preserve">BQ</t>
        </is>
      </c>
      <c r="B835" s="0" t="inlineStr">
        <is>
          <t xml:space="preserve">Banque Fictive</t>
        </is>
      </c>
      <c r="C835" s="0" t="inlineStr">
        <is>
          <t xml:space="preserve">BQ00033</t>
        </is>
      </c>
      <c r="D835" s="10">
        <v>45991</v>
      </c>
      <c r="E835" s="4" t="inlineStr">
        <is>
          <t xml:space="preserve">627000</t>
        </is>
      </c>
      <c r="F835" s="0" t="inlineStr">
        <is>
          <t xml:space="preserve">Services bancaires</t>
        </is>
      </c>
      <c r="G835" s="0" t="inlineStr">
        <is>
          <t xml:space="preserve">FRB202511</t>
        </is>
      </c>
      <c r="H835" s="0" t="inlineStr">
        <is>
          <t xml:space="preserve">Frais bancaires 11/2025</t>
        </is>
      </c>
      <c r="I835" s="8">
        <v>85</v>
      </c>
      <c r="J835" s="8">
        <v>0</v>
      </c>
      <c r="K835" s="0"/>
      <c r="L835" s="0"/>
      <c r="M835" s="8">
        <f>I835-J835</f>
      </c>
      <c r="N835" s="0" t="inlineStr">
        <is>
          <t xml:space="preserve">2025-11</t>
        </is>
      </c>
      <c r="O835" s="0">
        <f>INDEX(Journaux!$E$5:$E$18,MATCH("2025|"&amp;A835,Journaux!$A$5:$A$18,0))</f>
      </c>
      <c r="P835" s="0">
        <f>INDEX(Comptes!$K$5:$K$42,MATCH(E835,Comptes!$A$5:$A$42,0))</f>
      </c>
      <c r="Q835" s="0" t="inlineStr">
        <is>
          <t xml:space="preserve">6</t>
        </is>
      </c>
    </row>
    <row r="836">
      <c r="A836" s="4" t="inlineStr">
        <is>
          <t xml:space="preserve">BQ</t>
        </is>
      </c>
      <c r="B836" s="0" t="inlineStr">
        <is>
          <t xml:space="preserve">Banque Fictive</t>
        </is>
      </c>
      <c r="C836" s="0" t="inlineStr">
        <is>
          <t xml:space="preserve">BQ00033</t>
        </is>
      </c>
      <c r="D836" s="10">
        <v>45991</v>
      </c>
      <c r="E836" s="4" t="inlineStr">
        <is>
          <t xml:space="preserve">512000</t>
        </is>
      </c>
      <c r="F836" s="0" t="inlineStr">
        <is>
          <t xml:space="preserve">Banque Fictive</t>
        </is>
      </c>
      <c r="G836" s="0" t="inlineStr">
        <is>
          <t xml:space="preserve">FRB202511</t>
        </is>
      </c>
      <c r="H836" s="0" t="inlineStr">
        <is>
          <t xml:space="preserve">Frais bancaires 11/2025</t>
        </is>
      </c>
      <c r="I836" s="8">
        <v>0</v>
      </c>
      <c r="J836" s="8">
        <v>85</v>
      </c>
      <c r="K836" s="0"/>
      <c r="L836" s="0"/>
      <c r="M836" s="8">
        <f>I836-J836</f>
      </c>
      <c r="N836" s="0" t="inlineStr">
        <is>
          <t xml:space="preserve">2025-11</t>
        </is>
      </c>
      <c r="O836" s="0">
        <f>INDEX(Journaux!$E$5:$E$18,MATCH("2025|"&amp;A836,Journaux!$A$5:$A$18,0))</f>
      </c>
      <c r="P836" s="0">
        <f>INDEX(Comptes!$K$5:$K$42,MATCH(E836,Comptes!$A$5:$A$42,0))</f>
      </c>
      <c r="Q836" s="0" t="inlineStr">
        <is>
          <t xml:space="preserve">5</t>
        </is>
      </c>
    </row>
    <row r="837">
      <c r="A837" s="4" t="inlineStr">
        <is>
          <t xml:space="preserve">OD</t>
        </is>
      </c>
      <c r="B837" s="0" t="inlineStr">
        <is>
          <t xml:space="preserve">Operations diverses</t>
        </is>
      </c>
      <c r="C837" s="0" t="inlineStr">
        <is>
          <t xml:space="preserve">OD00011</t>
        </is>
      </c>
      <c r="D837" s="10">
        <v>45991</v>
      </c>
      <c r="E837" s="4" t="inlineStr">
        <is>
          <t xml:space="preserve">445710</t>
        </is>
      </c>
      <c r="F837" s="0" t="inlineStr">
        <is>
          <t xml:space="preserve">TVA collectee</t>
        </is>
      </c>
      <c r="G837" s="0" t="inlineStr">
        <is>
          <t xml:space="preserve">CA3-202511</t>
        </is>
      </c>
      <c r="H837" s="0" t="inlineStr">
        <is>
          <t xml:space="preserve">Declaration TVA 11/2025</t>
        </is>
      </c>
      <c r="I837" s="8">
        <v>25666.66</v>
      </c>
      <c r="J837" s="8">
        <v>0</v>
      </c>
      <c r="K837" s="0"/>
      <c r="L837" s="0"/>
      <c r="M837" s="8">
        <f>I837-J837</f>
      </c>
      <c r="N837" s="0" t="inlineStr">
        <is>
          <t xml:space="preserve">2025-11</t>
        </is>
      </c>
      <c r="O837" s="0">
        <f>INDEX(Journaux!$E$5:$E$18,MATCH("2025|"&amp;A837,Journaux!$A$5:$A$18,0))</f>
      </c>
      <c r="P837" s="0">
        <f>INDEX(Comptes!$K$5:$K$42,MATCH(E837,Comptes!$A$5:$A$42,0))</f>
      </c>
      <c r="Q837" s="0" t="inlineStr">
        <is>
          <t xml:space="preserve">4</t>
        </is>
      </c>
    </row>
    <row r="838">
      <c r="A838" s="4" t="inlineStr">
        <is>
          <t xml:space="preserve">OD</t>
        </is>
      </c>
      <c r="B838" s="0" t="inlineStr">
        <is>
          <t xml:space="preserve">Operations diverses</t>
        </is>
      </c>
      <c r="C838" s="0" t="inlineStr">
        <is>
          <t xml:space="preserve">OD00011</t>
        </is>
      </c>
      <c r="D838" s="10">
        <v>45991</v>
      </c>
      <c r="E838" s="4" t="inlineStr">
        <is>
          <t xml:space="preserve">445660</t>
        </is>
      </c>
      <c r="F838" s="0" t="inlineStr">
        <is>
          <t xml:space="preserve">TVA deductible sur ABS</t>
        </is>
      </c>
      <c r="G838" s="0" t="inlineStr">
        <is>
          <t xml:space="preserve">CA3-202511</t>
        </is>
      </c>
      <c r="H838" s="0" t="inlineStr">
        <is>
          <t xml:space="preserve">Declaration TVA 11/2025</t>
        </is>
      </c>
      <c r="I838" s="8">
        <v>0</v>
      </c>
      <c r="J838" s="8">
        <v>14439.5</v>
      </c>
      <c r="K838" s="0"/>
      <c r="L838" s="0"/>
      <c r="M838" s="8">
        <f>I838-J838</f>
      </c>
      <c r="N838" s="0" t="inlineStr">
        <is>
          <t xml:space="preserve">2025-11</t>
        </is>
      </c>
      <c r="O838" s="0">
        <f>INDEX(Journaux!$E$5:$E$18,MATCH("2025|"&amp;A838,Journaux!$A$5:$A$18,0))</f>
      </c>
      <c r="P838" s="0">
        <f>INDEX(Comptes!$K$5:$K$42,MATCH(E838,Comptes!$A$5:$A$42,0))</f>
      </c>
      <c r="Q838" s="0" t="inlineStr">
        <is>
          <t xml:space="preserve">4</t>
        </is>
      </c>
    </row>
    <row r="839">
      <c r="A839" s="4" t="inlineStr">
        <is>
          <t xml:space="preserve">OD</t>
        </is>
      </c>
      <c r="B839" s="0" t="inlineStr">
        <is>
          <t xml:space="preserve">Operations diverses</t>
        </is>
      </c>
      <c r="C839" s="0" t="inlineStr">
        <is>
          <t xml:space="preserve">OD00011</t>
        </is>
      </c>
      <c r="D839" s="10">
        <v>45991</v>
      </c>
      <c r="E839" s="4" t="inlineStr">
        <is>
          <t xml:space="preserve">445510</t>
        </is>
      </c>
      <c r="F839" s="0" t="inlineStr">
        <is>
          <t xml:space="preserve">TVA a decaisser</t>
        </is>
      </c>
      <c r="G839" s="0" t="inlineStr">
        <is>
          <t xml:space="preserve">CA3-202511</t>
        </is>
      </c>
      <c r="H839" s="0" t="inlineStr">
        <is>
          <t xml:space="preserve">Declaration TVA 11/2025</t>
        </is>
      </c>
      <c r="I839" s="8">
        <v>0</v>
      </c>
      <c r="J839" s="8">
        <v>11227.16</v>
      </c>
      <c r="K839" s="0"/>
      <c r="L839" s="0"/>
      <c r="M839" s="8">
        <f>I839-J839</f>
      </c>
      <c r="N839" s="0" t="inlineStr">
        <is>
          <t xml:space="preserve">2025-11</t>
        </is>
      </c>
      <c r="O839" s="0">
        <f>INDEX(Journaux!$E$5:$E$18,MATCH("2025|"&amp;A839,Journaux!$A$5:$A$18,0))</f>
      </c>
      <c r="P839" s="0">
        <f>INDEX(Comptes!$K$5:$K$42,MATCH(E839,Comptes!$A$5:$A$42,0))</f>
      </c>
      <c r="Q839" s="0" t="inlineStr">
        <is>
          <t xml:space="preserve">4</t>
        </is>
      </c>
    </row>
    <row r="840">
      <c r="A840" s="4" t="inlineStr">
        <is>
          <t xml:space="preserve">SA</t>
        </is>
      </c>
      <c r="B840" s="0" t="inlineStr">
        <is>
          <t xml:space="preserve">Salaires</t>
        </is>
      </c>
      <c r="C840" s="0" t="inlineStr">
        <is>
          <t xml:space="preserve">SA00011</t>
        </is>
      </c>
      <c r="D840" s="10">
        <v>45991</v>
      </c>
      <c r="E840" s="4" t="inlineStr">
        <is>
          <t xml:space="preserve">641000</t>
        </is>
      </c>
      <c r="F840" s="0" t="inlineStr">
        <is>
          <t xml:space="preserve">Remunerations du personnel</t>
        </is>
      </c>
      <c r="G840" s="0" t="inlineStr">
        <is>
          <t xml:space="preserve">PAIE202511</t>
        </is>
      </c>
      <c r="H840" s="0" t="inlineStr">
        <is>
          <t xml:space="preserve">Paie 11/2025</t>
        </is>
      </c>
      <c r="I840" s="8">
        <v>50898.76</v>
      </c>
      <c r="J840" s="8">
        <v>0</v>
      </c>
      <c r="K840" s="0"/>
      <c r="L840" s="0"/>
      <c r="M840" s="8">
        <f>I840-J840</f>
      </c>
      <c r="N840" s="0" t="inlineStr">
        <is>
          <t xml:space="preserve">2025-11</t>
        </is>
      </c>
      <c r="O840" s="0">
        <f>INDEX(Journaux!$E$5:$E$18,MATCH("2025|"&amp;A840,Journaux!$A$5:$A$18,0))</f>
      </c>
      <c r="P840" s="0">
        <f>INDEX(Comptes!$K$5:$K$42,MATCH(E840,Comptes!$A$5:$A$42,0))</f>
      </c>
      <c r="Q840" s="0" t="inlineStr">
        <is>
          <t xml:space="preserve">6</t>
        </is>
      </c>
    </row>
    <row r="841">
      <c r="A841" s="4" t="inlineStr">
        <is>
          <t xml:space="preserve">SA</t>
        </is>
      </c>
      <c r="B841" s="0" t="inlineStr">
        <is>
          <t xml:space="preserve">Salaires</t>
        </is>
      </c>
      <c r="C841" s="0" t="inlineStr">
        <is>
          <t xml:space="preserve">SA00011</t>
        </is>
      </c>
      <c r="D841" s="10">
        <v>45991</v>
      </c>
      <c r="E841" s="4" t="inlineStr">
        <is>
          <t xml:space="preserve">645100</t>
        </is>
      </c>
      <c r="F841" s="0" t="inlineStr">
        <is>
          <t xml:space="preserve">Cotisations URSSAF</t>
        </is>
      </c>
      <c r="G841" s="0" t="inlineStr">
        <is>
          <t xml:space="preserve">PAIE202511</t>
        </is>
      </c>
      <c r="H841" s="0" t="inlineStr">
        <is>
          <t xml:space="preserve">Paie 11/2025</t>
        </is>
      </c>
      <c r="I841" s="8">
        <v>21377.48</v>
      </c>
      <c r="J841" s="8">
        <v>0</v>
      </c>
      <c r="K841" s="0"/>
      <c r="L841" s="0"/>
      <c r="M841" s="8">
        <f>I841-J841</f>
      </c>
      <c r="N841" s="0" t="inlineStr">
        <is>
          <t xml:space="preserve">2025-11</t>
        </is>
      </c>
      <c r="O841" s="0">
        <f>INDEX(Journaux!$E$5:$E$18,MATCH("2025|"&amp;A841,Journaux!$A$5:$A$18,0))</f>
      </c>
      <c r="P841" s="0">
        <f>INDEX(Comptes!$K$5:$K$42,MATCH(E841,Comptes!$A$5:$A$42,0))</f>
      </c>
      <c r="Q841" s="0" t="inlineStr">
        <is>
          <t xml:space="preserve">6</t>
        </is>
      </c>
    </row>
    <row r="842">
      <c r="A842" s="4" t="inlineStr">
        <is>
          <t xml:space="preserve">SA</t>
        </is>
      </c>
      <c r="B842" s="0" t="inlineStr">
        <is>
          <t xml:space="preserve">Salaires</t>
        </is>
      </c>
      <c r="C842" s="0" t="inlineStr">
        <is>
          <t xml:space="preserve">SA00011</t>
        </is>
      </c>
      <c r="D842" s="10">
        <v>45991</v>
      </c>
      <c r="E842" s="4" t="inlineStr">
        <is>
          <t xml:space="preserve">421000</t>
        </is>
      </c>
      <c r="F842" s="0" t="inlineStr">
        <is>
          <t xml:space="preserve">Personnel remunerations dues</t>
        </is>
      </c>
      <c r="G842" s="0" t="inlineStr">
        <is>
          <t xml:space="preserve">PAIE202511</t>
        </is>
      </c>
      <c r="H842" s="0" t="inlineStr">
        <is>
          <t xml:space="preserve">Paie 11/2025</t>
        </is>
      </c>
      <c r="I842" s="8">
        <v>0</v>
      </c>
      <c r="J842" s="8">
        <v>39701.03</v>
      </c>
      <c r="K842" s="0"/>
      <c r="L842" s="0"/>
      <c r="M842" s="8">
        <f>I842-J842</f>
      </c>
      <c r="N842" s="0" t="inlineStr">
        <is>
          <t xml:space="preserve">2025-11</t>
        </is>
      </c>
      <c r="O842" s="0">
        <f>INDEX(Journaux!$E$5:$E$18,MATCH("2025|"&amp;A842,Journaux!$A$5:$A$18,0))</f>
      </c>
      <c r="P842" s="0">
        <f>INDEX(Comptes!$K$5:$K$42,MATCH(E842,Comptes!$A$5:$A$42,0))</f>
      </c>
      <c r="Q842" s="0" t="inlineStr">
        <is>
          <t xml:space="preserve">4</t>
        </is>
      </c>
    </row>
    <row r="843">
      <c r="A843" s="4" t="inlineStr">
        <is>
          <t xml:space="preserve">SA</t>
        </is>
      </c>
      <c r="B843" s="0" t="inlineStr">
        <is>
          <t xml:space="preserve">Salaires</t>
        </is>
      </c>
      <c r="C843" s="0" t="inlineStr">
        <is>
          <t xml:space="preserve">SA00011</t>
        </is>
      </c>
      <c r="D843" s="10">
        <v>45991</v>
      </c>
      <c r="E843" s="4" t="inlineStr">
        <is>
          <t xml:space="preserve">431000</t>
        </is>
      </c>
      <c r="F843" s="0" t="inlineStr">
        <is>
          <t xml:space="preserve">Securite sociale</t>
        </is>
      </c>
      <c r="G843" s="0" t="inlineStr">
        <is>
          <t xml:space="preserve">PAIE202511</t>
        </is>
      </c>
      <c r="H843" s="0" t="inlineStr">
        <is>
          <t xml:space="preserve">Paie 11/2025</t>
        </is>
      </c>
      <c r="I843" s="8">
        <v>0</v>
      </c>
      <c r="J843" s="8">
        <v>32575.21</v>
      </c>
      <c r="K843" s="0"/>
      <c r="L843" s="0"/>
      <c r="M843" s="8">
        <f>I843-J843</f>
      </c>
      <c r="N843" s="0" t="inlineStr">
        <is>
          <t xml:space="preserve">2025-11</t>
        </is>
      </c>
      <c r="O843" s="0">
        <f>INDEX(Journaux!$E$5:$E$18,MATCH("2025|"&amp;A843,Journaux!$A$5:$A$18,0))</f>
      </c>
      <c r="P843" s="0">
        <f>INDEX(Comptes!$K$5:$K$42,MATCH(E843,Comptes!$A$5:$A$42,0))</f>
      </c>
      <c r="Q843" s="0" t="inlineStr">
        <is>
          <t xml:space="preserve">4</t>
        </is>
      </c>
    </row>
    <row r="844">
      <c r="A844" s="4" t="inlineStr">
        <is>
          <t xml:space="preserve">BQ</t>
        </is>
      </c>
      <c r="B844" s="0" t="inlineStr">
        <is>
          <t xml:space="preserve">Banque Fictive</t>
        </is>
      </c>
      <c r="C844" s="0" t="inlineStr">
        <is>
          <t xml:space="preserve">BQ00109</t>
        </is>
      </c>
      <c r="D844" s="10">
        <v>45992</v>
      </c>
      <c r="E844" s="4" t="inlineStr">
        <is>
          <t xml:space="preserve">512000</t>
        </is>
      </c>
      <c r="F844" s="0" t="inlineStr">
        <is>
          <t xml:space="preserve">Banque Fictive</t>
        </is>
      </c>
      <c r="G844" s="0" t="inlineStr">
        <is>
          <t xml:space="preserve">ENC-FA2025-0042</t>
        </is>
      </c>
      <c r="H844" s="0" t="inlineStr">
        <is>
          <t xml:space="preserve">Reglement client Hotel Les Tilleuls FA2025-0042</t>
        </is>
      </c>
      <c r="I844" s="8">
        <v>26412.6</v>
      </c>
      <c r="J844" s="8">
        <v>0</v>
      </c>
      <c r="K844" s="0"/>
      <c r="L844" s="0"/>
      <c r="M844" s="8">
        <f>I844-J844</f>
      </c>
      <c r="N844" s="0" t="inlineStr">
        <is>
          <t xml:space="preserve">2025-12</t>
        </is>
      </c>
      <c r="O844" s="0">
        <f>INDEX(Journaux!$E$5:$E$18,MATCH("2025|"&amp;A844,Journaux!$A$5:$A$18,0))</f>
      </c>
      <c r="P844" s="0">
        <f>INDEX(Comptes!$K$5:$K$42,MATCH(E844,Comptes!$A$5:$A$42,0))</f>
      </c>
      <c r="Q844" s="0" t="inlineStr">
        <is>
          <t xml:space="preserve">5</t>
        </is>
      </c>
    </row>
    <row r="845">
      <c r="A845" s="4" t="inlineStr">
        <is>
          <t xml:space="preserve">BQ</t>
        </is>
      </c>
      <c r="B845" s="0" t="inlineStr">
        <is>
          <t xml:space="preserve">Banque Fictive</t>
        </is>
      </c>
      <c r="C845" s="0" t="inlineStr">
        <is>
          <t xml:space="preserve">BQ00109</t>
        </is>
      </c>
      <c r="D845" s="10">
        <v>45992</v>
      </c>
      <c r="E845" s="4" t="inlineStr">
        <is>
          <t xml:space="preserve">411000</t>
        </is>
      </c>
      <c r="F845" s="0" t="inlineStr">
        <is>
          <t xml:space="preserve">Clients</t>
        </is>
      </c>
      <c r="G845" s="0" t="inlineStr">
        <is>
          <t xml:space="preserve">ENC-FA2025-0042</t>
        </is>
      </c>
      <c r="H845" s="0" t="inlineStr">
        <is>
          <t xml:space="preserve">Reglement client Hotel Les Tilleuls FA2025-0042</t>
        </is>
      </c>
      <c r="I845" s="8">
        <v>0</v>
      </c>
      <c r="J845" s="8">
        <v>26412.6</v>
      </c>
      <c r="K845" s="0" t="inlineStr">
        <is>
          <t xml:space="preserve">AAX</t>
        </is>
      </c>
      <c r="L845" s="0" t="inlineStr">
        <is>
          <t xml:space="preserve">Hotel Les Tilleuls</t>
        </is>
      </c>
      <c r="M845" s="8">
        <f>I845-J845</f>
      </c>
      <c r="N845" s="0" t="inlineStr">
        <is>
          <t xml:space="preserve">2025-12</t>
        </is>
      </c>
      <c r="O845" s="0">
        <f>INDEX(Journaux!$E$5:$E$18,MATCH("2025|"&amp;A845,Journaux!$A$5:$A$18,0))</f>
      </c>
      <c r="P845" s="0">
        <f>INDEX(Comptes!$K$5:$K$42,MATCH(E845,Comptes!$A$5:$A$42,0))</f>
      </c>
      <c r="Q845" s="0" t="inlineStr">
        <is>
          <t xml:space="preserve">4</t>
        </is>
      </c>
      <c r="R845" s="7" t="inlineStr">
        <is>
          <t xml:space="preserve">411000|C001</t>
        </is>
      </c>
    </row>
    <row r="846">
      <c r="A846" s="4" t="inlineStr">
        <is>
          <t xml:space="preserve">BQ</t>
        </is>
      </c>
      <c r="B846" s="0" t="inlineStr">
        <is>
          <t xml:space="preserve">Banque Fictive</t>
        </is>
      </c>
      <c r="C846" s="0" t="inlineStr">
        <is>
          <t xml:space="preserve">BQ00112</t>
        </is>
      </c>
      <c r="D846" s="10">
        <v>45992</v>
      </c>
      <c r="E846" s="4" t="inlineStr">
        <is>
          <t xml:space="preserve">512000</t>
        </is>
      </c>
      <c r="F846" s="0" t="inlineStr">
        <is>
          <t xml:space="preserve">Banque Fictive</t>
        </is>
      </c>
      <c r="G846" s="0" t="inlineStr">
        <is>
          <t xml:space="preserve">ENC-FA2025-0047</t>
        </is>
      </c>
      <c r="H846" s="0" t="inlineStr">
        <is>
          <t xml:space="preserve">Reglement client Residence Bel Air FA2025-0047</t>
        </is>
      </c>
      <c r="I846" s="8">
        <v>29177.45</v>
      </c>
      <c r="J846" s="8">
        <v>0</v>
      </c>
      <c r="K846" s="0"/>
      <c r="L846" s="0"/>
      <c r="M846" s="8">
        <f>I846-J846</f>
      </c>
      <c r="N846" s="0" t="inlineStr">
        <is>
          <t xml:space="preserve">2025-12</t>
        </is>
      </c>
      <c r="O846" s="0">
        <f>INDEX(Journaux!$E$5:$E$18,MATCH("2025|"&amp;A846,Journaux!$A$5:$A$18,0))</f>
      </c>
      <c r="P846" s="0">
        <f>INDEX(Comptes!$K$5:$K$42,MATCH(E846,Comptes!$A$5:$A$42,0))</f>
      </c>
      <c r="Q846" s="0" t="inlineStr">
        <is>
          <t xml:space="preserve">5</t>
        </is>
      </c>
    </row>
    <row r="847">
      <c r="A847" s="4" t="inlineStr">
        <is>
          <t xml:space="preserve">BQ</t>
        </is>
      </c>
      <c r="B847" s="0" t="inlineStr">
        <is>
          <t xml:space="preserve">Banque Fictive</t>
        </is>
      </c>
      <c r="C847" s="0" t="inlineStr">
        <is>
          <t xml:space="preserve">BQ00112</t>
        </is>
      </c>
      <c r="D847" s="10">
        <v>45992</v>
      </c>
      <c r="E847" s="4" t="inlineStr">
        <is>
          <t xml:space="preserve">411000</t>
        </is>
      </c>
      <c r="F847" s="0" t="inlineStr">
        <is>
          <t xml:space="preserve">Clients</t>
        </is>
      </c>
      <c r="G847" s="0" t="inlineStr">
        <is>
          <t xml:space="preserve">ENC-FA2025-0047</t>
        </is>
      </c>
      <c r="H847" s="0" t="inlineStr">
        <is>
          <t xml:space="preserve">Reglement client Residence Bel Air FA2025-0047</t>
        </is>
      </c>
      <c r="I847" s="8">
        <v>0</v>
      </c>
      <c r="J847" s="8">
        <v>29177.45</v>
      </c>
      <c r="K847" s="0" t="inlineStr">
        <is>
          <t xml:space="preserve">ABA</t>
        </is>
      </c>
      <c r="L847" s="0" t="inlineStr">
        <is>
          <t xml:space="preserve">Residence Bel Air</t>
        </is>
      </c>
      <c r="M847" s="8">
        <f>I847-J847</f>
      </c>
      <c r="N847" s="0" t="inlineStr">
        <is>
          <t xml:space="preserve">2025-12</t>
        </is>
      </c>
      <c r="O847" s="0">
        <f>INDEX(Journaux!$E$5:$E$18,MATCH("2025|"&amp;A847,Journaux!$A$5:$A$18,0))</f>
      </c>
      <c r="P847" s="0">
        <f>INDEX(Comptes!$K$5:$K$42,MATCH(E847,Comptes!$A$5:$A$42,0))</f>
      </c>
      <c r="Q847" s="0" t="inlineStr">
        <is>
          <t xml:space="preserve">4</t>
        </is>
      </c>
      <c r="R847" s="7" t="inlineStr">
        <is>
          <t xml:space="preserve">411000|C003</t>
        </is>
      </c>
    </row>
    <row r="848">
      <c r="A848" s="4" t="inlineStr">
        <is>
          <t xml:space="preserve">BQ</t>
        </is>
      </c>
      <c r="B848" s="0" t="inlineStr">
        <is>
          <t xml:space="preserve">Banque Fictive</t>
        </is>
      </c>
      <c r="C848" s="0" t="inlineStr">
        <is>
          <t xml:space="preserve">BQ00172</t>
        </is>
      </c>
      <c r="D848" s="10">
        <v>45992</v>
      </c>
      <c r="E848" s="4" t="inlineStr">
        <is>
          <t xml:space="preserve">401000</t>
        </is>
      </c>
      <c r="F848" s="0" t="inlineStr">
        <is>
          <t xml:space="preserve">Fournisseurs</t>
        </is>
      </c>
      <c r="G848" s="0" t="inlineStr">
        <is>
          <t xml:space="preserve">DEC-F001-2025093</t>
        </is>
      </c>
      <c r="H848" s="0" t="inlineStr">
        <is>
          <t xml:space="preserve">Reglement fournisseur Scierie du Nord F001-2025093</t>
        </is>
      </c>
      <c r="I848" s="8">
        <v>24843.28</v>
      </c>
      <c r="J848" s="8">
        <v>0</v>
      </c>
      <c r="K848" s="0" t="inlineStr">
        <is>
          <t xml:space="preserve">ADI</t>
        </is>
      </c>
      <c r="L848" s="0" t="inlineStr">
        <is>
          <t xml:space="preserve">Scierie du Nord</t>
        </is>
      </c>
      <c r="M848" s="8">
        <f>I848-J848</f>
      </c>
      <c r="N848" s="0" t="inlineStr">
        <is>
          <t xml:space="preserve">2025-12</t>
        </is>
      </c>
      <c r="O848" s="0">
        <f>INDEX(Journaux!$E$5:$E$18,MATCH("2025|"&amp;A848,Journaux!$A$5:$A$18,0))</f>
      </c>
      <c r="P848" s="0">
        <f>INDEX(Comptes!$K$5:$K$42,MATCH(E848,Comptes!$A$5:$A$42,0))</f>
      </c>
      <c r="Q848" s="0" t="inlineStr">
        <is>
          <t xml:space="preserve">4</t>
        </is>
      </c>
      <c r="R848" s="7" t="inlineStr">
        <is>
          <t xml:space="preserve">401000|F001</t>
        </is>
      </c>
    </row>
    <row r="849">
      <c r="A849" s="4" t="inlineStr">
        <is>
          <t xml:space="preserve">BQ</t>
        </is>
      </c>
      <c r="B849" s="0" t="inlineStr">
        <is>
          <t xml:space="preserve">Banque Fictive</t>
        </is>
      </c>
      <c r="C849" s="0" t="inlineStr">
        <is>
          <t xml:space="preserve">BQ00172</t>
        </is>
      </c>
      <c r="D849" s="10">
        <v>45992</v>
      </c>
      <c r="E849" s="4" t="inlineStr">
        <is>
          <t xml:space="preserve">512000</t>
        </is>
      </c>
      <c r="F849" s="0" t="inlineStr">
        <is>
          <t xml:space="preserve">Banque Fictive</t>
        </is>
      </c>
      <c r="G849" s="0" t="inlineStr">
        <is>
          <t xml:space="preserve">DEC-F001-2025093</t>
        </is>
      </c>
      <c r="H849" s="0" t="inlineStr">
        <is>
          <t xml:space="preserve">Reglement fournisseur Scierie du Nord F001-2025093</t>
        </is>
      </c>
      <c r="I849" s="8">
        <v>0</v>
      </c>
      <c r="J849" s="8">
        <v>24843.28</v>
      </c>
      <c r="K849" s="0"/>
      <c r="L849" s="0"/>
      <c r="M849" s="8">
        <f>I849-J849</f>
      </c>
      <c r="N849" s="0" t="inlineStr">
        <is>
          <t xml:space="preserve">2025-12</t>
        </is>
      </c>
      <c r="O849" s="0">
        <f>INDEX(Journaux!$E$5:$E$18,MATCH("2025|"&amp;A849,Journaux!$A$5:$A$18,0))</f>
      </c>
      <c r="P849" s="0">
        <f>INDEX(Comptes!$K$5:$K$42,MATCH(E849,Comptes!$A$5:$A$42,0))</f>
      </c>
      <c r="Q849" s="0" t="inlineStr">
        <is>
          <t xml:space="preserve">5</t>
        </is>
      </c>
    </row>
    <row r="850">
      <c r="A850" s="4" t="inlineStr">
        <is>
          <t xml:space="preserve">AC</t>
        </is>
      </c>
      <c r="B850" s="0" t="inlineStr">
        <is>
          <t xml:space="preserve">Journal des achats</t>
        </is>
      </c>
      <c r="C850" s="0" t="inlineStr">
        <is>
          <t xml:space="preserve">AC00072</t>
        </is>
      </c>
      <c r="D850" s="10">
        <v>45993</v>
      </c>
      <c r="E850" s="4" t="inlineStr">
        <is>
          <t xml:space="preserve">601000</t>
        </is>
      </c>
      <c r="F850" s="0" t="inlineStr">
        <is>
          <t xml:space="preserve">Achats de matieres premieres</t>
        </is>
      </c>
      <c r="G850" s="0" t="inlineStr">
        <is>
          <t xml:space="preserve">F001-2025122</t>
        </is>
      </c>
      <c r="H850" s="0" t="inlineStr">
        <is>
          <t xml:space="preserve">Facture Scierie du Nord F001-2025122</t>
        </is>
      </c>
      <c r="I850" s="8">
        <v>29241.66</v>
      </c>
      <c r="J850" s="8">
        <v>0</v>
      </c>
      <c r="K850" s="0"/>
      <c r="L850" s="0"/>
      <c r="M850" s="8">
        <f>I850-J850</f>
      </c>
      <c r="N850" s="0" t="inlineStr">
        <is>
          <t xml:space="preserve">2025-12</t>
        </is>
      </c>
      <c r="O850" s="0">
        <f>INDEX(Journaux!$E$5:$E$18,MATCH("2025|"&amp;A850,Journaux!$A$5:$A$18,0))</f>
      </c>
      <c r="P850" s="0">
        <f>INDEX(Comptes!$K$5:$K$42,MATCH(E850,Comptes!$A$5:$A$42,0))</f>
      </c>
      <c r="Q850" s="0" t="inlineStr">
        <is>
          <t xml:space="preserve">6</t>
        </is>
      </c>
    </row>
    <row r="851">
      <c r="A851" s="4" t="inlineStr">
        <is>
          <t xml:space="preserve">AC</t>
        </is>
      </c>
      <c r="B851" s="0" t="inlineStr">
        <is>
          <t xml:space="preserve">Journal des achats</t>
        </is>
      </c>
      <c r="C851" s="0" t="inlineStr">
        <is>
          <t xml:space="preserve">AC00072</t>
        </is>
      </c>
      <c r="D851" s="10">
        <v>45993</v>
      </c>
      <c r="E851" s="4" t="inlineStr">
        <is>
          <t xml:space="preserve">445660</t>
        </is>
      </c>
      <c r="F851" s="0" t="inlineStr">
        <is>
          <t xml:space="preserve">TVA deductible sur ABS</t>
        </is>
      </c>
      <c r="G851" s="0" t="inlineStr">
        <is>
          <t xml:space="preserve">F001-2025122</t>
        </is>
      </c>
      <c r="H851" s="0" t="inlineStr">
        <is>
          <t xml:space="preserve">Facture Scierie du Nord F001-2025122</t>
        </is>
      </c>
      <c r="I851" s="8">
        <v>5848.33</v>
      </c>
      <c r="J851" s="8">
        <v>0</v>
      </c>
      <c r="K851" s="0"/>
      <c r="L851" s="0"/>
      <c r="M851" s="8">
        <f>I851-J851</f>
      </c>
      <c r="N851" s="0" t="inlineStr">
        <is>
          <t xml:space="preserve">2025-12</t>
        </is>
      </c>
      <c r="O851" s="0">
        <f>INDEX(Journaux!$E$5:$E$18,MATCH("2025|"&amp;A851,Journaux!$A$5:$A$18,0))</f>
      </c>
      <c r="P851" s="0">
        <f>INDEX(Comptes!$K$5:$K$42,MATCH(E851,Comptes!$A$5:$A$42,0))</f>
      </c>
      <c r="Q851" s="0" t="inlineStr">
        <is>
          <t xml:space="preserve">4</t>
        </is>
      </c>
    </row>
    <row r="852">
      <c r="A852" s="4" t="inlineStr">
        <is>
          <t xml:space="preserve">AC</t>
        </is>
      </c>
      <c r="B852" s="0" t="inlineStr">
        <is>
          <t xml:space="preserve">Journal des achats</t>
        </is>
      </c>
      <c r="C852" s="0" t="inlineStr">
        <is>
          <t xml:space="preserve">AC00072</t>
        </is>
      </c>
      <c r="D852" s="10">
        <v>45993</v>
      </c>
      <c r="E852" s="4" t="inlineStr">
        <is>
          <t xml:space="preserve">401000</t>
        </is>
      </c>
      <c r="F852" s="0" t="inlineStr">
        <is>
          <t xml:space="preserve">Fournisseurs</t>
        </is>
      </c>
      <c r="G852" s="0" t="inlineStr">
        <is>
          <t xml:space="preserve">F001-2025122</t>
        </is>
      </c>
      <c r="H852" s="0" t="inlineStr">
        <is>
          <t xml:space="preserve">Facture Scierie du Nord F001-2025122</t>
        </is>
      </c>
      <c r="I852" s="8">
        <v>0</v>
      </c>
      <c r="J852" s="8">
        <v>35089.99</v>
      </c>
      <c r="K852" s="0"/>
      <c r="L852" s="0" t="inlineStr">
        <is>
          <t xml:space="preserve">Scierie du Nord</t>
        </is>
      </c>
      <c r="M852" s="8">
        <f>I852-J852</f>
      </c>
      <c r="N852" s="0" t="inlineStr">
        <is>
          <t xml:space="preserve">2025-12</t>
        </is>
      </c>
      <c r="O852" s="0">
        <f>INDEX(Journaux!$E$5:$E$18,MATCH("2025|"&amp;A852,Journaux!$A$5:$A$18,0))</f>
      </c>
      <c r="P852" s="0">
        <f>INDEX(Comptes!$K$5:$K$42,MATCH(E852,Comptes!$A$5:$A$42,0))</f>
      </c>
      <c r="Q852" s="0" t="inlineStr">
        <is>
          <t xml:space="preserve">4</t>
        </is>
      </c>
      <c r="R852" s="7" t="inlineStr">
        <is>
          <t xml:space="preserve">401000|F001</t>
        </is>
      </c>
    </row>
    <row r="853">
      <c r="A853" s="4" t="inlineStr">
        <is>
          <t xml:space="preserve">BQ</t>
        </is>
      </c>
      <c r="B853" s="0" t="inlineStr">
        <is>
          <t xml:space="preserve">Banque Fictive</t>
        </is>
      </c>
      <c r="C853" s="0" t="inlineStr">
        <is>
          <t xml:space="preserve">BQ00171</t>
        </is>
      </c>
      <c r="D853" s="10">
        <v>45993</v>
      </c>
      <c r="E853" s="4" t="inlineStr">
        <is>
          <t xml:space="preserve">401000</t>
        </is>
      </c>
      <c r="F853" s="0" t="inlineStr">
        <is>
          <t xml:space="preserve">Fournisseurs</t>
        </is>
      </c>
      <c r="G853" s="0" t="inlineStr">
        <is>
          <t xml:space="preserve">DEC-F003-2025092</t>
        </is>
      </c>
      <c r="H853" s="0" t="inlineStr">
        <is>
          <t xml:space="preserve">Reglement fournisseur Vernis et Finitions F003-2025092</t>
        </is>
      </c>
      <c r="I853" s="8">
        <v>25951.42</v>
      </c>
      <c r="J853" s="8">
        <v>0</v>
      </c>
      <c r="K853" s="0" t="inlineStr">
        <is>
          <t xml:space="preserve">ADH</t>
        </is>
      </c>
      <c r="L853" s="0" t="inlineStr">
        <is>
          <t xml:space="preserve">Vernis et Finitions</t>
        </is>
      </c>
      <c r="M853" s="8">
        <f>I853-J853</f>
      </c>
      <c r="N853" s="0" t="inlineStr">
        <is>
          <t xml:space="preserve">2025-12</t>
        </is>
      </c>
      <c r="O853" s="0">
        <f>INDEX(Journaux!$E$5:$E$18,MATCH("2025|"&amp;A853,Journaux!$A$5:$A$18,0))</f>
      </c>
      <c r="P853" s="0">
        <f>INDEX(Comptes!$K$5:$K$42,MATCH(E853,Comptes!$A$5:$A$42,0))</f>
      </c>
      <c r="Q853" s="0" t="inlineStr">
        <is>
          <t xml:space="preserve">4</t>
        </is>
      </c>
      <c r="R853" s="7" t="inlineStr">
        <is>
          <t xml:space="preserve">401000|F003</t>
        </is>
      </c>
    </row>
    <row r="854">
      <c r="A854" s="4" t="inlineStr">
        <is>
          <t xml:space="preserve">BQ</t>
        </is>
      </c>
      <c r="B854" s="0" t="inlineStr">
        <is>
          <t xml:space="preserve">Banque Fictive</t>
        </is>
      </c>
      <c r="C854" s="0" t="inlineStr">
        <is>
          <t xml:space="preserve">BQ00171</t>
        </is>
      </c>
      <c r="D854" s="10">
        <v>45993</v>
      </c>
      <c r="E854" s="4" t="inlineStr">
        <is>
          <t xml:space="preserve">512000</t>
        </is>
      </c>
      <c r="F854" s="0" t="inlineStr">
        <is>
          <t xml:space="preserve">Banque Fictive</t>
        </is>
      </c>
      <c r="G854" s="0" t="inlineStr">
        <is>
          <t xml:space="preserve">DEC-F003-2025092</t>
        </is>
      </c>
      <c r="H854" s="0" t="inlineStr">
        <is>
          <t xml:space="preserve">Reglement fournisseur Vernis et Finitions F003-2025092</t>
        </is>
      </c>
      <c r="I854" s="8">
        <v>0</v>
      </c>
      <c r="J854" s="8">
        <v>25951.42</v>
      </c>
      <c r="K854" s="0"/>
      <c r="L854" s="0"/>
      <c r="M854" s="8">
        <f>I854-J854</f>
      </c>
      <c r="N854" s="0" t="inlineStr">
        <is>
          <t xml:space="preserve">2025-12</t>
        </is>
      </c>
      <c r="O854" s="0">
        <f>INDEX(Journaux!$E$5:$E$18,MATCH("2025|"&amp;A854,Journaux!$A$5:$A$18,0))</f>
      </c>
      <c r="P854" s="0">
        <f>INDEX(Comptes!$K$5:$K$42,MATCH(E854,Comptes!$A$5:$A$42,0))</f>
      </c>
      <c r="Q854" s="0" t="inlineStr">
        <is>
          <t xml:space="preserve">5</t>
        </is>
      </c>
    </row>
    <row r="855">
      <c r="A855" s="4" t="inlineStr">
        <is>
          <t xml:space="preserve">AC</t>
        </is>
      </c>
      <c r="B855" s="0" t="inlineStr">
        <is>
          <t xml:space="preserve">Journal des achats</t>
        </is>
      </c>
      <c r="C855" s="0" t="inlineStr">
        <is>
          <t xml:space="preserve">AC00073</t>
        </is>
      </c>
      <c r="D855" s="10">
        <v>45996</v>
      </c>
      <c r="E855" s="4" t="inlineStr">
        <is>
          <t xml:space="preserve">613200</t>
        </is>
      </c>
      <c r="F855" s="0" t="inlineStr">
        <is>
          <t xml:space="preserve">Locations immobilieres</t>
        </is>
      </c>
      <c r="G855" s="0" t="inlineStr">
        <is>
          <t xml:space="preserve">F004-202512</t>
        </is>
      </c>
      <c r="H855" s="0" t="inlineStr">
        <is>
          <t xml:space="preserve">Facture SCI Les Halles 2025-12</t>
        </is>
      </c>
      <c r="I855" s="8">
        <v>8500</v>
      </c>
      <c r="J855" s="8">
        <v>0</v>
      </c>
      <c r="K855" s="0"/>
      <c r="L855" s="0"/>
      <c r="M855" s="8">
        <f>I855-J855</f>
      </c>
      <c r="N855" s="0" t="inlineStr">
        <is>
          <t xml:space="preserve">2025-12</t>
        </is>
      </c>
      <c r="O855" s="0">
        <f>INDEX(Journaux!$E$5:$E$18,MATCH("2025|"&amp;A855,Journaux!$A$5:$A$18,0))</f>
      </c>
      <c r="P855" s="0">
        <f>INDEX(Comptes!$K$5:$K$42,MATCH(E855,Comptes!$A$5:$A$42,0))</f>
      </c>
      <c r="Q855" s="0" t="inlineStr">
        <is>
          <t xml:space="preserve">6</t>
        </is>
      </c>
    </row>
    <row r="856">
      <c r="A856" s="4" t="inlineStr">
        <is>
          <t xml:space="preserve">AC</t>
        </is>
      </c>
      <c r="B856" s="0" t="inlineStr">
        <is>
          <t xml:space="preserve">Journal des achats</t>
        </is>
      </c>
      <c r="C856" s="0" t="inlineStr">
        <is>
          <t xml:space="preserve">AC00073</t>
        </is>
      </c>
      <c r="D856" s="10">
        <v>45996</v>
      </c>
      <c r="E856" s="4" t="inlineStr">
        <is>
          <t xml:space="preserve">445660</t>
        </is>
      </c>
      <c r="F856" s="0" t="inlineStr">
        <is>
          <t xml:space="preserve">TVA deductible sur ABS</t>
        </is>
      </c>
      <c r="G856" s="0" t="inlineStr">
        <is>
          <t xml:space="preserve">F004-202512</t>
        </is>
      </c>
      <c r="H856" s="0" t="inlineStr">
        <is>
          <t xml:space="preserve">Facture SCI Les Halles 2025-12</t>
        </is>
      </c>
      <c r="I856" s="8">
        <v>1700</v>
      </c>
      <c r="J856" s="8">
        <v>0</v>
      </c>
      <c r="K856" s="0"/>
      <c r="L856" s="0"/>
      <c r="M856" s="8">
        <f>I856-J856</f>
      </c>
      <c r="N856" s="0" t="inlineStr">
        <is>
          <t xml:space="preserve">2025-12</t>
        </is>
      </c>
      <c r="O856" s="0">
        <f>INDEX(Journaux!$E$5:$E$18,MATCH("2025|"&amp;A856,Journaux!$A$5:$A$18,0))</f>
      </c>
      <c r="P856" s="0">
        <f>INDEX(Comptes!$K$5:$K$42,MATCH(E856,Comptes!$A$5:$A$42,0))</f>
      </c>
      <c r="Q856" s="0" t="inlineStr">
        <is>
          <t xml:space="preserve">4</t>
        </is>
      </c>
    </row>
    <row r="857">
      <c r="A857" s="4" t="inlineStr">
        <is>
          <t xml:space="preserve">AC</t>
        </is>
      </c>
      <c r="B857" s="0" t="inlineStr">
        <is>
          <t xml:space="preserve">Journal des achats</t>
        </is>
      </c>
      <c r="C857" s="0" t="inlineStr">
        <is>
          <t xml:space="preserve">AC00073</t>
        </is>
      </c>
      <c r="D857" s="10">
        <v>45996</v>
      </c>
      <c r="E857" s="4" t="inlineStr">
        <is>
          <t xml:space="preserve">401000</t>
        </is>
      </c>
      <c r="F857" s="0" t="inlineStr">
        <is>
          <t xml:space="preserve">Fournisseurs</t>
        </is>
      </c>
      <c r="G857" s="0" t="inlineStr">
        <is>
          <t xml:space="preserve">F004-202512</t>
        </is>
      </c>
      <c r="H857" s="0" t="inlineStr">
        <is>
          <t xml:space="preserve">Facture SCI Les Halles 2025-12</t>
        </is>
      </c>
      <c r="I857" s="8">
        <v>0</v>
      </c>
      <c r="J857" s="8">
        <v>10200</v>
      </c>
      <c r="K857" s="0"/>
      <c r="L857" s="0" t="inlineStr">
        <is>
          <t xml:space="preserve">SCI Les Halles</t>
        </is>
      </c>
      <c r="M857" s="8">
        <f>I857-J857</f>
      </c>
      <c r="N857" s="0" t="inlineStr">
        <is>
          <t xml:space="preserve">2025-12</t>
        </is>
      </c>
      <c r="O857" s="0">
        <f>INDEX(Journaux!$E$5:$E$18,MATCH("2025|"&amp;A857,Journaux!$A$5:$A$18,0))</f>
      </c>
      <c r="P857" s="0">
        <f>INDEX(Comptes!$K$5:$K$42,MATCH(E857,Comptes!$A$5:$A$42,0))</f>
      </c>
      <c r="Q857" s="0" t="inlineStr">
        <is>
          <t xml:space="preserve">4</t>
        </is>
      </c>
      <c r="R857" s="7" t="inlineStr">
        <is>
          <t xml:space="preserve">401000|F004</t>
        </is>
      </c>
    </row>
    <row r="858">
      <c r="A858" s="4" t="inlineStr">
        <is>
          <t xml:space="preserve">AC</t>
        </is>
      </c>
      <c r="B858" s="0" t="inlineStr">
        <is>
          <t xml:space="preserve">Journal des achats</t>
        </is>
      </c>
      <c r="C858" s="0" t="inlineStr">
        <is>
          <t xml:space="preserve">AC00074</t>
        </is>
      </c>
      <c r="D858" s="10">
        <v>45996</v>
      </c>
      <c r="E858" s="4" t="inlineStr">
        <is>
          <t xml:space="preserve">606100</t>
        </is>
      </c>
      <c r="F858" s="0" t="inlineStr">
        <is>
          <t xml:space="preserve">Fournitures non stockables energie</t>
        </is>
      </c>
      <c r="G858" s="0" t="inlineStr">
        <is>
          <t xml:space="preserve">F005-202512</t>
        </is>
      </c>
      <c r="H858" s="0" t="inlineStr">
        <is>
          <t xml:space="preserve">Facture Energie Plus 2025-12</t>
        </is>
      </c>
      <c r="I858" s="8">
        <v>2728.82</v>
      </c>
      <c r="J858" s="8">
        <v>0</v>
      </c>
      <c r="K858" s="0"/>
      <c r="L858" s="0"/>
      <c r="M858" s="8">
        <f>I858-J858</f>
      </c>
      <c r="N858" s="0" t="inlineStr">
        <is>
          <t xml:space="preserve">2025-12</t>
        </is>
      </c>
      <c r="O858" s="0">
        <f>INDEX(Journaux!$E$5:$E$18,MATCH("2025|"&amp;A858,Journaux!$A$5:$A$18,0))</f>
      </c>
      <c r="P858" s="0">
        <f>INDEX(Comptes!$K$5:$K$42,MATCH(E858,Comptes!$A$5:$A$42,0))</f>
      </c>
      <c r="Q858" s="0" t="inlineStr">
        <is>
          <t xml:space="preserve">6</t>
        </is>
      </c>
    </row>
    <row r="859">
      <c r="A859" s="4" t="inlineStr">
        <is>
          <t xml:space="preserve">AC</t>
        </is>
      </c>
      <c r="B859" s="0" t="inlineStr">
        <is>
          <t xml:space="preserve">Journal des achats</t>
        </is>
      </c>
      <c r="C859" s="0" t="inlineStr">
        <is>
          <t xml:space="preserve">AC00074</t>
        </is>
      </c>
      <c r="D859" s="10">
        <v>45996</v>
      </c>
      <c r="E859" s="4" t="inlineStr">
        <is>
          <t xml:space="preserve">445660</t>
        </is>
      </c>
      <c r="F859" s="0" t="inlineStr">
        <is>
          <t xml:space="preserve">TVA deductible sur ABS</t>
        </is>
      </c>
      <c r="G859" s="0" t="inlineStr">
        <is>
          <t xml:space="preserve">F005-202512</t>
        </is>
      </c>
      <c r="H859" s="0" t="inlineStr">
        <is>
          <t xml:space="preserve">Facture Energie Plus 2025-12</t>
        </is>
      </c>
      <c r="I859" s="8">
        <v>545.76</v>
      </c>
      <c r="J859" s="8">
        <v>0</v>
      </c>
      <c r="K859" s="0"/>
      <c r="L859" s="0"/>
      <c r="M859" s="8">
        <f>I859-J859</f>
      </c>
      <c r="N859" s="0" t="inlineStr">
        <is>
          <t xml:space="preserve">2025-12</t>
        </is>
      </c>
      <c r="O859" s="0">
        <f>INDEX(Journaux!$E$5:$E$18,MATCH("2025|"&amp;A859,Journaux!$A$5:$A$18,0))</f>
      </c>
      <c r="P859" s="0">
        <f>INDEX(Comptes!$K$5:$K$42,MATCH(E859,Comptes!$A$5:$A$42,0))</f>
      </c>
      <c r="Q859" s="0" t="inlineStr">
        <is>
          <t xml:space="preserve">4</t>
        </is>
      </c>
    </row>
    <row r="860">
      <c r="A860" s="4" t="inlineStr">
        <is>
          <t xml:space="preserve">AC</t>
        </is>
      </c>
      <c r="B860" s="0" t="inlineStr">
        <is>
          <t xml:space="preserve">Journal des achats</t>
        </is>
      </c>
      <c r="C860" s="0" t="inlineStr">
        <is>
          <t xml:space="preserve">AC00074</t>
        </is>
      </c>
      <c r="D860" s="10">
        <v>45996</v>
      </c>
      <c r="E860" s="4" t="inlineStr">
        <is>
          <t xml:space="preserve">401000</t>
        </is>
      </c>
      <c r="F860" s="0" t="inlineStr">
        <is>
          <t xml:space="preserve">Fournisseurs</t>
        </is>
      </c>
      <c r="G860" s="0" t="inlineStr">
        <is>
          <t xml:space="preserve">F005-202512</t>
        </is>
      </c>
      <c r="H860" s="0" t="inlineStr">
        <is>
          <t xml:space="preserve">Facture Energie Plus 2025-12</t>
        </is>
      </c>
      <c r="I860" s="8">
        <v>0</v>
      </c>
      <c r="J860" s="8">
        <v>3274.58</v>
      </c>
      <c r="K860" s="0"/>
      <c r="L860" s="0" t="inlineStr">
        <is>
          <t xml:space="preserve">Energie Plus</t>
        </is>
      </c>
      <c r="M860" s="8">
        <f>I860-J860</f>
      </c>
      <c r="N860" s="0" t="inlineStr">
        <is>
          <t xml:space="preserve">2025-12</t>
        </is>
      </c>
      <c r="O860" s="0">
        <f>INDEX(Journaux!$E$5:$E$18,MATCH("2025|"&amp;A860,Journaux!$A$5:$A$18,0))</f>
      </c>
      <c r="P860" s="0">
        <f>INDEX(Comptes!$K$5:$K$42,MATCH(E860,Comptes!$A$5:$A$42,0))</f>
      </c>
      <c r="Q860" s="0" t="inlineStr">
        <is>
          <t xml:space="preserve">4</t>
        </is>
      </c>
      <c r="R860" s="7" t="inlineStr">
        <is>
          <t xml:space="preserve">401000|F005</t>
        </is>
      </c>
    </row>
    <row r="861">
      <c r="A861" s="4" t="inlineStr">
        <is>
          <t xml:space="preserve">AC</t>
        </is>
      </c>
      <c r="B861" s="0" t="inlineStr">
        <is>
          <t xml:space="preserve">Journal des achats</t>
        </is>
      </c>
      <c r="C861" s="0" t="inlineStr">
        <is>
          <t xml:space="preserve">AC00075</t>
        </is>
      </c>
      <c r="D861" s="10">
        <v>45996</v>
      </c>
      <c r="E861" s="4" t="inlineStr">
        <is>
          <t xml:space="preserve">626000</t>
        </is>
      </c>
      <c r="F861" s="0" t="inlineStr">
        <is>
          <t xml:space="preserve">Frais postaux et telecommunications</t>
        </is>
      </c>
      <c r="G861" s="0" t="inlineStr">
        <is>
          <t xml:space="preserve">F008-202512</t>
        </is>
      </c>
      <c r="H861" s="0" t="inlineStr">
        <is>
          <t xml:space="preserve">Facture Telecom Pro 2025-12</t>
        </is>
      </c>
      <c r="I861" s="8">
        <v>480</v>
      </c>
      <c r="J861" s="8">
        <v>0</v>
      </c>
      <c r="K861" s="0"/>
      <c r="L861" s="0"/>
      <c r="M861" s="8">
        <f>I861-J861</f>
      </c>
      <c r="N861" s="0" t="inlineStr">
        <is>
          <t xml:space="preserve">2025-12</t>
        </is>
      </c>
      <c r="O861" s="0">
        <f>INDEX(Journaux!$E$5:$E$18,MATCH("2025|"&amp;A861,Journaux!$A$5:$A$18,0))</f>
      </c>
      <c r="P861" s="0">
        <f>INDEX(Comptes!$K$5:$K$42,MATCH(E861,Comptes!$A$5:$A$42,0))</f>
      </c>
      <c r="Q861" s="0" t="inlineStr">
        <is>
          <t xml:space="preserve">6</t>
        </is>
      </c>
    </row>
    <row r="862">
      <c r="A862" s="4" t="inlineStr">
        <is>
          <t xml:space="preserve">AC</t>
        </is>
      </c>
      <c r="B862" s="0" t="inlineStr">
        <is>
          <t xml:space="preserve">Journal des achats</t>
        </is>
      </c>
      <c r="C862" s="0" t="inlineStr">
        <is>
          <t xml:space="preserve">AC00075</t>
        </is>
      </c>
      <c r="D862" s="10">
        <v>45996</v>
      </c>
      <c r="E862" s="4" t="inlineStr">
        <is>
          <t xml:space="preserve">445660</t>
        </is>
      </c>
      <c r="F862" s="0" t="inlineStr">
        <is>
          <t xml:space="preserve">TVA deductible sur ABS</t>
        </is>
      </c>
      <c r="G862" s="0" t="inlineStr">
        <is>
          <t xml:space="preserve">F008-202512</t>
        </is>
      </c>
      <c r="H862" s="0" t="inlineStr">
        <is>
          <t xml:space="preserve">Facture Telecom Pro 2025-12</t>
        </is>
      </c>
      <c r="I862" s="8">
        <v>96</v>
      </c>
      <c r="J862" s="8">
        <v>0</v>
      </c>
      <c r="K862" s="0"/>
      <c r="L862" s="0"/>
      <c r="M862" s="8">
        <f>I862-J862</f>
      </c>
      <c r="N862" s="0" t="inlineStr">
        <is>
          <t xml:space="preserve">2025-12</t>
        </is>
      </c>
      <c r="O862" s="0">
        <f>INDEX(Journaux!$E$5:$E$18,MATCH("2025|"&amp;A862,Journaux!$A$5:$A$18,0))</f>
      </c>
      <c r="P862" s="0">
        <f>INDEX(Comptes!$K$5:$K$42,MATCH(E862,Comptes!$A$5:$A$42,0))</f>
      </c>
      <c r="Q862" s="0" t="inlineStr">
        <is>
          <t xml:space="preserve">4</t>
        </is>
      </c>
    </row>
    <row r="863">
      <c r="A863" s="4" t="inlineStr">
        <is>
          <t xml:space="preserve">AC</t>
        </is>
      </c>
      <c r="B863" s="0" t="inlineStr">
        <is>
          <t xml:space="preserve">Journal des achats</t>
        </is>
      </c>
      <c r="C863" s="0" t="inlineStr">
        <is>
          <t xml:space="preserve">AC00075</t>
        </is>
      </c>
      <c r="D863" s="10">
        <v>45996</v>
      </c>
      <c r="E863" s="4" t="inlineStr">
        <is>
          <t xml:space="preserve">401000</t>
        </is>
      </c>
      <c r="F863" s="0" t="inlineStr">
        <is>
          <t xml:space="preserve">Fournisseurs</t>
        </is>
      </c>
      <c r="G863" s="0" t="inlineStr">
        <is>
          <t xml:space="preserve">F008-202512</t>
        </is>
      </c>
      <c r="H863" s="0" t="inlineStr">
        <is>
          <t xml:space="preserve">Facture Telecom Pro 2025-12</t>
        </is>
      </c>
      <c r="I863" s="8">
        <v>0</v>
      </c>
      <c r="J863" s="8">
        <v>576</v>
      </c>
      <c r="K863" s="0"/>
      <c r="L863" s="0" t="inlineStr">
        <is>
          <t xml:space="preserve">Telecom Pro</t>
        </is>
      </c>
      <c r="M863" s="8">
        <f>I863-J863</f>
      </c>
      <c r="N863" s="0" t="inlineStr">
        <is>
          <t xml:space="preserve">2025-12</t>
        </is>
      </c>
      <c r="O863" s="0">
        <f>INDEX(Journaux!$E$5:$E$18,MATCH("2025|"&amp;A863,Journaux!$A$5:$A$18,0))</f>
      </c>
      <c r="P863" s="0">
        <f>INDEX(Comptes!$K$5:$K$42,MATCH(E863,Comptes!$A$5:$A$42,0))</f>
      </c>
      <c r="Q863" s="0" t="inlineStr">
        <is>
          <t xml:space="preserve">4</t>
        </is>
      </c>
      <c r="R863" s="7" t="inlineStr">
        <is>
          <t xml:space="preserve">401000|F008</t>
        </is>
      </c>
    </row>
    <row r="864">
      <c r="A864" s="4" t="inlineStr">
        <is>
          <t xml:space="preserve">AC</t>
        </is>
      </c>
      <c r="B864" s="0" t="inlineStr">
        <is>
          <t xml:space="preserve">Journal des achats</t>
        </is>
      </c>
      <c r="C864" s="0" t="inlineStr">
        <is>
          <t xml:space="preserve">AC00076</t>
        </is>
      </c>
      <c r="D864" s="10">
        <v>45996</v>
      </c>
      <c r="E864" s="4" t="inlineStr">
        <is>
          <t xml:space="preserve">622600</t>
        </is>
      </c>
      <c r="F864" s="0" t="inlineStr">
        <is>
          <t xml:space="preserve">Honoraires</t>
        </is>
      </c>
      <c r="G864" s="0" t="inlineStr">
        <is>
          <t xml:space="preserve">F007-202512</t>
        </is>
      </c>
      <c r="H864" s="0" t="inlineStr">
        <is>
          <t xml:space="preserve">Facture Cabinet Comptable Exemple 2025-12</t>
        </is>
      </c>
      <c r="I864" s="8">
        <v>6000</v>
      </c>
      <c r="J864" s="8">
        <v>0</v>
      </c>
      <c r="K864" s="0"/>
      <c r="L864" s="0"/>
      <c r="M864" s="8">
        <f>I864-J864</f>
      </c>
      <c r="N864" s="0" t="inlineStr">
        <is>
          <t xml:space="preserve">2025-12</t>
        </is>
      </c>
      <c r="O864" s="0">
        <f>INDEX(Journaux!$E$5:$E$18,MATCH("2025|"&amp;A864,Journaux!$A$5:$A$18,0))</f>
      </c>
      <c r="P864" s="0">
        <f>INDEX(Comptes!$K$5:$K$42,MATCH(E864,Comptes!$A$5:$A$42,0))</f>
      </c>
      <c r="Q864" s="0" t="inlineStr">
        <is>
          <t xml:space="preserve">6</t>
        </is>
      </c>
    </row>
    <row r="865">
      <c r="A865" s="4" t="inlineStr">
        <is>
          <t xml:space="preserve">AC</t>
        </is>
      </c>
      <c r="B865" s="0" t="inlineStr">
        <is>
          <t xml:space="preserve">Journal des achats</t>
        </is>
      </c>
      <c r="C865" s="0" t="inlineStr">
        <is>
          <t xml:space="preserve">AC00076</t>
        </is>
      </c>
      <c r="D865" s="10">
        <v>45996</v>
      </c>
      <c r="E865" s="4" t="inlineStr">
        <is>
          <t xml:space="preserve">445660</t>
        </is>
      </c>
      <c r="F865" s="0" t="inlineStr">
        <is>
          <t xml:space="preserve">TVA deductible sur ABS</t>
        </is>
      </c>
      <c r="G865" s="0" t="inlineStr">
        <is>
          <t xml:space="preserve">F007-202512</t>
        </is>
      </c>
      <c r="H865" s="0" t="inlineStr">
        <is>
          <t xml:space="preserve">Facture Cabinet Comptable Exemple 2025-12</t>
        </is>
      </c>
      <c r="I865" s="8">
        <v>1200</v>
      </c>
      <c r="J865" s="8">
        <v>0</v>
      </c>
      <c r="K865" s="0"/>
      <c r="L865" s="0"/>
      <c r="M865" s="8">
        <f>I865-J865</f>
      </c>
      <c r="N865" s="0" t="inlineStr">
        <is>
          <t xml:space="preserve">2025-12</t>
        </is>
      </c>
      <c r="O865" s="0">
        <f>INDEX(Journaux!$E$5:$E$18,MATCH("2025|"&amp;A865,Journaux!$A$5:$A$18,0))</f>
      </c>
      <c r="P865" s="0">
        <f>INDEX(Comptes!$K$5:$K$42,MATCH(E865,Comptes!$A$5:$A$42,0))</f>
      </c>
      <c r="Q865" s="0" t="inlineStr">
        <is>
          <t xml:space="preserve">4</t>
        </is>
      </c>
    </row>
    <row r="866">
      <c r="A866" s="4" t="inlineStr">
        <is>
          <t xml:space="preserve">AC</t>
        </is>
      </c>
      <c r="B866" s="0" t="inlineStr">
        <is>
          <t xml:space="preserve">Journal des achats</t>
        </is>
      </c>
      <c r="C866" s="0" t="inlineStr">
        <is>
          <t xml:space="preserve">AC00076</t>
        </is>
      </c>
      <c r="D866" s="10">
        <v>45996</v>
      </c>
      <c r="E866" s="4" t="inlineStr">
        <is>
          <t xml:space="preserve">401000</t>
        </is>
      </c>
      <c r="F866" s="0" t="inlineStr">
        <is>
          <t xml:space="preserve">Fournisseurs</t>
        </is>
      </c>
      <c r="G866" s="0" t="inlineStr">
        <is>
          <t xml:space="preserve">F007-202512</t>
        </is>
      </c>
      <c r="H866" s="0" t="inlineStr">
        <is>
          <t xml:space="preserve">Facture Cabinet Comptable Exemple 2025-12</t>
        </is>
      </c>
      <c r="I866" s="8">
        <v>0</v>
      </c>
      <c r="J866" s="8">
        <v>7200</v>
      </c>
      <c r="K866" s="0"/>
      <c r="L866" s="0" t="inlineStr">
        <is>
          <t xml:space="preserve">Cabinet Comptable Exemple</t>
        </is>
      </c>
      <c r="M866" s="8">
        <f>I866-J866</f>
      </c>
      <c r="N866" s="0" t="inlineStr">
        <is>
          <t xml:space="preserve">2025-12</t>
        </is>
      </c>
      <c r="O866" s="0">
        <f>INDEX(Journaux!$E$5:$E$18,MATCH("2025|"&amp;A866,Journaux!$A$5:$A$18,0))</f>
      </c>
      <c r="P866" s="0">
        <f>INDEX(Comptes!$K$5:$K$42,MATCH(E866,Comptes!$A$5:$A$42,0))</f>
      </c>
      <c r="Q866" s="0" t="inlineStr">
        <is>
          <t xml:space="preserve">4</t>
        </is>
      </c>
      <c r="R866" s="7" t="inlineStr">
        <is>
          <t xml:space="preserve">401000|F007</t>
        </is>
      </c>
    </row>
    <row r="867">
      <c r="A867" s="4" t="inlineStr">
        <is>
          <t xml:space="preserve">BQ</t>
        </is>
      </c>
      <c r="B867" s="0" t="inlineStr">
        <is>
          <t xml:space="preserve">Banque Fictive</t>
        </is>
      </c>
      <c r="C867" s="0" t="inlineStr">
        <is>
          <t xml:space="preserve">BQ00183</t>
        </is>
      </c>
      <c r="D867" s="10">
        <v>45996</v>
      </c>
      <c r="E867" s="4" t="inlineStr">
        <is>
          <t xml:space="preserve">401000</t>
        </is>
      </c>
      <c r="F867" s="0" t="inlineStr">
        <is>
          <t xml:space="preserve">Fournisseurs</t>
        </is>
      </c>
      <c r="G867" s="0" t="inlineStr">
        <is>
          <t xml:space="preserve">DEC-F004-202511</t>
        </is>
      </c>
      <c r="H867" s="0" t="inlineStr">
        <is>
          <t xml:space="preserve">Reglement fournisseur SCI Les Halles F004-202511</t>
        </is>
      </c>
      <c r="I867" s="8">
        <v>10200</v>
      </c>
      <c r="J867" s="8">
        <v>0</v>
      </c>
      <c r="K867" s="0" t="inlineStr">
        <is>
          <t xml:space="preserve">ADT</t>
        </is>
      </c>
      <c r="L867" s="0" t="inlineStr">
        <is>
          <t xml:space="preserve">SCI Les Halles</t>
        </is>
      </c>
      <c r="M867" s="8">
        <f>I867-J867</f>
      </c>
      <c r="N867" s="0" t="inlineStr">
        <is>
          <t xml:space="preserve">2025-12</t>
        </is>
      </c>
      <c r="O867" s="0">
        <f>INDEX(Journaux!$E$5:$E$18,MATCH("2025|"&amp;A867,Journaux!$A$5:$A$18,0))</f>
      </c>
      <c r="P867" s="0">
        <f>INDEX(Comptes!$K$5:$K$42,MATCH(E867,Comptes!$A$5:$A$42,0))</f>
      </c>
      <c r="Q867" s="0" t="inlineStr">
        <is>
          <t xml:space="preserve">4</t>
        </is>
      </c>
      <c r="R867" s="7" t="inlineStr">
        <is>
          <t xml:space="preserve">401000|F004</t>
        </is>
      </c>
    </row>
    <row r="868">
      <c r="A868" s="4" t="inlineStr">
        <is>
          <t xml:space="preserve">BQ</t>
        </is>
      </c>
      <c r="B868" s="0" t="inlineStr">
        <is>
          <t xml:space="preserve">Banque Fictive</t>
        </is>
      </c>
      <c r="C868" s="0" t="inlineStr">
        <is>
          <t xml:space="preserve">BQ00183</t>
        </is>
      </c>
      <c r="D868" s="10">
        <v>45996</v>
      </c>
      <c r="E868" s="4" t="inlineStr">
        <is>
          <t xml:space="preserve">512000</t>
        </is>
      </c>
      <c r="F868" s="0" t="inlineStr">
        <is>
          <t xml:space="preserve">Banque Fictive</t>
        </is>
      </c>
      <c r="G868" s="0" t="inlineStr">
        <is>
          <t xml:space="preserve">DEC-F004-202511</t>
        </is>
      </c>
      <c r="H868" s="0" t="inlineStr">
        <is>
          <t xml:space="preserve">Reglement fournisseur SCI Les Halles F004-202511</t>
        </is>
      </c>
      <c r="I868" s="8">
        <v>0</v>
      </c>
      <c r="J868" s="8">
        <v>10200</v>
      </c>
      <c r="K868" s="0"/>
      <c r="L868" s="0"/>
      <c r="M868" s="8">
        <f>I868-J868</f>
      </c>
      <c r="N868" s="0" t="inlineStr">
        <is>
          <t xml:space="preserve">2025-12</t>
        </is>
      </c>
      <c r="O868" s="0">
        <f>INDEX(Journaux!$E$5:$E$18,MATCH("2025|"&amp;A868,Journaux!$A$5:$A$18,0))</f>
      </c>
      <c r="P868" s="0">
        <f>INDEX(Comptes!$K$5:$K$42,MATCH(E868,Comptes!$A$5:$A$42,0))</f>
      </c>
      <c r="Q868" s="0" t="inlineStr">
        <is>
          <t xml:space="preserve">5</t>
        </is>
      </c>
    </row>
    <row r="869">
      <c r="A869" s="4" t="inlineStr">
        <is>
          <t xml:space="preserve">BQ</t>
        </is>
      </c>
      <c r="B869" s="0" t="inlineStr">
        <is>
          <t xml:space="preserve">Banque Fictive</t>
        </is>
      </c>
      <c r="C869" s="0" t="inlineStr">
        <is>
          <t xml:space="preserve">BQ00184</t>
        </is>
      </c>
      <c r="D869" s="10">
        <v>45996</v>
      </c>
      <c r="E869" s="4" t="inlineStr">
        <is>
          <t xml:space="preserve">401000</t>
        </is>
      </c>
      <c r="F869" s="0" t="inlineStr">
        <is>
          <t xml:space="preserve">Fournisseurs</t>
        </is>
      </c>
      <c r="G869" s="0" t="inlineStr">
        <is>
          <t xml:space="preserve">DEC-F005-202511</t>
        </is>
      </c>
      <c r="H869" s="0" t="inlineStr">
        <is>
          <t xml:space="preserve">Reglement fournisseur Energie Plus F005-202511</t>
        </is>
      </c>
      <c r="I869" s="8">
        <v>3481.04</v>
      </c>
      <c r="J869" s="8">
        <v>0</v>
      </c>
      <c r="K869" s="0" t="inlineStr">
        <is>
          <t xml:space="preserve">ADU</t>
        </is>
      </c>
      <c r="L869" s="0" t="inlineStr">
        <is>
          <t xml:space="preserve">Energie Plus</t>
        </is>
      </c>
      <c r="M869" s="8">
        <f>I869-J869</f>
      </c>
      <c r="N869" s="0" t="inlineStr">
        <is>
          <t xml:space="preserve">2025-12</t>
        </is>
      </c>
      <c r="O869" s="0">
        <f>INDEX(Journaux!$E$5:$E$18,MATCH("2025|"&amp;A869,Journaux!$A$5:$A$18,0))</f>
      </c>
      <c r="P869" s="0">
        <f>INDEX(Comptes!$K$5:$K$42,MATCH(E869,Comptes!$A$5:$A$42,0))</f>
      </c>
      <c r="Q869" s="0" t="inlineStr">
        <is>
          <t xml:space="preserve">4</t>
        </is>
      </c>
      <c r="R869" s="7" t="inlineStr">
        <is>
          <t xml:space="preserve">401000|F005</t>
        </is>
      </c>
    </row>
    <row r="870">
      <c r="A870" s="4" t="inlineStr">
        <is>
          <t xml:space="preserve">BQ</t>
        </is>
      </c>
      <c r="B870" s="0" t="inlineStr">
        <is>
          <t xml:space="preserve">Banque Fictive</t>
        </is>
      </c>
      <c r="C870" s="0" t="inlineStr">
        <is>
          <t xml:space="preserve">BQ00184</t>
        </is>
      </c>
      <c r="D870" s="10">
        <v>45996</v>
      </c>
      <c r="E870" s="4" t="inlineStr">
        <is>
          <t xml:space="preserve">512000</t>
        </is>
      </c>
      <c r="F870" s="0" t="inlineStr">
        <is>
          <t xml:space="preserve">Banque Fictive</t>
        </is>
      </c>
      <c r="G870" s="0" t="inlineStr">
        <is>
          <t xml:space="preserve">DEC-F005-202511</t>
        </is>
      </c>
      <c r="H870" s="0" t="inlineStr">
        <is>
          <t xml:space="preserve">Reglement fournisseur Energie Plus F005-202511</t>
        </is>
      </c>
      <c r="I870" s="8">
        <v>0</v>
      </c>
      <c r="J870" s="8">
        <v>3481.04</v>
      </c>
      <c r="K870" s="0"/>
      <c r="L870" s="0"/>
      <c r="M870" s="8">
        <f>I870-J870</f>
      </c>
      <c r="N870" s="0" t="inlineStr">
        <is>
          <t xml:space="preserve">2025-12</t>
        </is>
      </c>
      <c r="O870" s="0">
        <f>INDEX(Journaux!$E$5:$E$18,MATCH("2025|"&amp;A870,Journaux!$A$5:$A$18,0))</f>
      </c>
      <c r="P870" s="0">
        <f>INDEX(Comptes!$K$5:$K$42,MATCH(E870,Comptes!$A$5:$A$42,0))</f>
      </c>
      <c r="Q870" s="0" t="inlineStr">
        <is>
          <t xml:space="preserve">5</t>
        </is>
      </c>
    </row>
    <row r="871">
      <c r="A871" s="4" t="inlineStr">
        <is>
          <t xml:space="preserve">BQ</t>
        </is>
      </c>
      <c r="B871" s="0" t="inlineStr">
        <is>
          <t xml:space="preserve">Banque Fictive</t>
        </is>
      </c>
      <c r="C871" s="0" t="inlineStr">
        <is>
          <t xml:space="preserve">BQ00185</t>
        </is>
      </c>
      <c r="D871" s="10">
        <v>45996</v>
      </c>
      <c r="E871" s="4" t="inlineStr">
        <is>
          <t xml:space="preserve">401000</t>
        </is>
      </c>
      <c r="F871" s="0" t="inlineStr">
        <is>
          <t xml:space="preserve">Fournisseurs</t>
        </is>
      </c>
      <c r="G871" s="0" t="inlineStr">
        <is>
          <t xml:space="preserve">DEC-F008-202511</t>
        </is>
      </c>
      <c r="H871" s="0" t="inlineStr">
        <is>
          <t xml:space="preserve">Reglement fournisseur Telecom Pro F008-202511</t>
        </is>
      </c>
      <c r="I871" s="8">
        <v>576</v>
      </c>
      <c r="J871" s="8">
        <v>0</v>
      </c>
      <c r="K871" s="0" t="inlineStr">
        <is>
          <t xml:space="preserve">ADV</t>
        </is>
      </c>
      <c r="L871" s="0" t="inlineStr">
        <is>
          <t xml:space="preserve">Telecom Pro</t>
        </is>
      </c>
      <c r="M871" s="8">
        <f>I871-J871</f>
      </c>
      <c r="N871" s="0" t="inlineStr">
        <is>
          <t xml:space="preserve">2025-12</t>
        </is>
      </c>
      <c r="O871" s="0">
        <f>INDEX(Journaux!$E$5:$E$18,MATCH("2025|"&amp;A871,Journaux!$A$5:$A$18,0))</f>
      </c>
      <c r="P871" s="0">
        <f>INDEX(Comptes!$K$5:$K$42,MATCH(E871,Comptes!$A$5:$A$42,0))</f>
      </c>
      <c r="Q871" s="0" t="inlineStr">
        <is>
          <t xml:space="preserve">4</t>
        </is>
      </c>
      <c r="R871" s="7" t="inlineStr">
        <is>
          <t xml:space="preserve">401000|F008</t>
        </is>
      </c>
    </row>
    <row r="872">
      <c r="A872" s="4" t="inlineStr">
        <is>
          <t xml:space="preserve">BQ</t>
        </is>
      </c>
      <c r="B872" s="0" t="inlineStr">
        <is>
          <t xml:space="preserve">Banque Fictive</t>
        </is>
      </c>
      <c r="C872" s="0" t="inlineStr">
        <is>
          <t xml:space="preserve">BQ00185</t>
        </is>
      </c>
      <c r="D872" s="10">
        <v>45996</v>
      </c>
      <c r="E872" s="4" t="inlineStr">
        <is>
          <t xml:space="preserve">512000</t>
        </is>
      </c>
      <c r="F872" s="0" t="inlineStr">
        <is>
          <t xml:space="preserve">Banque Fictive</t>
        </is>
      </c>
      <c r="G872" s="0" t="inlineStr">
        <is>
          <t xml:space="preserve">DEC-F008-202511</t>
        </is>
      </c>
      <c r="H872" s="0" t="inlineStr">
        <is>
          <t xml:space="preserve">Reglement fournisseur Telecom Pro F008-202511</t>
        </is>
      </c>
      <c r="I872" s="8">
        <v>0</v>
      </c>
      <c r="J872" s="8">
        <v>576</v>
      </c>
      <c r="K872" s="0"/>
      <c r="L872" s="0"/>
      <c r="M872" s="8">
        <f>I872-J872</f>
      </c>
      <c r="N872" s="0" t="inlineStr">
        <is>
          <t xml:space="preserve">2025-12</t>
        </is>
      </c>
      <c r="O872" s="0">
        <f>INDEX(Journaux!$E$5:$E$18,MATCH("2025|"&amp;A872,Journaux!$A$5:$A$18,0))</f>
      </c>
      <c r="P872" s="0">
        <f>INDEX(Comptes!$K$5:$K$42,MATCH(E872,Comptes!$A$5:$A$42,0))</f>
      </c>
      <c r="Q872" s="0" t="inlineStr">
        <is>
          <t xml:space="preserve">5</t>
        </is>
      </c>
    </row>
    <row r="873">
      <c r="A873" s="4" t="inlineStr">
        <is>
          <t xml:space="preserve">VT</t>
        </is>
      </c>
      <c r="B873" s="0" t="inlineStr">
        <is>
          <t xml:space="preserve">Journal des ventes</t>
        </is>
      </c>
      <c r="C873" s="0" t="inlineStr">
        <is>
          <t xml:space="preserve">VT00059</t>
        </is>
      </c>
      <c r="D873" s="10">
        <v>46000</v>
      </c>
      <c r="E873" s="4" t="inlineStr">
        <is>
          <t xml:space="preserve">411000</t>
        </is>
      </c>
      <c r="F873" s="0" t="inlineStr">
        <is>
          <t xml:space="preserve">Clients</t>
        </is>
      </c>
      <c r="G873" s="0" t="inlineStr">
        <is>
          <t xml:space="preserve">FA2025-0059</t>
        </is>
      </c>
      <c r="H873" s="0" t="inlineStr">
        <is>
          <t xml:space="preserve">Facture FA2025-0059 Hotel Les Tilleuls</t>
        </is>
      </c>
      <c r="I873" s="8">
        <v>17970.44</v>
      </c>
      <c r="J873" s="8">
        <v>0</v>
      </c>
      <c r="K873" s="0"/>
      <c r="L873" s="0" t="inlineStr">
        <is>
          <t xml:space="preserve">Hotel Les Tilleuls</t>
        </is>
      </c>
      <c r="M873" s="8">
        <f>I873-J873</f>
      </c>
      <c r="N873" s="0" t="inlineStr">
        <is>
          <t xml:space="preserve">2025-12</t>
        </is>
      </c>
      <c r="O873" s="0">
        <f>INDEX(Journaux!$E$5:$E$18,MATCH("2025|"&amp;A873,Journaux!$A$5:$A$18,0))</f>
      </c>
      <c r="P873" s="0">
        <f>INDEX(Comptes!$K$5:$K$42,MATCH(E873,Comptes!$A$5:$A$42,0))</f>
      </c>
      <c r="Q873" s="0" t="inlineStr">
        <is>
          <t xml:space="preserve">4</t>
        </is>
      </c>
      <c r="R873" s="7" t="inlineStr">
        <is>
          <t xml:space="preserve">411000|C001</t>
        </is>
      </c>
    </row>
    <row r="874">
      <c r="A874" s="4" t="inlineStr">
        <is>
          <t xml:space="preserve">VT</t>
        </is>
      </c>
      <c r="B874" s="0" t="inlineStr">
        <is>
          <t xml:space="preserve">Journal des ventes</t>
        </is>
      </c>
      <c r="C874" s="0" t="inlineStr">
        <is>
          <t xml:space="preserve">VT00059</t>
        </is>
      </c>
      <c r="D874" s="10">
        <v>46000</v>
      </c>
      <c r="E874" s="4" t="inlineStr">
        <is>
          <t xml:space="preserve">701000</t>
        </is>
      </c>
      <c r="F874" s="0" t="inlineStr">
        <is>
          <t xml:space="preserve">Ventes de produits finis</t>
        </is>
      </c>
      <c r="G874" s="0" t="inlineStr">
        <is>
          <t xml:space="preserve">FA2025-0059</t>
        </is>
      </c>
      <c r="H874" s="0" t="inlineStr">
        <is>
          <t xml:space="preserve">Facture FA2025-0059 Hotel Les Tilleuls</t>
        </is>
      </c>
      <c r="I874" s="8">
        <v>0</v>
      </c>
      <c r="J874" s="8">
        <v>14975.37</v>
      </c>
      <c r="K874" s="0"/>
      <c r="L874" s="0"/>
      <c r="M874" s="8">
        <f>I874-J874</f>
      </c>
      <c r="N874" s="0" t="inlineStr">
        <is>
          <t xml:space="preserve">2025-12</t>
        </is>
      </c>
      <c r="O874" s="0">
        <f>INDEX(Journaux!$E$5:$E$18,MATCH("2025|"&amp;A874,Journaux!$A$5:$A$18,0))</f>
      </c>
      <c r="P874" s="0">
        <f>INDEX(Comptes!$K$5:$K$42,MATCH(E874,Comptes!$A$5:$A$42,0))</f>
      </c>
      <c r="Q874" s="0" t="inlineStr">
        <is>
          <t xml:space="preserve">7</t>
        </is>
      </c>
    </row>
    <row r="875">
      <c r="A875" s="4" t="inlineStr">
        <is>
          <t xml:space="preserve">VT</t>
        </is>
      </c>
      <c r="B875" s="0" t="inlineStr">
        <is>
          <t xml:space="preserve">Journal des ventes</t>
        </is>
      </c>
      <c r="C875" s="0" t="inlineStr">
        <is>
          <t xml:space="preserve">VT00059</t>
        </is>
      </c>
      <c r="D875" s="10">
        <v>46000</v>
      </c>
      <c r="E875" s="4" t="inlineStr">
        <is>
          <t xml:space="preserve">445710</t>
        </is>
      </c>
      <c r="F875" s="0" t="inlineStr">
        <is>
          <t xml:space="preserve">TVA collectee</t>
        </is>
      </c>
      <c r="G875" s="0" t="inlineStr">
        <is>
          <t xml:space="preserve">FA2025-0059</t>
        </is>
      </c>
      <c r="H875" s="0" t="inlineStr">
        <is>
          <t xml:space="preserve">Facture FA2025-0059 Hotel Les Tilleuls</t>
        </is>
      </c>
      <c r="I875" s="8">
        <v>0</v>
      </c>
      <c r="J875" s="8">
        <v>2995.07</v>
      </c>
      <c r="K875" s="0"/>
      <c r="L875" s="0"/>
      <c r="M875" s="8">
        <f>I875-J875</f>
      </c>
      <c r="N875" s="0" t="inlineStr">
        <is>
          <t xml:space="preserve">2025-12</t>
        </is>
      </c>
      <c r="O875" s="0">
        <f>INDEX(Journaux!$E$5:$E$18,MATCH("2025|"&amp;A875,Journaux!$A$5:$A$18,0))</f>
      </c>
      <c r="P875" s="0">
        <f>INDEX(Comptes!$K$5:$K$42,MATCH(E875,Comptes!$A$5:$A$42,0))</f>
      </c>
      <c r="Q875" s="0" t="inlineStr">
        <is>
          <t xml:space="preserve">4</t>
        </is>
      </c>
    </row>
    <row r="876">
      <c r="A876" s="4" t="inlineStr">
        <is>
          <t xml:space="preserve">BQ</t>
        </is>
      </c>
      <c r="B876" s="0" t="inlineStr">
        <is>
          <t xml:space="preserve">Banque Fictive</t>
        </is>
      </c>
      <c r="C876" s="0" t="inlineStr">
        <is>
          <t xml:space="preserve">BQ00035</t>
        </is>
      </c>
      <c r="D876" s="10">
        <v>46001</v>
      </c>
      <c r="E876" s="4" t="inlineStr">
        <is>
          <t xml:space="preserve">164000</t>
        </is>
      </c>
      <c r="F876" s="0" t="inlineStr">
        <is>
          <t xml:space="preserve">Emprunts aupres des etablissements de credit</t>
        </is>
      </c>
      <c r="G876" s="0" t="inlineStr">
        <is>
          <t xml:space="preserve">ECH202512</t>
        </is>
      </c>
      <c r="H876" s="0" t="inlineStr">
        <is>
          <t xml:space="preserve">Echeance emprunt 12/2025</t>
        </is>
      </c>
      <c r="I876" s="8">
        <v>2000</v>
      </c>
      <c r="J876" s="8">
        <v>0</v>
      </c>
      <c r="K876" s="0"/>
      <c r="L876" s="0"/>
      <c r="M876" s="8">
        <f>I876-J876</f>
      </c>
      <c r="N876" s="0" t="inlineStr">
        <is>
          <t xml:space="preserve">2025-12</t>
        </is>
      </c>
      <c r="O876" s="0">
        <f>INDEX(Journaux!$E$5:$E$18,MATCH("2025|"&amp;A876,Journaux!$A$5:$A$18,0))</f>
      </c>
      <c r="P876" s="0">
        <f>INDEX(Comptes!$K$5:$K$42,MATCH(E876,Comptes!$A$5:$A$42,0))</f>
      </c>
      <c r="Q876" s="0" t="inlineStr">
        <is>
          <t xml:space="preserve">1</t>
        </is>
      </c>
    </row>
    <row r="877">
      <c r="A877" s="4" t="inlineStr">
        <is>
          <t xml:space="preserve">BQ</t>
        </is>
      </c>
      <c r="B877" s="0" t="inlineStr">
        <is>
          <t xml:space="preserve">Banque Fictive</t>
        </is>
      </c>
      <c r="C877" s="0" t="inlineStr">
        <is>
          <t xml:space="preserve">BQ00035</t>
        </is>
      </c>
      <c r="D877" s="10">
        <v>46001</v>
      </c>
      <c r="E877" s="4" t="inlineStr">
        <is>
          <t xml:space="preserve">661100</t>
        </is>
      </c>
      <c r="F877" s="0" t="inlineStr">
        <is>
          <t xml:space="preserve">Interets des emprunts</t>
        </is>
      </c>
      <c r="G877" s="0" t="inlineStr">
        <is>
          <t xml:space="preserve">ECH202512</t>
        </is>
      </c>
      <c r="H877" s="0" t="inlineStr">
        <is>
          <t xml:space="preserve">Echeance emprunt 12/2025</t>
        </is>
      </c>
      <c r="I877" s="8">
        <v>146.67</v>
      </c>
      <c r="J877" s="8">
        <v>0</v>
      </c>
      <c r="K877" s="0"/>
      <c r="L877" s="0"/>
      <c r="M877" s="8">
        <f>I877-J877</f>
      </c>
      <c r="N877" s="0" t="inlineStr">
        <is>
          <t xml:space="preserve">2025-12</t>
        </is>
      </c>
      <c r="O877" s="0">
        <f>INDEX(Journaux!$E$5:$E$18,MATCH("2025|"&amp;A877,Journaux!$A$5:$A$18,0))</f>
      </c>
      <c r="P877" s="0">
        <f>INDEX(Comptes!$K$5:$K$42,MATCH(E877,Comptes!$A$5:$A$42,0))</f>
      </c>
      <c r="Q877" s="0" t="inlineStr">
        <is>
          <t xml:space="preserve">6</t>
        </is>
      </c>
    </row>
    <row r="878">
      <c r="A878" s="4" t="inlineStr">
        <is>
          <t xml:space="preserve">BQ</t>
        </is>
      </c>
      <c r="B878" s="0" t="inlineStr">
        <is>
          <t xml:space="preserve">Banque Fictive</t>
        </is>
      </c>
      <c r="C878" s="0" t="inlineStr">
        <is>
          <t xml:space="preserve">BQ00035</t>
        </is>
      </c>
      <c r="D878" s="10">
        <v>46001</v>
      </c>
      <c r="E878" s="4" t="inlineStr">
        <is>
          <t xml:space="preserve">512000</t>
        </is>
      </c>
      <c r="F878" s="0" t="inlineStr">
        <is>
          <t xml:space="preserve">Banque Fictive</t>
        </is>
      </c>
      <c r="G878" s="0" t="inlineStr">
        <is>
          <t xml:space="preserve">ECH202512</t>
        </is>
      </c>
      <c r="H878" s="0" t="inlineStr">
        <is>
          <t xml:space="preserve">Echeance emprunt 12/2025</t>
        </is>
      </c>
      <c r="I878" s="8">
        <v>0</v>
      </c>
      <c r="J878" s="8">
        <v>2146.67</v>
      </c>
      <c r="K878" s="0"/>
      <c r="L878" s="0"/>
      <c r="M878" s="8">
        <f>I878-J878</f>
      </c>
      <c r="N878" s="0" t="inlineStr">
        <is>
          <t xml:space="preserve">2025-12</t>
        </is>
      </c>
      <c r="O878" s="0">
        <f>INDEX(Journaux!$E$5:$E$18,MATCH("2025|"&amp;A878,Journaux!$A$5:$A$18,0))</f>
      </c>
      <c r="P878" s="0">
        <f>INDEX(Comptes!$K$5:$K$42,MATCH(E878,Comptes!$A$5:$A$42,0))</f>
      </c>
      <c r="Q878" s="0" t="inlineStr">
        <is>
          <t xml:space="preserve">5</t>
        </is>
      </c>
    </row>
    <row r="879">
      <c r="A879" s="4" t="inlineStr">
        <is>
          <t xml:space="preserve">BQ</t>
        </is>
      </c>
      <c r="B879" s="0" t="inlineStr">
        <is>
          <t xml:space="preserve">Banque Fictive</t>
        </is>
      </c>
      <c r="C879" s="0" t="inlineStr">
        <is>
          <t xml:space="preserve">BQ00178</t>
        </is>
      </c>
      <c r="D879" s="10">
        <v>46002</v>
      </c>
      <c r="E879" s="4" t="inlineStr">
        <is>
          <t xml:space="preserve">401000</t>
        </is>
      </c>
      <c r="F879" s="0" t="inlineStr">
        <is>
          <t xml:space="preserve">Fournisseurs</t>
        </is>
      </c>
      <c r="G879" s="0" t="inlineStr">
        <is>
          <t xml:space="preserve">DEC-F001-2025103</t>
        </is>
      </c>
      <c r="H879" s="0" t="inlineStr">
        <is>
          <t xml:space="preserve">Reglement fournisseur Scierie du Nord F001-2025103</t>
        </is>
      </c>
      <c r="I879" s="8">
        <v>25031.63</v>
      </c>
      <c r="J879" s="8">
        <v>0</v>
      </c>
      <c r="K879" s="0" t="inlineStr">
        <is>
          <t xml:space="preserve">ADO</t>
        </is>
      </c>
      <c r="L879" s="0" t="inlineStr">
        <is>
          <t xml:space="preserve">Scierie du Nord</t>
        </is>
      </c>
      <c r="M879" s="8">
        <f>I879-J879</f>
      </c>
      <c r="N879" s="0" t="inlineStr">
        <is>
          <t xml:space="preserve">2025-12</t>
        </is>
      </c>
      <c r="O879" s="0">
        <f>INDEX(Journaux!$E$5:$E$18,MATCH("2025|"&amp;A879,Journaux!$A$5:$A$18,0))</f>
      </c>
      <c r="P879" s="0">
        <f>INDEX(Comptes!$K$5:$K$42,MATCH(E879,Comptes!$A$5:$A$42,0))</f>
      </c>
      <c r="Q879" s="0" t="inlineStr">
        <is>
          <t xml:space="preserve">4</t>
        </is>
      </c>
      <c r="R879" s="7" t="inlineStr">
        <is>
          <t xml:space="preserve">401000|F001</t>
        </is>
      </c>
    </row>
    <row r="880">
      <c r="A880" s="4" t="inlineStr">
        <is>
          <t xml:space="preserve">BQ</t>
        </is>
      </c>
      <c r="B880" s="0" t="inlineStr">
        <is>
          <t xml:space="preserve">Banque Fictive</t>
        </is>
      </c>
      <c r="C880" s="0" t="inlineStr">
        <is>
          <t xml:space="preserve">BQ00178</t>
        </is>
      </c>
      <c r="D880" s="10">
        <v>46002</v>
      </c>
      <c r="E880" s="4" t="inlineStr">
        <is>
          <t xml:space="preserve">512000</t>
        </is>
      </c>
      <c r="F880" s="0" t="inlineStr">
        <is>
          <t xml:space="preserve">Banque Fictive</t>
        </is>
      </c>
      <c r="G880" s="0" t="inlineStr">
        <is>
          <t xml:space="preserve">DEC-F001-2025103</t>
        </is>
      </c>
      <c r="H880" s="0" t="inlineStr">
        <is>
          <t xml:space="preserve">Reglement fournisseur Scierie du Nord F001-2025103</t>
        </is>
      </c>
      <c r="I880" s="8">
        <v>0</v>
      </c>
      <c r="J880" s="8">
        <v>25031.63</v>
      </c>
      <c r="K880" s="0"/>
      <c r="L880" s="0"/>
      <c r="M880" s="8">
        <f>I880-J880</f>
      </c>
      <c r="N880" s="0" t="inlineStr">
        <is>
          <t xml:space="preserve">2025-12</t>
        </is>
      </c>
      <c r="O880" s="0">
        <f>INDEX(Journaux!$E$5:$E$18,MATCH("2025|"&amp;A880,Journaux!$A$5:$A$18,0))</f>
      </c>
      <c r="P880" s="0">
        <f>INDEX(Comptes!$K$5:$K$42,MATCH(E880,Comptes!$A$5:$A$42,0))</f>
      </c>
      <c r="Q880" s="0" t="inlineStr">
        <is>
          <t xml:space="preserve">5</t>
        </is>
      </c>
    </row>
    <row r="881">
      <c r="A881" s="4" t="inlineStr">
        <is>
          <t xml:space="preserve">VT</t>
        </is>
      </c>
      <c r="B881" s="0" t="inlineStr">
        <is>
          <t xml:space="preserve">Journal des ventes</t>
        </is>
      </c>
      <c r="C881" s="0" t="inlineStr">
        <is>
          <t xml:space="preserve">VT00057</t>
        </is>
      </c>
      <c r="D881" s="10">
        <v>46003</v>
      </c>
      <c r="E881" s="4" t="inlineStr">
        <is>
          <t xml:space="preserve">411000</t>
        </is>
      </c>
      <c r="F881" s="0" t="inlineStr">
        <is>
          <t xml:space="preserve">Clients</t>
        </is>
      </c>
      <c r="G881" s="0" t="inlineStr">
        <is>
          <t xml:space="preserve">FA2025-0057</t>
        </is>
      </c>
      <c r="H881" s="0" t="inlineStr">
        <is>
          <t xml:space="preserve">Facture FA2025-0057 Cabinet Varenne Associes</t>
        </is>
      </c>
      <c r="I881" s="8">
        <v>19145.18</v>
      </c>
      <c r="J881" s="8">
        <v>0</v>
      </c>
      <c r="K881" s="0"/>
      <c r="L881" s="0" t="inlineStr">
        <is>
          <t xml:space="preserve">Cabinet Varenne Associes</t>
        </is>
      </c>
      <c r="M881" s="8">
        <f>I881-J881</f>
      </c>
      <c r="N881" s="0" t="inlineStr">
        <is>
          <t xml:space="preserve">2025-12</t>
        </is>
      </c>
      <c r="O881" s="0">
        <f>INDEX(Journaux!$E$5:$E$18,MATCH("2025|"&amp;A881,Journaux!$A$5:$A$18,0))</f>
      </c>
      <c r="P881" s="0">
        <f>INDEX(Comptes!$K$5:$K$42,MATCH(E881,Comptes!$A$5:$A$42,0))</f>
      </c>
      <c r="Q881" s="0" t="inlineStr">
        <is>
          <t xml:space="preserve">4</t>
        </is>
      </c>
      <c r="R881" s="7" t="inlineStr">
        <is>
          <t xml:space="preserve">411000|C004</t>
        </is>
      </c>
    </row>
    <row r="882">
      <c r="A882" s="4" t="inlineStr">
        <is>
          <t xml:space="preserve">VT</t>
        </is>
      </c>
      <c r="B882" s="0" t="inlineStr">
        <is>
          <t xml:space="preserve">Journal des ventes</t>
        </is>
      </c>
      <c r="C882" s="0" t="inlineStr">
        <is>
          <t xml:space="preserve">VT00057</t>
        </is>
      </c>
      <c r="D882" s="10">
        <v>46003</v>
      </c>
      <c r="E882" s="4" t="inlineStr">
        <is>
          <t xml:space="preserve">701000</t>
        </is>
      </c>
      <c r="F882" s="0" t="inlineStr">
        <is>
          <t xml:space="preserve">Ventes de produits finis</t>
        </is>
      </c>
      <c r="G882" s="0" t="inlineStr">
        <is>
          <t xml:space="preserve">FA2025-0057</t>
        </is>
      </c>
      <c r="H882" s="0" t="inlineStr">
        <is>
          <t xml:space="preserve">Facture FA2025-0057 Cabinet Varenne Associes</t>
        </is>
      </c>
      <c r="I882" s="8">
        <v>0</v>
      </c>
      <c r="J882" s="8">
        <v>15954.32</v>
      </c>
      <c r="K882" s="0"/>
      <c r="L882" s="0"/>
      <c r="M882" s="8">
        <f>I882-J882</f>
      </c>
      <c r="N882" s="0" t="inlineStr">
        <is>
          <t xml:space="preserve">2025-12</t>
        </is>
      </c>
      <c r="O882" s="0">
        <f>INDEX(Journaux!$E$5:$E$18,MATCH("2025|"&amp;A882,Journaux!$A$5:$A$18,0))</f>
      </c>
      <c r="P882" s="0">
        <f>INDEX(Comptes!$K$5:$K$42,MATCH(E882,Comptes!$A$5:$A$42,0))</f>
      </c>
      <c r="Q882" s="0" t="inlineStr">
        <is>
          <t xml:space="preserve">7</t>
        </is>
      </c>
    </row>
    <row r="883">
      <c r="A883" s="4" t="inlineStr">
        <is>
          <t xml:space="preserve">VT</t>
        </is>
      </c>
      <c r="B883" s="0" t="inlineStr">
        <is>
          <t xml:space="preserve">Journal des ventes</t>
        </is>
      </c>
      <c r="C883" s="0" t="inlineStr">
        <is>
          <t xml:space="preserve">VT00057</t>
        </is>
      </c>
      <c r="D883" s="10">
        <v>46003</v>
      </c>
      <c r="E883" s="4" t="inlineStr">
        <is>
          <t xml:space="preserve">445710</t>
        </is>
      </c>
      <c r="F883" s="0" t="inlineStr">
        <is>
          <t xml:space="preserve">TVA collectee</t>
        </is>
      </c>
      <c r="G883" s="0" t="inlineStr">
        <is>
          <t xml:space="preserve">FA2025-0057</t>
        </is>
      </c>
      <c r="H883" s="0" t="inlineStr">
        <is>
          <t xml:space="preserve">Facture FA2025-0057 Cabinet Varenne Associes</t>
        </is>
      </c>
      <c r="I883" s="8">
        <v>0</v>
      </c>
      <c r="J883" s="8">
        <v>3190.86</v>
      </c>
      <c r="K883" s="0"/>
      <c r="L883" s="0"/>
      <c r="M883" s="8">
        <f>I883-J883</f>
      </c>
      <c r="N883" s="0" t="inlineStr">
        <is>
          <t xml:space="preserve">2025-12</t>
        </is>
      </c>
      <c r="O883" s="0">
        <f>INDEX(Journaux!$E$5:$E$18,MATCH("2025|"&amp;A883,Journaux!$A$5:$A$18,0))</f>
      </c>
      <c r="P883" s="0">
        <f>INDEX(Comptes!$K$5:$K$42,MATCH(E883,Comptes!$A$5:$A$42,0))</f>
      </c>
      <c r="Q883" s="0" t="inlineStr">
        <is>
          <t xml:space="preserve">4</t>
        </is>
      </c>
    </row>
    <row r="884">
      <c r="A884" s="4" t="inlineStr">
        <is>
          <t xml:space="preserve">BQ</t>
        </is>
      </c>
      <c r="B884" s="0" t="inlineStr">
        <is>
          <t xml:space="preserve">Banque Fictive</t>
        </is>
      </c>
      <c r="C884" s="0" t="inlineStr">
        <is>
          <t xml:space="preserve">BQ00170</t>
        </is>
      </c>
      <c r="D884" s="10">
        <v>46006</v>
      </c>
      <c r="E884" s="4" t="inlineStr">
        <is>
          <t xml:space="preserve">401000</t>
        </is>
      </c>
      <c r="F884" s="0" t="inlineStr">
        <is>
          <t xml:space="preserve">Fournisseurs</t>
        </is>
      </c>
      <c r="G884" s="0" t="inlineStr">
        <is>
          <t xml:space="preserve">DEC-F001-2025091</t>
        </is>
      </c>
      <c r="H884" s="0" t="inlineStr">
        <is>
          <t xml:space="preserve">Reglement fournisseur Scierie du Nord F001-2025091</t>
        </is>
      </c>
      <c r="I884" s="8">
        <v>15005.32</v>
      </c>
      <c r="J884" s="8">
        <v>0</v>
      </c>
      <c r="K884" s="0" t="inlineStr">
        <is>
          <t xml:space="preserve">ADG</t>
        </is>
      </c>
      <c r="L884" s="0" t="inlineStr">
        <is>
          <t xml:space="preserve">Scierie du Nord</t>
        </is>
      </c>
      <c r="M884" s="8">
        <f>I884-J884</f>
      </c>
      <c r="N884" s="0" t="inlineStr">
        <is>
          <t xml:space="preserve">2025-12</t>
        </is>
      </c>
      <c r="O884" s="0">
        <f>INDEX(Journaux!$E$5:$E$18,MATCH("2025|"&amp;A884,Journaux!$A$5:$A$18,0))</f>
      </c>
      <c r="P884" s="0">
        <f>INDEX(Comptes!$K$5:$K$42,MATCH(E884,Comptes!$A$5:$A$42,0))</f>
      </c>
      <c r="Q884" s="0" t="inlineStr">
        <is>
          <t xml:space="preserve">4</t>
        </is>
      </c>
      <c r="R884" s="7" t="inlineStr">
        <is>
          <t xml:space="preserve">401000|F001</t>
        </is>
      </c>
    </row>
    <row r="885">
      <c r="A885" s="4" t="inlineStr">
        <is>
          <t xml:space="preserve">BQ</t>
        </is>
      </c>
      <c r="B885" s="0" t="inlineStr">
        <is>
          <t xml:space="preserve">Banque Fictive</t>
        </is>
      </c>
      <c r="C885" s="0" t="inlineStr">
        <is>
          <t xml:space="preserve">BQ00170</t>
        </is>
      </c>
      <c r="D885" s="10">
        <v>46006</v>
      </c>
      <c r="E885" s="4" t="inlineStr">
        <is>
          <t xml:space="preserve">512000</t>
        </is>
      </c>
      <c r="F885" s="0" t="inlineStr">
        <is>
          <t xml:space="preserve">Banque Fictive</t>
        </is>
      </c>
      <c r="G885" s="0" t="inlineStr">
        <is>
          <t xml:space="preserve">DEC-F001-2025091</t>
        </is>
      </c>
      <c r="H885" s="0" t="inlineStr">
        <is>
          <t xml:space="preserve">Reglement fournisseur Scierie du Nord F001-2025091</t>
        </is>
      </c>
      <c r="I885" s="8">
        <v>0</v>
      </c>
      <c r="J885" s="8">
        <v>15005.32</v>
      </c>
      <c r="K885" s="0"/>
      <c r="L885" s="0"/>
      <c r="M885" s="8">
        <f>I885-J885</f>
      </c>
      <c r="N885" s="0" t="inlineStr">
        <is>
          <t xml:space="preserve">2025-12</t>
        </is>
      </c>
      <c r="O885" s="0">
        <f>INDEX(Journaux!$E$5:$E$18,MATCH("2025|"&amp;A885,Journaux!$A$5:$A$18,0))</f>
      </c>
      <c r="P885" s="0">
        <f>INDEX(Comptes!$K$5:$K$42,MATCH(E885,Comptes!$A$5:$A$42,0))</f>
      </c>
      <c r="Q885" s="0" t="inlineStr">
        <is>
          <t xml:space="preserve">5</t>
        </is>
      </c>
    </row>
    <row r="886">
      <c r="A886" s="4" t="inlineStr">
        <is>
          <t xml:space="preserve">BQ</t>
        </is>
      </c>
      <c r="B886" s="0" t="inlineStr">
        <is>
          <t xml:space="preserve">Banque Fictive</t>
        </is>
      </c>
      <c r="C886" s="0" t="inlineStr">
        <is>
          <t xml:space="preserve">BQ00187</t>
        </is>
      </c>
      <c r="D886" s="10">
        <v>46006</v>
      </c>
      <c r="E886" s="4" t="inlineStr">
        <is>
          <t xml:space="preserve">635110</t>
        </is>
      </c>
      <c r="F886" s="0" t="inlineStr">
        <is>
          <t xml:space="preserve">Cotisation fonciere des entreprises</t>
        </is>
      </c>
      <c r="G886" s="0" t="inlineStr">
        <is>
          <t xml:space="preserve">CFE2025</t>
        </is>
      </c>
      <c r="H886" s="0" t="inlineStr">
        <is>
          <t xml:space="preserve">CFE 2025</t>
        </is>
      </c>
      <c r="I886" s="8">
        <v>4500</v>
      </c>
      <c r="J886" s="8">
        <v>0</v>
      </c>
      <c r="K886" s="0"/>
      <c r="L886" s="0"/>
      <c r="M886" s="8">
        <f>I886-J886</f>
      </c>
      <c r="N886" s="0" t="inlineStr">
        <is>
          <t xml:space="preserve">2025-12</t>
        </is>
      </c>
      <c r="O886" s="0">
        <f>INDEX(Journaux!$E$5:$E$18,MATCH("2025|"&amp;A886,Journaux!$A$5:$A$18,0))</f>
      </c>
      <c r="P886" s="0">
        <f>INDEX(Comptes!$K$5:$K$42,MATCH(E886,Comptes!$A$5:$A$42,0))</f>
      </c>
      <c r="Q886" s="0" t="inlineStr">
        <is>
          <t xml:space="preserve">6</t>
        </is>
      </c>
    </row>
    <row r="887">
      <c r="A887" s="4" t="inlineStr">
        <is>
          <t xml:space="preserve">BQ</t>
        </is>
      </c>
      <c r="B887" s="0" t="inlineStr">
        <is>
          <t xml:space="preserve">Banque Fictive</t>
        </is>
      </c>
      <c r="C887" s="0" t="inlineStr">
        <is>
          <t xml:space="preserve">BQ00187</t>
        </is>
      </c>
      <c r="D887" s="10">
        <v>46006</v>
      </c>
      <c r="E887" s="4" t="inlineStr">
        <is>
          <t xml:space="preserve">512000</t>
        </is>
      </c>
      <c r="F887" s="0" t="inlineStr">
        <is>
          <t xml:space="preserve">Banque Fictive</t>
        </is>
      </c>
      <c r="G887" s="0" t="inlineStr">
        <is>
          <t xml:space="preserve">CFE2025</t>
        </is>
      </c>
      <c r="H887" s="0" t="inlineStr">
        <is>
          <t xml:space="preserve">CFE 2025</t>
        </is>
      </c>
      <c r="I887" s="8">
        <v>0</v>
      </c>
      <c r="J887" s="8">
        <v>4500</v>
      </c>
      <c r="K887" s="0"/>
      <c r="L887" s="0"/>
      <c r="M887" s="8">
        <f>I887-J887</f>
      </c>
      <c r="N887" s="0" t="inlineStr">
        <is>
          <t xml:space="preserve">2025-12</t>
        </is>
      </c>
      <c r="O887" s="0">
        <f>INDEX(Journaux!$E$5:$E$18,MATCH("2025|"&amp;A887,Journaux!$A$5:$A$18,0))</f>
      </c>
      <c r="P887" s="0">
        <f>INDEX(Comptes!$K$5:$K$42,MATCH(E887,Comptes!$A$5:$A$42,0))</f>
      </c>
      <c r="Q887" s="0" t="inlineStr">
        <is>
          <t xml:space="preserve">5</t>
        </is>
      </c>
    </row>
    <row r="888">
      <c r="A888" s="4" t="inlineStr">
        <is>
          <t xml:space="preserve">VT</t>
        </is>
      </c>
      <c r="B888" s="0" t="inlineStr">
        <is>
          <t xml:space="preserve">Journal des ventes</t>
        </is>
      </c>
      <c r="C888" s="0" t="inlineStr">
        <is>
          <t xml:space="preserve">VT00056</t>
        </is>
      </c>
      <c r="D888" s="10">
        <v>46006</v>
      </c>
      <c r="E888" s="4" t="inlineStr">
        <is>
          <t xml:space="preserve">411000</t>
        </is>
      </c>
      <c r="F888" s="0" t="inlineStr">
        <is>
          <t xml:space="preserve">Clients</t>
        </is>
      </c>
      <c r="G888" s="0" t="inlineStr">
        <is>
          <t xml:space="preserve">FA2025-0056</t>
        </is>
      </c>
      <c r="H888" s="0" t="inlineStr">
        <is>
          <t xml:space="preserve">Facture FA2025-0056 Cabinet Varenne Associes</t>
        </is>
      </c>
      <c r="I888" s="8">
        <v>31585.45</v>
      </c>
      <c r="J888" s="8">
        <v>0</v>
      </c>
      <c r="K888" s="0"/>
      <c r="L888" s="0" t="inlineStr">
        <is>
          <t xml:space="preserve">Cabinet Varenne Associes</t>
        </is>
      </c>
      <c r="M888" s="8">
        <f>I888-J888</f>
      </c>
      <c r="N888" s="0" t="inlineStr">
        <is>
          <t xml:space="preserve">2025-12</t>
        </is>
      </c>
      <c r="O888" s="0">
        <f>INDEX(Journaux!$E$5:$E$18,MATCH("2025|"&amp;A888,Journaux!$A$5:$A$18,0))</f>
      </c>
      <c r="P888" s="0">
        <f>INDEX(Comptes!$K$5:$K$42,MATCH(E888,Comptes!$A$5:$A$42,0))</f>
      </c>
      <c r="Q888" s="0" t="inlineStr">
        <is>
          <t xml:space="preserve">4</t>
        </is>
      </c>
      <c r="R888" s="7" t="inlineStr">
        <is>
          <t xml:space="preserve">411000|C004</t>
        </is>
      </c>
    </row>
    <row r="889">
      <c r="A889" s="4" t="inlineStr">
        <is>
          <t xml:space="preserve">VT</t>
        </is>
      </c>
      <c r="B889" s="0" t="inlineStr">
        <is>
          <t xml:space="preserve">Journal des ventes</t>
        </is>
      </c>
      <c r="C889" s="0" t="inlineStr">
        <is>
          <t xml:space="preserve">VT00056</t>
        </is>
      </c>
      <c r="D889" s="10">
        <v>46006</v>
      </c>
      <c r="E889" s="4" t="inlineStr">
        <is>
          <t xml:space="preserve">701000</t>
        </is>
      </c>
      <c r="F889" s="0" t="inlineStr">
        <is>
          <t xml:space="preserve">Ventes de produits finis</t>
        </is>
      </c>
      <c r="G889" s="0" t="inlineStr">
        <is>
          <t xml:space="preserve">FA2025-0056</t>
        </is>
      </c>
      <c r="H889" s="0" t="inlineStr">
        <is>
          <t xml:space="preserve">Facture FA2025-0056 Cabinet Varenne Associes</t>
        </is>
      </c>
      <c r="I889" s="8">
        <v>0</v>
      </c>
      <c r="J889" s="8">
        <v>26321.21</v>
      </c>
      <c r="K889" s="0"/>
      <c r="L889" s="0"/>
      <c r="M889" s="8">
        <f>I889-J889</f>
      </c>
      <c r="N889" s="0" t="inlineStr">
        <is>
          <t xml:space="preserve">2025-12</t>
        </is>
      </c>
      <c r="O889" s="0">
        <f>INDEX(Journaux!$E$5:$E$18,MATCH("2025|"&amp;A889,Journaux!$A$5:$A$18,0))</f>
      </c>
      <c r="P889" s="0">
        <f>INDEX(Comptes!$K$5:$K$42,MATCH(E889,Comptes!$A$5:$A$42,0))</f>
      </c>
      <c r="Q889" s="0" t="inlineStr">
        <is>
          <t xml:space="preserve">7</t>
        </is>
      </c>
    </row>
    <row r="890">
      <c r="A890" s="4" t="inlineStr">
        <is>
          <t xml:space="preserve">VT</t>
        </is>
      </c>
      <c r="B890" s="0" t="inlineStr">
        <is>
          <t xml:space="preserve">Journal des ventes</t>
        </is>
      </c>
      <c r="C890" s="0" t="inlineStr">
        <is>
          <t xml:space="preserve">VT00056</t>
        </is>
      </c>
      <c r="D890" s="10">
        <v>46006</v>
      </c>
      <c r="E890" s="4" t="inlineStr">
        <is>
          <t xml:space="preserve">445710</t>
        </is>
      </c>
      <c r="F890" s="0" t="inlineStr">
        <is>
          <t xml:space="preserve">TVA collectee</t>
        </is>
      </c>
      <c r="G890" s="0" t="inlineStr">
        <is>
          <t xml:space="preserve">FA2025-0056</t>
        </is>
      </c>
      <c r="H890" s="0" t="inlineStr">
        <is>
          <t xml:space="preserve">Facture FA2025-0056 Cabinet Varenne Associes</t>
        </is>
      </c>
      <c r="I890" s="8">
        <v>0</v>
      </c>
      <c r="J890" s="8">
        <v>5264.24</v>
      </c>
      <c r="K890" s="0"/>
      <c r="L890" s="0"/>
      <c r="M890" s="8">
        <f>I890-J890</f>
      </c>
      <c r="N890" s="0" t="inlineStr">
        <is>
          <t xml:space="preserve">2025-12</t>
        </is>
      </c>
      <c r="O890" s="0">
        <f>INDEX(Journaux!$E$5:$E$18,MATCH("2025|"&amp;A890,Journaux!$A$5:$A$18,0))</f>
      </c>
      <c r="P890" s="0">
        <f>INDEX(Comptes!$K$5:$K$42,MATCH(E890,Comptes!$A$5:$A$42,0))</f>
      </c>
      <c r="Q890" s="0" t="inlineStr">
        <is>
          <t xml:space="preserve">4</t>
        </is>
      </c>
    </row>
    <row r="891">
      <c r="A891" s="4" t="inlineStr">
        <is>
          <t xml:space="preserve">BQ</t>
        </is>
      </c>
      <c r="B891" s="0" t="inlineStr">
        <is>
          <t xml:space="preserve">Banque Fictive</t>
        </is>
      </c>
      <c r="C891" s="0" t="inlineStr">
        <is>
          <t xml:space="preserve">BQ00111</t>
        </is>
      </c>
      <c r="D891" s="10">
        <v>46007</v>
      </c>
      <c r="E891" s="4" t="inlineStr">
        <is>
          <t xml:space="preserve">512000</t>
        </is>
      </c>
      <c r="F891" s="0" t="inlineStr">
        <is>
          <t xml:space="preserve">Banque Fictive</t>
        </is>
      </c>
      <c r="G891" s="0" t="inlineStr">
        <is>
          <t xml:space="preserve">ENC-FA2025-0044</t>
        </is>
      </c>
      <c r="H891" s="0" t="inlineStr">
        <is>
          <t xml:space="preserve">Reglement client Hotel Les Tilleuls FA2025-0044</t>
        </is>
      </c>
      <c r="I891" s="8">
        <v>31139.5</v>
      </c>
      <c r="J891" s="8">
        <v>0</v>
      </c>
      <c r="K891" s="0"/>
      <c r="L891" s="0"/>
      <c r="M891" s="8">
        <f>I891-J891</f>
      </c>
      <c r="N891" s="0" t="inlineStr">
        <is>
          <t xml:space="preserve">2025-12</t>
        </is>
      </c>
      <c r="O891" s="0">
        <f>INDEX(Journaux!$E$5:$E$18,MATCH("2025|"&amp;A891,Journaux!$A$5:$A$18,0))</f>
      </c>
      <c r="P891" s="0">
        <f>INDEX(Comptes!$K$5:$K$42,MATCH(E891,Comptes!$A$5:$A$42,0))</f>
      </c>
      <c r="Q891" s="0" t="inlineStr">
        <is>
          <t xml:space="preserve">5</t>
        </is>
      </c>
    </row>
    <row r="892">
      <c r="A892" s="4" t="inlineStr">
        <is>
          <t xml:space="preserve">BQ</t>
        </is>
      </c>
      <c r="B892" s="0" t="inlineStr">
        <is>
          <t xml:space="preserve">Banque Fictive</t>
        </is>
      </c>
      <c r="C892" s="0" t="inlineStr">
        <is>
          <t xml:space="preserve">BQ00111</t>
        </is>
      </c>
      <c r="D892" s="10">
        <v>46007</v>
      </c>
      <c r="E892" s="4" t="inlineStr">
        <is>
          <t xml:space="preserve">411000</t>
        </is>
      </c>
      <c r="F892" s="0" t="inlineStr">
        <is>
          <t xml:space="preserve">Clients</t>
        </is>
      </c>
      <c r="G892" s="0" t="inlineStr">
        <is>
          <t xml:space="preserve">ENC-FA2025-0044</t>
        </is>
      </c>
      <c r="H892" s="0" t="inlineStr">
        <is>
          <t xml:space="preserve">Reglement client Hotel Les Tilleuls FA2025-0044</t>
        </is>
      </c>
      <c r="I892" s="8">
        <v>0</v>
      </c>
      <c r="J892" s="8">
        <v>31139.5</v>
      </c>
      <c r="K892" s="0" t="inlineStr">
        <is>
          <t xml:space="preserve">AAZ</t>
        </is>
      </c>
      <c r="L892" s="0" t="inlineStr">
        <is>
          <t xml:space="preserve">Hotel Les Tilleuls</t>
        </is>
      </c>
      <c r="M892" s="8">
        <f>I892-J892</f>
      </c>
      <c r="N892" s="0" t="inlineStr">
        <is>
          <t xml:space="preserve">2025-12</t>
        </is>
      </c>
      <c r="O892" s="0">
        <f>INDEX(Journaux!$E$5:$E$18,MATCH("2025|"&amp;A892,Journaux!$A$5:$A$18,0))</f>
      </c>
      <c r="P892" s="0">
        <f>INDEX(Comptes!$K$5:$K$42,MATCH(E892,Comptes!$A$5:$A$42,0))</f>
      </c>
      <c r="Q892" s="0" t="inlineStr">
        <is>
          <t xml:space="preserve">4</t>
        </is>
      </c>
      <c r="R892" s="7" t="inlineStr">
        <is>
          <t xml:space="preserve">411000|C001</t>
        </is>
      </c>
    </row>
    <row r="893">
      <c r="A893" s="4" t="inlineStr">
        <is>
          <t xml:space="preserve">VT</t>
        </is>
      </c>
      <c r="B893" s="0" t="inlineStr">
        <is>
          <t xml:space="preserve">Journal des ventes</t>
        </is>
      </c>
      <c r="C893" s="0" t="inlineStr">
        <is>
          <t xml:space="preserve">VT00058</t>
        </is>
      </c>
      <c r="D893" s="10">
        <v>46009</v>
      </c>
      <c r="E893" s="4" t="inlineStr">
        <is>
          <t xml:space="preserve">411000</t>
        </is>
      </c>
      <c r="F893" s="0" t="inlineStr">
        <is>
          <t xml:space="preserve">Clients</t>
        </is>
      </c>
      <c r="G893" s="0" t="inlineStr">
        <is>
          <t xml:space="preserve">FA2025-0058</t>
        </is>
      </c>
      <c r="H893" s="0" t="inlineStr">
        <is>
          <t xml:space="preserve">Facture FA2025-0058 Clinique du Parc</t>
        </is>
      </c>
      <c r="I893" s="8">
        <v>24656.02</v>
      </c>
      <c r="J893" s="8">
        <v>0</v>
      </c>
      <c r="K893" s="0"/>
      <c r="L893" s="0" t="inlineStr">
        <is>
          <t xml:space="preserve">Clinique du Parc</t>
        </is>
      </c>
      <c r="M893" s="8">
        <f>I893-J893</f>
      </c>
      <c r="N893" s="0" t="inlineStr">
        <is>
          <t xml:space="preserve">2025-12</t>
        </is>
      </c>
      <c r="O893" s="0">
        <f>INDEX(Journaux!$E$5:$E$18,MATCH("2025|"&amp;A893,Journaux!$A$5:$A$18,0))</f>
      </c>
      <c r="P893" s="0">
        <f>INDEX(Comptes!$K$5:$K$42,MATCH(E893,Comptes!$A$5:$A$42,0))</f>
      </c>
      <c r="Q893" s="0" t="inlineStr">
        <is>
          <t xml:space="preserve">4</t>
        </is>
      </c>
      <c r="R893" s="7" t="inlineStr">
        <is>
          <t xml:space="preserve">411000|C006</t>
        </is>
      </c>
    </row>
    <row r="894">
      <c r="A894" s="4" t="inlineStr">
        <is>
          <t xml:space="preserve">VT</t>
        </is>
      </c>
      <c r="B894" s="0" t="inlineStr">
        <is>
          <t xml:space="preserve">Journal des ventes</t>
        </is>
      </c>
      <c r="C894" s="0" t="inlineStr">
        <is>
          <t xml:space="preserve">VT00058</t>
        </is>
      </c>
      <c r="D894" s="10">
        <v>46009</v>
      </c>
      <c r="E894" s="4" t="inlineStr">
        <is>
          <t xml:space="preserve">701000</t>
        </is>
      </c>
      <c r="F894" s="0" t="inlineStr">
        <is>
          <t xml:space="preserve">Ventes de produits finis</t>
        </is>
      </c>
      <c r="G894" s="0" t="inlineStr">
        <is>
          <t xml:space="preserve">FA2025-0058</t>
        </is>
      </c>
      <c r="H894" s="0" t="inlineStr">
        <is>
          <t xml:space="preserve">Facture FA2025-0058 Clinique du Parc</t>
        </is>
      </c>
      <c r="I894" s="8">
        <v>0</v>
      </c>
      <c r="J894" s="8">
        <v>20546.68</v>
      </c>
      <c r="K894" s="0"/>
      <c r="L894" s="0"/>
      <c r="M894" s="8">
        <f>I894-J894</f>
      </c>
      <c r="N894" s="0" t="inlineStr">
        <is>
          <t xml:space="preserve">2025-12</t>
        </is>
      </c>
      <c r="O894" s="0">
        <f>INDEX(Journaux!$E$5:$E$18,MATCH("2025|"&amp;A894,Journaux!$A$5:$A$18,0))</f>
      </c>
      <c r="P894" s="0">
        <f>INDEX(Comptes!$K$5:$K$42,MATCH(E894,Comptes!$A$5:$A$42,0))</f>
      </c>
      <c r="Q894" s="0" t="inlineStr">
        <is>
          <t xml:space="preserve">7</t>
        </is>
      </c>
    </row>
    <row r="895">
      <c r="A895" s="4" t="inlineStr">
        <is>
          <t xml:space="preserve">VT</t>
        </is>
      </c>
      <c r="B895" s="0" t="inlineStr">
        <is>
          <t xml:space="preserve">Journal des ventes</t>
        </is>
      </c>
      <c r="C895" s="0" t="inlineStr">
        <is>
          <t xml:space="preserve">VT00058</t>
        </is>
      </c>
      <c r="D895" s="10">
        <v>46009</v>
      </c>
      <c r="E895" s="4" t="inlineStr">
        <is>
          <t xml:space="preserve">445710</t>
        </is>
      </c>
      <c r="F895" s="0" t="inlineStr">
        <is>
          <t xml:space="preserve">TVA collectee</t>
        </is>
      </c>
      <c r="G895" s="0" t="inlineStr">
        <is>
          <t xml:space="preserve">FA2025-0058</t>
        </is>
      </c>
      <c r="H895" s="0" t="inlineStr">
        <is>
          <t xml:space="preserve">Facture FA2025-0058 Clinique du Parc</t>
        </is>
      </c>
      <c r="I895" s="8">
        <v>0</v>
      </c>
      <c r="J895" s="8">
        <v>4109.34</v>
      </c>
      <c r="K895" s="0"/>
      <c r="L895" s="0"/>
      <c r="M895" s="8">
        <f>I895-J895</f>
      </c>
      <c r="N895" s="0" t="inlineStr">
        <is>
          <t xml:space="preserve">2025-12</t>
        </is>
      </c>
      <c r="O895" s="0">
        <f>INDEX(Journaux!$E$5:$E$18,MATCH("2025|"&amp;A895,Journaux!$A$5:$A$18,0))</f>
      </c>
      <c r="P895" s="0">
        <f>INDEX(Comptes!$K$5:$K$42,MATCH(E895,Comptes!$A$5:$A$42,0))</f>
      </c>
      <c r="Q895" s="0" t="inlineStr">
        <is>
          <t xml:space="preserve">4</t>
        </is>
      </c>
    </row>
    <row r="896">
      <c r="A896" s="4" t="inlineStr">
        <is>
          <t xml:space="preserve">BQ</t>
        </is>
      </c>
      <c r="B896" s="0" t="inlineStr">
        <is>
          <t xml:space="preserve">Banque Fictive</t>
        </is>
      </c>
      <c r="C896" s="0" t="inlineStr">
        <is>
          <t xml:space="preserve">BQ00058</t>
        </is>
      </c>
      <c r="D896" s="10">
        <v>46011</v>
      </c>
      <c r="E896" s="4" t="inlineStr">
        <is>
          <t xml:space="preserve">445510</t>
        </is>
      </c>
      <c r="F896" s="0" t="inlineStr">
        <is>
          <t xml:space="preserve">TVA a decaisser</t>
        </is>
      </c>
      <c r="G896" s="0" t="inlineStr">
        <is>
          <t xml:space="preserve">TVA202511</t>
        </is>
      </c>
      <c r="H896" s="0" t="inlineStr">
        <is>
          <t xml:space="preserve">Reglement TVA 11/2025</t>
        </is>
      </c>
      <c r="I896" s="8">
        <v>11227.16</v>
      </c>
      <c r="J896" s="8">
        <v>0</v>
      </c>
      <c r="K896" s="0"/>
      <c r="L896" s="0"/>
      <c r="M896" s="8">
        <f>I896-J896</f>
      </c>
      <c r="N896" s="0" t="inlineStr">
        <is>
          <t xml:space="preserve">2025-12</t>
        </is>
      </c>
      <c r="O896" s="0">
        <f>INDEX(Journaux!$E$5:$E$18,MATCH("2025|"&amp;A896,Journaux!$A$5:$A$18,0))</f>
      </c>
      <c r="P896" s="0">
        <f>INDEX(Comptes!$K$5:$K$42,MATCH(E896,Comptes!$A$5:$A$42,0))</f>
      </c>
      <c r="Q896" s="0" t="inlineStr">
        <is>
          <t xml:space="preserve">4</t>
        </is>
      </c>
    </row>
    <row r="897">
      <c r="A897" s="4" t="inlineStr">
        <is>
          <t xml:space="preserve">BQ</t>
        </is>
      </c>
      <c r="B897" s="0" t="inlineStr">
        <is>
          <t xml:space="preserve">Banque Fictive</t>
        </is>
      </c>
      <c r="C897" s="0" t="inlineStr">
        <is>
          <t xml:space="preserve">BQ00058</t>
        </is>
      </c>
      <c r="D897" s="10">
        <v>46011</v>
      </c>
      <c r="E897" s="4" t="inlineStr">
        <is>
          <t xml:space="preserve">512000</t>
        </is>
      </c>
      <c r="F897" s="0" t="inlineStr">
        <is>
          <t xml:space="preserve">Banque Fictive</t>
        </is>
      </c>
      <c r="G897" s="0" t="inlineStr">
        <is>
          <t xml:space="preserve">TVA202511</t>
        </is>
      </c>
      <c r="H897" s="0" t="inlineStr">
        <is>
          <t xml:space="preserve">Reglement TVA 11/2025</t>
        </is>
      </c>
      <c r="I897" s="8">
        <v>0</v>
      </c>
      <c r="J897" s="8">
        <v>11227.16</v>
      </c>
      <c r="K897" s="0"/>
      <c r="L897" s="0"/>
      <c r="M897" s="8">
        <f>I897-J897</f>
      </c>
      <c r="N897" s="0" t="inlineStr">
        <is>
          <t xml:space="preserve">2025-12</t>
        </is>
      </c>
      <c r="O897" s="0">
        <f>INDEX(Journaux!$E$5:$E$18,MATCH("2025|"&amp;A897,Journaux!$A$5:$A$18,0))</f>
      </c>
      <c r="P897" s="0">
        <f>INDEX(Comptes!$K$5:$K$42,MATCH(E897,Comptes!$A$5:$A$42,0))</f>
      </c>
      <c r="Q897" s="0" t="inlineStr">
        <is>
          <t xml:space="preserve">5</t>
        </is>
      </c>
    </row>
    <row r="898">
      <c r="A898" s="4" t="inlineStr">
        <is>
          <t xml:space="preserve">BQ</t>
        </is>
      </c>
      <c r="B898" s="0" t="inlineStr">
        <is>
          <t xml:space="preserve">Banque Fictive</t>
        </is>
      </c>
      <c r="C898" s="0" t="inlineStr">
        <is>
          <t xml:space="preserve">BQ00110</t>
        </is>
      </c>
      <c r="D898" s="10">
        <v>46013</v>
      </c>
      <c r="E898" s="4" t="inlineStr">
        <is>
          <t xml:space="preserve">512000</t>
        </is>
      </c>
      <c r="F898" s="0" t="inlineStr">
        <is>
          <t xml:space="preserve">Banque Fictive</t>
        </is>
      </c>
      <c r="G898" s="0" t="inlineStr">
        <is>
          <t xml:space="preserve">ENC-FA2025-0043</t>
        </is>
      </c>
      <c r="H898" s="0" t="inlineStr">
        <is>
          <t xml:space="preserve">Reglement client Hotel Les Tilleuls FA2025-0043</t>
        </is>
      </c>
      <c r="I898" s="8">
        <v>30225.71</v>
      </c>
      <c r="J898" s="8">
        <v>0</v>
      </c>
      <c r="K898" s="0"/>
      <c r="L898" s="0"/>
      <c r="M898" s="8">
        <f>I898-J898</f>
      </c>
      <c r="N898" s="0" t="inlineStr">
        <is>
          <t xml:space="preserve">2025-12</t>
        </is>
      </c>
      <c r="O898" s="0">
        <f>INDEX(Journaux!$E$5:$E$18,MATCH("2025|"&amp;A898,Journaux!$A$5:$A$18,0))</f>
      </c>
      <c r="P898" s="0">
        <f>INDEX(Comptes!$K$5:$K$42,MATCH(E898,Comptes!$A$5:$A$42,0))</f>
      </c>
      <c r="Q898" s="0" t="inlineStr">
        <is>
          <t xml:space="preserve">5</t>
        </is>
      </c>
    </row>
    <row r="899">
      <c r="A899" s="4" t="inlineStr">
        <is>
          <t xml:space="preserve">BQ</t>
        </is>
      </c>
      <c r="B899" s="0" t="inlineStr">
        <is>
          <t xml:space="preserve">Banque Fictive</t>
        </is>
      </c>
      <c r="C899" s="0" t="inlineStr">
        <is>
          <t xml:space="preserve">BQ00110</t>
        </is>
      </c>
      <c r="D899" s="10">
        <v>46013</v>
      </c>
      <c r="E899" s="4" t="inlineStr">
        <is>
          <t xml:space="preserve">411000</t>
        </is>
      </c>
      <c r="F899" s="0" t="inlineStr">
        <is>
          <t xml:space="preserve">Clients</t>
        </is>
      </c>
      <c r="G899" s="0" t="inlineStr">
        <is>
          <t xml:space="preserve">ENC-FA2025-0043</t>
        </is>
      </c>
      <c r="H899" s="0" t="inlineStr">
        <is>
          <t xml:space="preserve">Reglement client Hotel Les Tilleuls FA2025-0043</t>
        </is>
      </c>
      <c r="I899" s="8">
        <v>0</v>
      </c>
      <c r="J899" s="8">
        <v>30225.71</v>
      </c>
      <c r="K899" s="0" t="inlineStr">
        <is>
          <t xml:space="preserve">AAY</t>
        </is>
      </c>
      <c r="L899" s="0" t="inlineStr">
        <is>
          <t xml:space="preserve">Hotel Les Tilleuls</t>
        </is>
      </c>
      <c r="M899" s="8">
        <f>I899-J899</f>
      </c>
      <c r="N899" s="0" t="inlineStr">
        <is>
          <t xml:space="preserve">2025-12</t>
        </is>
      </c>
      <c r="O899" s="0">
        <f>INDEX(Journaux!$E$5:$E$18,MATCH("2025|"&amp;A899,Journaux!$A$5:$A$18,0))</f>
      </c>
      <c r="P899" s="0">
        <f>INDEX(Comptes!$K$5:$K$42,MATCH(E899,Comptes!$A$5:$A$42,0))</f>
      </c>
      <c r="Q899" s="0" t="inlineStr">
        <is>
          <t xml:space="preserve">4</t>
        </is>
      </c>
      <c r="R899" s="7" t="inlineStr">
        <is>
          <t xml:space="preserve">411000|C001</t>
        </is>
      </c>
    </row>
    <row r="900">
      <c r="A900" s="4" t="inlineStr">
        <is>
          <t xml:space="preserve">VT</t>
        </is>
      </c>
      <c r="B900" s="0" t="inlineStr">
        <is>
          <t xml:space="preserve">Journal des ventes</t>
        </is>
      </c>
      <c r="C900" s="0" t="inlineStr">
        <is>
          <t xml:space="preserve">VT00055</t>
        </is>
      </c>
      <c r="D900" s="10">
        <v>46014</v>
      </c>
      <c r="E900" s="4" t="inlineStr">
        <is>
          <t xml:space="preserve">411000</t>
        </is>
      </c>
      <c r="F900" s="0" t="inlineStr">
        <is>
          <t xml:space="preserve">Clients</t>
        </is>
      </c>
      <c r="G900" s="0" t="inlineStr">
        <is>
          <t xml:space="preserve">FA2025-0055</t>
        </is>
      </c>
      <c r="H900" s="0" t="inlineStr">
        <is>
          <t xml:space="preserve">Facture FA2025-0055 Hotel Les Tilleuls</t>
        </is>
      </c>
      <c r="I900" s="8">
        <v>24745.81</v>
      </c>
      <c r="J900" s="8">
        <v>0</v>
      </c>
      <c r="K900" s="0"/>
      <c r="L900" s="0" t="inlineStr">
        <is>
          <t xml:space="preserve">Hotel Les Tilleuls</t>
        </is>
      </c>
      <c r="M900" s="8">
        <f>I900-J900</f>
      </c>
      <c r="N900" s="0" t="inlineStr">
        <is>
          <t xml:space="preserve">2025-12</t>
        </is>
      </c>
      <c r="O900" s="0">
        <f>INDEX(Journaux!$E$5:$E$18,MATCH("2025|"&amp;A900,Journaux!$A$5:$A$18,0))</f>
      </c>
      <c r="P900" s="0">
        <f>INDEX(Comptes!$K$5:$K$42,MATCH(E900,Comptes!$A$5:$A$42,0))</f>
      </c>
      <c r="Q900" s="0" t="inlineStr">
        <is>
          <t xml:space="preserve">4</t>
        </is>
      </c>
      <c r="R900" s="7" t="inlineStr">
        <is>
          <t xml:space="preserve">411000|C001</t>
        </is>
      </c>
    </row>
    <row r="901">
      <c r="A901" s="4" t="inlineStr">
        <is>
          <t xml:space="preserve">VT</t>
        </is>
      </c>
      <c r="B901" s="0" t="inlineStr">
        <is>
          <t xml:space="preserve">Journal des ventes</t>
        </is>
      </c>
      <c r="C901" s="0" t="inlineStr">
        <is>
          <t xml:space="preserve">VT00055</t>
        </is>
      </c>
      <c r="D901" s="10">
        <v>46014</v>
      </c>
      <c r="E901" s="4" t="inlineStr">
        <is>
          <t xml:space="preserve">701000</t>
        </is>
      </c>
      <c r="F901" s="0" t="inlineStr">
        <is>
          <t xml:space="preserve">Ventes de produits finis</t>
        </is>
      </c>
      <c r="G901" s="0" t="inlineStr">
        <is>
          <t xml:space="preserve">FA2025-0055</t>
        </is>
      </c>
      <c r="H901" s="0" t="inlineStr">
        <is>
          <t xml:space="preserve">Facture FA2025-0055 Hotel Les Tilleuls</t>
        </is>
      </c>
      <c r="I901" s="8">
        <v>0</v>
      </c>
      <c r="J901" s="8">
        <v>20621.51</v>
      </c>
      <c r="K901" s="0"/>
      <c r="L901" s="0"/>
      <c r="M901" s="8">
        <f>I901-J901</f>
      </c>
      <c r="N901" s="0" t="inlineStr">
        <is>
          <t xml:space="preserve">2025-12</t>
        </is>
      </c>
      <c r="O901" s="0">
        <f>INDEX(Journaux!$E$5:$E$18,MATCH("2025|"&amp;A901,Journaux!$A$5:$A$18,0))</f>
      </c>
      <c r="P901" s="0">
        <f>INDEX(Comptes!$K$5:$K$42,MATCH(E901,Comptes!$A$5:$A$42,0))</f>
      </c>
      <c r="Q901" s="0" t="inlineStr">
        <is>
          <t xml:space="preserve">7</t>
        </is>
      </c>
    </row>
    <row r="902">
      <c r="A902" s="4" t="inlineStr">
        <is>
          <t xml:space="preserve">VT</t>
        </is>
      </c>
      <c r="B902" s="0" t="inlineStr">
        <is>
          <t xml:space="preserve">Journal des ventes</t>
        </is>
      </c>
      <c r="C902" s="0" t="inlineStr">
        <is>
          <t xml:space="preserve">VT00055</t>
        </is>
      </c>
      <c r="D902" s="10">
        <v>46014</v>
      </c>
      <c r="E902" s="4" t="inlineStr">
        <is>
          <t xml:space="preserve">445710</t>
        </is>
      </c>
      <c r="F902" s="0" t="inlineStr">
        <is>
          <t xml:space="preserve">TVA collectee</t>
        </is>
      </c>
      <c r="G902" s="0" t="inlineStr">
        <is>
          <t xml:space="preserve">FA2025-0055</t>
        </is>
      </c>
      <c r="H902" s="0" t="inlineStr">
        <is>
          <t xml:space="preserve">Facture FA2025-0055 Hotel Les Tilleuls</t>
        </is>
      </c>
      <c r="I902" s="8">
        <v>0</v>
      </c>
      <c r="J902" s="8">
        <v>4124.3</v>
      </c>
      <c r="K902" s="0"/>
      <c r="L902" s="0"/>
      <c r="M902" s="8">
        <f>I902-J902</f>
      </c>
      <c r="N902" s="0" t="inlineStr">
        <is>
          <t xml:space="preserve">2025-12</t>
        </is>
      </c>
      <c r="O902" s="0">
        <f>INDEX(Journaux!$E$5:$E$18,MATCH("2025|"&amp;A902,Journaux!$A$5:$A$18,0))</f>
      </c>
      <c r="P902" s="0">
        <f>INDEX(Comptes!$K$5:$K$42,MATCH(E902,Comptes!$A$5:$A$42,0))</f>
      </c>
      <c r="Q902" s="0" t="inlineStr">
        <is>
          <t xml:space="preserve">4</t>
        </is>
      </c>
    </row>
    <row r="903">
      <c r="A903" s="4" t="inlineStr">
        <is>
          <t xml:space="preserve">AC</t>
        </is>
      </c>
      <c r="B903" s="0" t="inlineStr">
        <is>
          <t xml:space="preserve">Journal des achats</t>
        </is>
      </c>
      <c r="C903" s="0" t="inlineStr">
        <is>
          <t xml:space="preserve">AC00071</t>
        </is>
      </c>
      <c r="D903" s="10">
        <v>46020</v>
      </c>
      <c r="E903" s="4" t="inlineStr">
        <is>
          <t xml:space="preserve">601000</t>
        </is>
      </c>
      <c r="F903" s="0" t="inlineStr">
        <is>
          <t xml:space="preserve">Achats de matieres premieres</t>
        </is>
      </c>
      <c r="G903" s="0" t="inlineStr">
        <is>
          <t xml:space="preserve">F001-2025121</t>
        </is>
      </c>
      <c r="H903" s="0" t="inlineStr">
        <is>
          <t xml:space="preserve">Facture Scierie du Nord F001-2025121</t>
        </is>
      </c>
      <c r="I903" s="8">
        <v>31075.01</v>
      </c>
      <c r="J903" s="8">
        <v>0</v>
      </c>
      <c r="K903" s="0"/>
      <c r="L903" s="0"/>
      <c r="M903" s="8">
        <f>I903-J903</f>
      </c>
      <c r="N903" s="0" t="inlineStr">
        <is>
          <t xml:space="preserve">2025-12</t>
        </is>
      </c>
      <c r="O903" s="0">
        <f>INDEX(Journaux!$E$5:$E$18,MATCH("2025|"&amp;A903,Journaux!$A$5:$A$18,0))</f>
      </c>
      <c r="P903" s="0">
        <f>INDEX(Comptes!$K$5:$K$42,MATCH(E903,Comptes!$A$5:$A$42,0))</f>
      </c>
      <c r="Q903" s="0" t="inlineStr">
        <is>
          <t xml:space="preserve">6</t>
        </is>
      </c>
    </row>
    <row r="904">
      <c r="A904" s="4" t="inlineStr">
        <is>
          <t xml:space="preserve">AC</t>
        </is>
      </c>
      <c r="B904" s="0" t="inlineStr">
        <is>
          <t xml:space="preserve">Journal des achats</t>
        </is>
      </c>
      <c r="C904" s="0" t="inlineStr">
        <is>
          <t xml:space="preserve">AC00071</t>
        </is>
      </c>
      <c r="D904" s="10">
        <v>46020</v>
      </c>
      <c r="E904" s="4" t="inlineStr">
        <is>
          <t xml:space="preserve">445660</t>
        </is>
      </c>
      <c r="F904" s="0" t="inlineStr">
        <is>
          <t xml:space="preserve">TVA deductible sur ABS</t>
        </is>
      </c>
      <c r="G904" s="0" t="inlineStr">
        <is>
          <t xml:space="preserve">F001-2025121</t>
        </is>
      </c>
      <c r="H904" s="0" t="inlineStr">
        <is>
          <t xml:space="preserve">Facture Scierie du Nord F001-2025121</t>
        </is>
      </c>
      <c r="I904" s="8">
        <v>6215</v>
      </c>
      <c r="J904" s="8">
        <v>0</v>
      </c>
      <c r="K904" s="0"/>
      <c r="L904" s="0"/>
      <c r="M904" s="8">
        <f>I904-J904</f>
      </c>
      <c r="N904" s="0" t="inlineStr">
        <is>
          <t xml:space="preserve">2025-12</t>
        </is>
      </c>
      <c r="O904" s="0">
        <f>INDEX(Journaux!$E$5:$E$18,MATCH("2025|"&amp;A904,Journaux!$A$5:$A$18,0))</f>
      </c>
      <c r="P904" s="0">
        <f>INDEX(Comptes!$K$5:$K$42,MATCH(E904,Comptes!$A$5:$A$42,0))</f>
      </c>
      <c r="Q904" s="0" t="inlineStr">
        <is>
          <t xml:space="preserve">4</t>
        </is>
      </c>
    </row>
    <row r="905">
      <c r="A905" s="4" t="inlineStr">
        <is>
          <t xml:space="preserve">AC</t>
        </is>
      </c>
      <c r="B905" s="0" t="inlineStr">
        <is>
          <t xml:space="preserve">Journal des achats</t>
        </is>
      </c>
      <c r="C905" s="0" t="inlineStr">
        <is>
          <t xml:space="preserve">AC00071</t>
        </is>
      </c>
      <c r="D905" s="10">
        <v>46020</v>
      </c>
      <c r="E905" s="4" t="inlineStr">
        <is>
          <t xml:space="preserve">401000</t>
        </is>
      </c>
      <c r="F905" s="0" t="inlineStr">
        <is>
          <t xml:space="preserve">Fournisseurs</t>
        </is>
      </c>
      <c r="G905" s="0" t="inlineStr">
        <is>
          <t xml:space="preserve">F001-2025121</t>
        </is>
      </c>
      <c r="H905" s="0" t="inlineStr">
        <is>
          <t xml:space="preserve">Facture Scierie du Nord F001-2025121</t>
        </is>
      </c>
      <c r="I905" s="8">
        <v>0</v>
      </c>
      <c r="J905" s="8">
        <v>37290.01</v>
      </c>
      <c r="K905" s="0"/>
      <c r="L905" s="0" t="inlineStr">
        <is>
          <t xml:space="preserve">Scierie du Nord</t>
        </is>
      </c>
      <c r="M905" s="8">
        <f>I905-J905</f>
      </c>
      <c r="N905" s="0" t="inlineStr">
        <is>
          <t xml:space="preserve">2025-12</t>
        </is>
      </c>
      <c r="O905" s="0">
        <f>INDEX(Journaux!$E$5:$E$18,MATCH("2025|"&amp;A905,Journaux!$A$5:$A$18,0))</f>
      </c>
      <c r="P905" s="0">
        <f>INDEX(Comptes!$K$5:$K$42,MATCH(E905,Comptes!$A$5:$A$42,0))</f>
      </c>
      <c r="Q905" s="0" t="inlineStr">
        <is>
          <t xml:space="preserve">4</t>
        </is>
      </c>
      <c r="R905" s="7" t="inlineStr">
        <is>
          <t xml:space="preserve">401000|F001</t>
        </is>
      </c>
    </row>
    <row r="906">
      <c r="A906" s="4" t="inlineStr">
        <is>
          <t xml:space="preserve">BQ</t>
        </is>
      </c>
      <c r="B906" s="0" t="inlineStr">
        <is>
          <t xml:space="preserve">Banque Fictive</t>
        </is>
      </c>
      <c r="C906" s="0" t="inlineStr">
        <is>
          <t xml:space="preserve">BQ00177</t>
        </is>
      </c>
      <c r="D906" s="10">
        <v>46020</v>
      </c>
      <c r="E906" s="4" t="inlineStr">
        <is>
          <t xml:space="preserve">401000</t>
        </is>
      </c>
      <c r="F906" s="0" t="inlineStr">
        <is>
          <t xml:space="preserve">Fournisseurs</t>
        </is>
      </c>
      <c r="G906" s="0" t="inlineStr">
        <is>
          <t xml:space="preserve">DEC-F002-2025102</t>
        </is>
      </c>
      <c r="H906" s="0" t="inlineStr">
        <is>
          <t xml:space="preserve">Reglement fournisseur Quincaillerie Pro Est F002-2025102</t>
        </is>
      </c>
      <c r="I906" s="8">
        <v>26072.11</v>
      </c>
      <c r="J906" s="8">
        <v>0</v>
      </c>
      <c r="K906" s="0" t="inlineStr">
        <is>
          <t xml:space="preserve">ADN</t>
        </is>
      </c>
      <c r="L906" s="0" t="inlineStr">
        <is>
          <t xml:space="preserve">Quincaillerie Pro Est</t>
        </is>
      </c>
      <c r="M906" s="8">
        <f>I906-J906</f>
      </c>
      <c r="N906" s="0" t="inlineStr">
        <is>
          <t xml:space="preserve">2025-12</t>
        </is>
      </c>
      <c r="O906" s="0">
        <f>INDEX(Journaux!$E$5:$E$18,MATCH("2025|"&amp;A906,Journaux!$A$5:$A$18,0))</f>
      </c>
      <c r="P906" s="0">
        <f>INDEX(Comptes!$K$5:$K$42,MATCH(E906,Comptes!$A$5:$A$42,0))</f>
      </c>
      <c r="Q906" s="0" t="inlineStr">
        <is>
          <t xml:space="preserve">4</t>
        </is>
      </c>
      <c r="R906" s="7" t="inlineStr">
        <is>
          <t xml:space="preserve">401000|F002</t>
        </is>
      </c>
    </row>
    <row r="907">
      <c r="A907" s="4" t="inlineStr">
        <is>
          <t xml:space="preserve">BQ</t>
        </is>
      </c>
      <c r="B907" s="0" t="inlineStr">
        <is>
          <t xml:space="preserve">Banque Fictive</t>
        </is>
      </c>
      <c r="C907" s="0" t="inlineStr">
        <is>
          <t xml:space="preserve">BQ00177</t>
        </is>
      </c>
      <c r="D907" s="10">
        <v>46020</v>
      </c>
      <c r="E907" s="4" t="inlineStr">
        <is>
          <t xml:space="preserve">512000</t>
        </is>
      </c>
      <c r="F907" s="0" t="inlineStr">
        <is>
          <t xml:space="preserve">Banque Fictive</t>
        </is>
      </c>
      <c r="G907" s="0" t="inlineStr">
        <is>
          <t xml:space="preserve">DEC-F002-2025102</t>
        </is>
      </c>
      <c r="H907" s="0" t="inlineStr">
        <is>
          <t xml:space="preserve">Reglement fournisseur Quincaillerie Pro Est F002-2025102</t>
        </is>
      </c>
      <c r="I907" s="8">
        <v>0</v>
      </c>
      <c r="J907" s="8">
        <v>26072.11</v>
      </c>
      <c r="K907" s="0"/>
      <c r="L907" s="0"/>
      <c r="M907" s="8">
        <f>I907-J907</f>
      </c>
      <c r="N907" s="0" t="inlineStr">
        <is>
          <t xml:space="preserve">2025-12</t>
        </is>
      </c>
      <c r="O907" s="0">
        <f>INDEX(Journaux!$E$5:$E$18,MATCH("2025|"&amp;A907,Journaux!$A$5:$A$18,0))</f>
      </c>
      <c r="P907" s="0">
        <f>INDEX(Comptes!$K$5:$K$42,MATCH(E907,Comptes!$A$5:$A$42,0))</f>
      </c>
      <c r="Q907" s="0" t="inlineStr">
        <is>
          <t xml:space="preserve">5</t>
        </is>
      </c>
    </row>
    <row r="908">
      <c r="A908" s="4" t="inlineStr">
        <is>
          <t xml:space="preserve">VT</t>
        </is>
      </c>
      <c r="B908" s="0" t="inlineStr">
        <is>
          <t xml:space="preserve">Journal des ventes</t>
        </is>
      </c>
      <c r="C908" s="0" t="inlineStr">
        <is>
          <t xml:space="preserve">VT00061</t>
        </is>
      </c>
      <c r="D908" s="10">
        <v>46021</v>
      </c>
      <c r="E908" s="4" t="inlineStr">
        <is>
          <t xml:space="preserve">411000</t>
        </is>
      </c>
      <c r="F908" s="0" t="inlineStr">
        <is>
          <t xml:space="preserve">Clients</t>
        </is>
      </c>
      <c r="G908" s="0" t="inlineStr">
        <is>
          <t xml:space="preserve">FA2025-0901</t>
        </is>
      </c>
      <c r="H908" s="0" t="inlineStr">
        <is>
          <t xml:space="preserve">Facture FA2025-0901 Agence Mobilis amenagement siege</t>
        </is>
      </c>
      <c r="I908" s="8">
        <v>96000</v>
      </c>
      <c r="J908" s="8">
        <v>0</v>
      </c>
      <c r="K908" s="0"/>
      <c r="L908" s="0" t="inlineStr">
        <is>
          <t xml:space="preserve">Agence Mobilis</t>
        </is>
      </c>
      <c r="M908" s="8">
        <f>I908-J908</f>
      </c>
      <c r="N908" s="0" t="inlineStr">
        <is>
          <t xml:space="preserve">2025-12</t>
        </is>
      </c>
      <c r="O908" s="0">
        <f>INDEX(Journaux!$E$5:$E$18,MATCH("2025|"&amp;A908,Journaux!$A$5:$A$18,0))</f>
      </c>
      <c r="P908" s="0">
        <f>INDEX(Comptes!$K$5:$K$42,MATCH(E908,Comptes!$A$5:$A$42,0))</f>
      </c>
      <c r="Q908" s="0" t="inlineStr">
        <is>
          <t xml:space="preserve">4</t>
        </is>
      </c>
      <c r="R908" s="7" t="inlineStr">
        <is>
          <t xml:space="preserve">411000|C002</t>
        </is>
      </c>
    </row>
    <row r="909">
      <c r="A909" s="4" t="inlineStr">
        <is>
          <t xml:space="preserve">VT</t>
        </is>
      </c>
      <c r="B909" s="0" t="inlineStr">
        <is>
          <t xml:space="preserve">Journal des ventes</t>
        </is>
      </c>
      <c r="C909" s="0" t="inlineStr">
        <is>
          <t xml:space="preserve">VT00061</t>
        </is>
      </c>
      <c r="D909" s="10">
        <v>46021</v>
      </c>
      <c r="E909" s="4" t="inlineStr">
        <is>
          <t xml:space="preserve">701000</t>
        </is>
      </c>
      <c r="F909" s="0" t="inlineStr">
        <is>
          <t xml:space="preserve">Ventes de produits finis</t>
        </is>
      </c>
      <c r="G909" s="0" t="inlineStr">
        <is>
          <t xml:space="preserve">FA2025-0901</t>
        </is>
      </c>
      <c r="H909" s="0" t="inlineStr">
        <is>
          <t xml:space="preserve">Facture FA2025-0901 Agence Mobilis amenagement siege</t>
        </is>
      </c>
      <c r="I909" s="8">
        <v>0</v>
      </c>
      <c r="J909" s="8">
        <v>80000</v>
      </c>
      <c r="K909" s="0"/>
      <c r="L909" s="0"/>
      <c r="M909" s="8">
        <f>I909-J909</f>
      </c>
      <c r="N909" s="0" t="inlineStr">
        <is>
          <t xml:space="preserve">2025-12</t>
        </is>
      </c>
      <c r="O909" s="0">
        <f>INDEX(Journaux!$E$5:$E$18,MATCH("2025|"&amp;A909,Journaux!$A$5:$A$18,0))</f>
      </c>
      <c r="P909" s="0">
        <f>INDEX(Comptes!$K$5:$K$42,MATCH(E909,Comptes!$A$5:$A$42,0))</f>
      </c>
      <c r="Q909" s="0" t="inlineStr">
        <is>
          <t xml:space="preserve">7</t>
        </is>
      </c>
    </row>
    <row r="910">
      <c r="A910" s="4" t="inlineStr">
        <is>
          <t xml:space="preserve">VT</t>
        </is>
      </c>
      <c r="B910" s="0" t="inlineStr">
        <is>
          <t xml:space="preserve">Journal des ventes</t>
        </is>
      </c>
      <c r="C910" s="0" t="inlineStr">
        <is>
          <t xml:space="preserve">VT00061</t>
        </is>
      </c>
      <c r="D910" s="10">
        <v>46021</v>
      </c>
      <c r="E910" s="4" t="inlineStr">
        <is>
          <t xml:space="preserve">445710</t>
        </is>
      </c>
      <c r="F910" s="0" t="inlineStr">
        <is>
          <t xml:space="preserve">TVA collectee</t>
        </is>
      </c>
      <c r="G910" s="0" t="inlineStr">
        <is>
          <t xml:space="preserve">FA2025-0901</t>
        </is>
      </c>
      <c r="H910" s="0" t="inlineStr">
        <is>
          <t xml:space="preserve">Facture FA2025-0901 Agence Mobilis amenagement siege</t>
        </is>
      </c>
      <c r="I910" s="8">
        <v>0</v>
      </c>
      <c r="J910" s="8">
        <v>16000</v>
      </c>
      <c r="K910" s="0"/>
      <c r="L910" s="0"/>
      <c r="M910" s="8">
        <f>I910-J910</f>
      </c>
      <c r="N910" s="0" t="inlineStr">
        <is>
          <t xml:space="preserve">2025-12</t>
        </is>
      </c>
      <c r="O910" s="0">
        <f>INDEX(Journaux!$E$5:$E$18,MATCH("2025|"&amp;A910,Journaux!$A$5:$A$18,0))</f>
      </c>
      <c r="P910" s="0">
        <f>INDEX(Comptes!$K$5:$K$42,MATCH(E910,Comptes!$A$5:$A$42,0))</f>
      </c>
      <c r="Q910" s="0" t="inlineStr">
        <is>
          <t xml:space="preserve">4</t>
        </is>
      </c>
    </row>
    <row r="911">
      <c r="A911" s="4" t="inlineStr">
        <is>
          <t xml:space="preserve">BQ</t>
        </is>
      </c>
      <c r="B911" s="0" t="inlineStr">
        <is>
          <t xml:space="preserve">Banque Fictive</t>
        </is>
      </c>
      <c r="C911" s="0" t="inlineStr">
        <is>
          <t xml:space="preserve">BQ00034</t>
        </is>
      </c>
      <c r="D911" s="10">
        <v>46022</v>
      </c>
      <c r="E911" s="4" t="inlineStr">
        <is>
          <t xml:space="preserve">421000</t>
        </is>
      </c>
      <c r="F911" s="0" t="inlineStr">
        <is>
          <t xml:space="preserve">Personnel remunerations dues</t>
        </is>
      </c>
      <c r="G911" s="0" t="inlineStr">
        <is>
          <t xml:space="preserve">VIRSAL202512</t>
        </is>
      </c>
      <c r="H911" s="0" t="inlineStr">
        <is>
          <t xml:space="preserve">Virement salaires 12/2025</t>
        </is>
      </c>
      <c r="I911" s="8">
        <v>38416.44</v>
      </c>
      <c r="J911" s="8">
        <v>0</v>
      </c>
      <c r="K911" s="0"/>
      <c r="L911" s="0"/>
      <c r="M911" s="8">
        <f>I911-J911</f>
      </c>
      <c r="N911" s="0" t="inlineStr">
        <is>
          <t xml:space="preserve">2025-12</t>
        </is>
      </c>
      <c r="O911" s="0">
        <f>INDEX(Journaux!$E$5:$E$18,MATCH("2025|"&amp;A911,Journaux!$A$5:$A$18,0))</f>
      </c>
      <c r="P911" s="0">
        <f>INDEX(Comptes!$K$5:$K$42,MATCH(E911,Comptes!$A$5:$A$42,0))</f>
      </c>
      <c r="Q911" s="0" t="inlineStr">
        <is>
          <t xml:space="preserve">4</t>
        </is>
      </c>
    </row>
    <row r="912">
      <c r="A912" s="4" t="inlineStr">
        <is>
          <t xml:space="preserve">BQ</t>
        </is>
      </c>
      <c r="B912" s="0" t="inlineStr">
        <is>
          <t xml:space="preserve">Banque Fictive</t>
        </is>
      </c>
      <c r="C912" s="0" t="inlineStr">
        <is>
          <t xml:space="preserve">BQ00034</t>
        </is>
      </c>
      <c r="D912" s="10">
        <v>46022</v>
      </c>
      <c r="E912" s="4" t="inlineStr">
        <is>
          <t xml:space="preserve">512000</t>
        </is>
      </c>
      <c r="F912" s="0" t="inlineStr">
        <is>
          <t xml:space="preserve">Banque Fictive</t>
        </is>
      </c>
      <c r="G912" s="0" t="inlineStr">
        <is>
          <t xml:space="preserve">VIRSAL202512</t>
        </is>
      </c>
      <c r="H912" s="0" t="inlineStr">
        <is>
          <t xml:space="preserve">Virement salaires 12/2025</t>
        </is>
      </c>
      <c r="I912" s="8">
        <v>0</v>
      </c>
      <c r="J912" s="8">
        <v>38416.44</v>
      </c>
      <c r="K912" s="0"/>
      <c r="L912" s="0"/>
      <c r="M912" s="8">
        <f>I912-J912</f>
      </c>
      <c r="N912" s="0" t="inlineStr">
        <is>
          <t xml:space="preserve">2025-12</t>
        </is>
      </c>
      <c r="O912" s="0">
        <f>INDEX(Journaux!$E$5:$E$18,MATCH("2025|"&amp;A912,Journaux!$A$5:$A$18,0))</f>
      </c>
      <c r="P912" s="0">
        <f>INDEX(Comptes!$K$5:$K$42,MATCH(E912,Comptes!$A$5:$A$42,0))</f>
      </c>
      <c r="Q912" s="0" t="inlineStr">
        <is>
          <t xml:space="preserve">5</t>
        </is>
      </c>
    </row>
    <row r="913">
      <c r="A913" s="4" t="inlineStr">
        <is>
          <t xml:space="preserve">BQ</t>
        </is>
      </c>
      <c r="B913" s="0" t="inlineStr">
        <is>
          <t xml:space="preserve">Banque Fictive</t>
        </is>
      </c>
      <c r="C913" s="0" t="inlineStr">
        <is>
          <t xml:space="preserve">BQ00036</t>
        </is>
      </c>
      <c r="D913" s="10">
        <v>46022</v>
      </c>
      <c r="E913" s="4" t="inlineStr">
        <is>
          <t xml:space="preserve">627000</t>
        </is>
      </c>
      <c r="F913" s="0" t="inlineStr">
        <is>
          <t xml:space="preserve">Services bancaires</t>
        </is>
      </c>
      <c r="G913" s="0" t="inlineStr">
        <is>
          <t xml:space="preserve">FRB202512</t>
        </is>
      </c>
      <c r="H913" s="0" t="inlineStr">
        <is>
          <t xml:space="preserve">Frais bancaires 12/2025</t>
        </is>
      </c>
      <c r="I913" s="8">
        <v>85</v>
      </c>
      <c r="J913" s="8">
        <v>0</v>
      </c>
      <c r="K913" s="0"/>
      <c r="L913" s="0"/>
      <c r="M913" s="8">
        <f>I913-J913</f>
      </c>
      <c r="N913" s="0" t="inlineStr">
        <is>
          <t xml:space="preserve">2025-12</t>
        </is>
      </c>
      <c r="O913" s="0">
        <f>INDEX(Journaux!$E$5:$E$18,MATCH("2025|"&amp;A913,Journaux!$A$5:$A$18,0))</f>
      </c>
      <c r="P913" s="0">
        <f>INDEX(Comptes!$K$5:$K$42,MATCH(E913,Comptes!$A$5:$A$42,0))</f>
      </c>
      <c r="Q913" s="0" t="inlineStr">
        <is>
          <t xml:space="preserve">6</t>
        </is>
      </c>
    </row>
    <row r="914">
      <c r="A914" s="4" t="inlineStr">
        <is>
          <t xml:space="preserve">BQ</t>
        </is>
      </c>
      <c r="B914" s="0" t="inlineStr">
        <is>
          <t xml:space="preserve">Banque Fictive</t>
        </is>
      </c>
      <c r="C914" s="0" t="inlineStr">
        <is>
          <t xml:space="preserve">BQ00036</t>
        </is>
      </c>
      <c r="D914" s="10">
        <v>46022</v>
      </c>
      <c r="E914" s="4" t="inlineStr">
        <is>
          <t xml:space="preserve">512000</t>
        </is>
      </c>
      <c r="F914" s="0" t="inlineStr">
        <is>
          <t xml:space="preserve">Banque Fictive</t>
        </is>
      </c>
      <c r="G914" s="0" t="inlineStr">
        <is>
          <t xml:space="preserve">FRB202512</t>
        </is>
      </c>
      <c r="H914" s="0" t="inlineStr">
        <is>
          <t xml:space="preserve">Frais bancaires 12/2025</t>
        </is>
      </c>
      <c r="I914" s="8">
        <v>0</v>
      </c>
      <c r="J914" s="8">
        <v>85</v>
      </c>
      <c r="K914" s="0"/>
      <c r="L914" s="0"/>
      <c r="M914" s="8">
        <f>I914-J914</f>
      </c>
      <c r="N914" s="0" t="inlineStr">
        <is>
          <t xml:space="preserve">2025-12</t>
        </is>
      </c>
      <c r="O914" s="0">
        <f>INDEX(Journaux!$E$5:$E$18,MATCH("2025|"&amp;A914,Journaux!$A$5:$A$18,0))</f>
      </c>
      <c r="P914" s="0">
        <f>INDEX(Comptes!$K$5:$K$42,MATCH(E914,Comptes!$A$5:$A$42,0))</f>
      </c>
      <c r="Q914" s="0" t="inlineStr">
        <is>
          <t xml:space="preserve">5</t>
        </is>
      </c>
    </row>
    <row r="915">
      <c r="A915" s="4" t="inlineStr">
        <is>
          <t xml:space="preserve">INV</t>
        </is>
      </c>
      <c r="B915" s="0" t="inlineStr">
        <is>
          <t xml:space="preserve">Inventaire</t>
        </is>
      </c>
      <c r="C915" s="0" t="inlineStr">
        <is>
          <t xml:space="preserve">INV00001</t>
        </is>
      </c>
      <c r="D915" s="10">
        <v>46022</v>
      </c>
      <c r="E915" s="4" t="inlineStr">
        <is>
          <t xml:space="preserve">603100</t>
        </is>
      </c>
      <c r="F915" s="0" t="inlineStr">
        <is>
          <t xml:space="preserve">Variation des stocks de matieres premieres</t>
        </is>
      </c>
      <c r="G915" s="0" t="inlineStr">
        <is>
          <t xml:space="preserve">INV2025-1</t>
        </is>
      </c>
      <c r="H915" s="0" t="inlineStr">
        <is>
          <t xml:space="preserve">Annulation stock initial 2025</t>
        </is>
      </c>
      <c r="I915" s="8">
        <v>52000</v>
      </c>
      <c r="J915" s="8">
        <v>0</v>
      </c>
      <c r="K915" s="0"/>
      <c r="L915" s="0"/>
      <c r="M915" s="8">
        <f>I915-J915</f>
      </c>
      <c r="N915" s="0" t="inlineStr">
        <is>
          <t xml:space="preserve">2025-12</t>
        </is>
      </c>
      <c r="O915" s="0">
        <f>INDEX(Journaux!$E$5:$E$18,MATCH("2025|"&amp;A915,Journaux!$A$5:$A$18,0))</f>
      </c>
      <c r="P915" s="0">
        <f>INDEX(Comptes!$K$5:$K$42,MATCH(E915,Comptes!$A$5:$A$42,0))</f>
      </c>
      <c r="Q915" s="0" t="inlineStr">
        <is>
          <t xml:space="preserve">6</t>
        </is>
      </c>
    </row>
    <row r="916">
      <c r="A916" s="4" t="inlineStr">
        <is>
          <t xml:space="preserve">INV</t>
        </is>
      </c>
      <c r="B916" s="0" t="inlineStr">
        <is>
          <t xml:space="preserve">Inventaire</t>
        </is>
      </c>
      <c r="C916" s="0" t="inlineStr">
        <is>
          <t xml:space="preserve">INV00001</t>
        </is>
      </c>
      <c r="D916" s="10">
        <v>46022</v>
      </c>
      <c r="E916" s="4" t="inlineStr">
        <is>
          <t xml:space="preserve">310000</t>
        </is>
      </c>
      <c r="F916" s="0" t="inlineStr">
        <is>
          <t xml:space="preserve">Stocks de matieres premieres</t>
        </is>
      </c>
      <c r="G916" s="0" t="inlineStr">
        <is>
          <t xml:space="preserve">INV2025-1</t>
        </is>
      </c>
      <c r="H916" s="0" t="inlineStr">
        <is>
          <t xml:space="preserve">Annulation stock initial 2025</t>
        </is>
      </c>
      <c r="I916" s="8">
        <v>0</v>
      </c>
      <c r="J916" s="8">
        <v>52000</v>
      </c>
      <c r="K916" s="0"/>
      <c r="L916" s="0"/>
      <c r="M916" s="8">
        <f>I916-J916</f>
      </c>
      <c r="N916" s="0" t="inlineStr">
        <is>
          <t xml:space="preserve">2025-12</t>
        </is>
      </c>
      <c r="O916" s="0">
        <f>INDEX(Journaux!$E$5:$E$18,MATCH("2025|"&amp;A916,Journaux!$A$5:$A$18,0))</f>
      </c>
      <c r="P916" s="0">
        <f>INDEX(Comptes!$K$5:$K$42,MATCH(E916,Comptes!$A$5:$A$42,0))</f>
      </c>
      <c r="Q916" s="0" t="inlineStr">
        <is>
          <t xml:space="preserve">3</t>
        </is>
      </c>
    </row>
    <row r="917">
      <c r="A917" s="4" t="inlineStr">
        <is>
          <t xml:space="preserve">INV</t>
        </is>
      </c>
      <c r="B917" s="0" t="inlineStr">
        <is>
          <t xml:space="preserve">Inventaire</t>
        </is>
      </c>
      <c r="C917" s="0" t="inlineStr">
        <is>
          <t xml:space="preserve">INV00002</t>
        </is>
      </c>
      <c r="D917" s="10">
        <v>46022</v>
      </c>
      <c r="E917" s="4" t="inlineStr">
        <is>
          <t xml:space="preserve">310000</t>
        </is>
      </c>
      <c r="F917" s="0" t="inlineStr">
        <is>
          <t xml:space="preserve">Stocks de matieres premieres</t>
        </is>
      </c>
      <c r="G917" s="0" t="inlineStr">
        <is>
          <t xml:space="preserve">INV2025-2</t>
        </is>
      </c>
      <c r="H917" s="0" t="inlineStr">
        <is>
          <t xml:space="preserve">Stock final au 31/12/2025</t>
        </is>
      </c>
      <c r="I917" s="8">
        <v>61000</v>
      </c>
      <c r="J917" s="8">
        <v>0</v>
      </c>
      <c r="K917" s="0"/>
      <c r="L917" s="0"/>
      <c r="M917" s="8">
        <f>I917-J917</f>
      </c>
      <c r="N917" s="0" t="inlineStr">
        <is>
          <t xml:space="preserve">2025-12</t>
        </is>
      </c>
      <c r="O917" s="0">
        <f>INDEX(Journaux!$E$5:$E$18,MATCH("2025|"&amp;A917,Journaux!$A$5:$A$18,0))</f>
      </c>
      <c r="P917" s="0">
        <f>INDEX(Comptes!$K$5:$K$42,MATCH(E917,Comptes!$A$5:$A$42,0))</f>
      </c>
      <c r="Q917" s="0" t="inlineStr">
        <is>
          <t xml:space="preserve">3</t>
        </is>
      </c>
    </row>
    <row r="918">
      <c r="A918" s="4" t="inlineStr">
        <is>
          <t xml:space="preserve">INV</t>
        </is>
      </c>
      <c r="B918" s="0" t="inlineStr">
        <is>
          <t xml:space="preserve">Inventaire</t>
        </is>
      </c>
      <c r="C918" s="0" t="inlineStr">
        <is>
          <t xml:space="preserve">INV00002</t>
        </is>
      </c>
      <c r="D918" s="10">
        <v>46022</v>
      </c>
      <c r="E918" s="4" t="inlineStr">
        <is>
          <t xml:space="preserve">603100</t>
        </is>
      </c>
      <c r="F918" s="0" t="inlineStr">
        <is>
          <t xml:space="preserve">Variation des stocks de matieres premieres</t>
        </is>
      </c>
      <c r="G918" s="0" t="inlineStr">
        <is>
          <t xml:space="preserve">INV2025-2</t>
        </is>
      </c>
      <c r="H918" s="0" t="inlineStr">
        <is>
          <t xml:space="preserve">Stock final au 31/12/2025</t>
        </is>
      </c>
      <c r="I918" s="8">
        <v>0</v>
      </c>
      <c r="J918" s="8">
        <v>61000</v>
      </c>
      <c r="K918" s="0"/>
      <c r="L918" s="0"/>
      <c r="M918" s="8">
        <f>I918-J918</f>
      </c>
      <c r="N918" s="0" t="inlineStr">
        <is>
          <t xml:space="preserve">2025-12</t>
        </is>
      </c>
      <c r="O918" s="0">
        <f>INDEX(Journaux!$E$5:$E$18,MATCH("2025|"&amp;A918,Journaux!$A$5:$A$18,0))</f>
      </c>
      <c r="P918" s="0">
        <f>INDEX(Comptes!$K$5:$K$42,MATCH(E918,Comptes!$A$5:$A$42,0))</f>
      </c>
      <c r="Q918" s="0" t="inlineStr">
        <is>
          <t xml:space="preserve">6</t>
        </is>
      </c>
    </row>
    <row r="919">
      <c r="A919" s="4" t="inlineStr">
        <is>
          <t xml:space="preserve">OD</t>
        </is>
      </c>
      <c r="B919" s="0" t="inlineStr">
        <is>
          <t xml:space="preserve">Operations diverses</t>
        </is>
      </c>
      <c r="C919" s="0" t="inlineStr">
        <is>
          <t xml:space="preserve">OD00012</t>
        </is>
      </c>
      <c r="D919" s="10">
        <v>46022</v>
      </c>
      <c r="E919" s="4" t="inlineStr">
        <is>
          <t xml:space="preserve">445710</t>
        </is>
      </c>
      <c r="F919" s="0" t="inlineStr">
        <is>
          <t xml:space="preserve">TVA collectee</t>
        </is>
      </c>
      <c r="G919" s="0" t="inlineStr">
        <is>
          <t xml:space="preserve">CA3-202512</t>
        </is>
      </c>
      <c r="H919" s="0" t="inlineStr">
        <is>
          <t xml:space="preserve">Declaration TVA 12/2025</t>
        </is>
      </c>
      <c r="I919" s="8">
        <v>25666.66</v>
      </c>
      <c r="J919" s="8">
        <v>0</v>
      </c>
      <c r="K919" s="0"/>
      <c r="L919" s="0"/>
      <c r="M919" s="8">
        <f>I919-J919</f>
      </c>
      <c r="N919" s="0" t="inlineStr">
        <is>
          <t xml:space="preserve">2025-12</t>
        </is>
      </c>
      <c r="O919" s="0">
        <f>INDEX(Journaux!$E$5:$E$18,MATCH("2025|"&amp;A919,Journaux!$A$5:$A$18,0))</f>
      </c>
      <c r="P919" s="0">
        <f>INDEX(Comptes!$K$5:$K$42,MATCH(E919,Comptes!$A$5:$A$42,0))</f>
      </c>
      <c r="Q919" s="0" t="inlineStr">
        <is>
          <t xml:space="preserve">4</t>
        </is>
      </c>
    </row>
    <row r="920">
      <c r="A920" s="4" t="inlineStr">
        <is>
          <t xml:space="preserve">OD</t>
        </is>
      </c>
      <c r="B920" s="0" t="inlineStr">
        <is>
          <t xml:space="preserve">Operations diverses</t>
        </is>
      </c>
      <c r="C920" s="0" t="inlineStr">
        <is>
          <t xml:space="preserve">OD00012</t>
        </is>
      </c>
      <c r="D920" s="10">
        <v>46022</v>
      </c>
      <c r="E920" s="4" t="inlineStr">
        <is>
          <t xml:space="preserve">445660</t>
        </is>
      </c>
      <c r="F920" s="0" t="inlineStr">
        <is>
          <t xml:space="preserve">TVA deductible sur ABS</t>
        </is>
      </c>
      <c r="G920" s="0" t="inlineStr">
        <is>
          <t xml:space="preserve">CA3-202512</t>
        </is>
      </c>
      <c r="H920" s="0" t="inlineStr">
        <is>
          <t xml:space="preserve">Declaration TVA 12/2025</t>
        </is>
      </c>
      <c r="I920" s="8">
        <v>0</v>
      </c>
      <c r="J920" s="8">
        <v>15605.09</v>
      </c>
      <c r="K920" s="0"/>
      <c r="L920" s="0"/>
      <c r="M920" s="8">
        <f>I920-J920</f>
      </c>
      <c r="N920" s="0" t="inlineStr">
        <is>
          <t xml:space="preserve">2025-12</t>
        </is>
      </c>
      <c r="O920" s="0">
        <f>INDEX(Journaux!$E$5:$E$18,MATCH("2025|"&amp;A920,Journaux!$A$5:$A$18,0))</f>
      </c>
      <c r="P920" s="0">
        <f>INDEX(Comptes!$K$5:$K$42,MATCH(E920,Comptes!$A$5:$A$42,0))</f>
      </c>
      <c r="Q920" s="0" t="inlineStr">
        <is>
          <t xml:space="preserve">4</t>
        </is>
      </c>
    </row>
    <row r="921">
      <c r="A921" s="4" t="inlineStr">
        <is>
          <t xml:space="preserve">OD</t>
        </is>
      </c>
      <c r="B921" s="0" t="inlineStr">
        <is>
          <t xml:space="preserve">Operations diverses</t>
        </is>
      </c>
      <c r="C921" s="0" t="inlineStr">
        <is>
          <t xml:space="preserve">OD00012</t>
        </is>
      </c>
      <c r="D921" s="10">
        <v>46022</v>
      </c>
      <c r="E921" s="4" t="inlineStr">
        <is>
          <t xml:space="preserve">445510</t>
        </is>
      </c>
      <c r="F921" s="0" t="inlineStr">
        <is>
          <t xml:space="preserve">TVA a decaisser</t>
        </is>
      </c>
      <c r="G921" s="0" t="inlineStr">
        <is>
          <t xml:space="preserve">CA3-202512</t>
        </is>
      </c>
      <c r="H921" s="0" t="inlineStr">
        <is>
          <t xml:space="preserve">Declaration TVA 12/2025</t>
        </is>
      </c>
      <c r="I921" s="8">
        <v>0</v>
      </c>
      <c r="J921" s="8">
        <v>10061.57</v>
      </c>
      <c r="K921" s="0"/>
      <c r="L921" s="0"/>
      <c r="M921" s="8">
        <f>I921-J921</f>
      </c>
      <c r="N921" s="0" t="inlineStr">
        <is>
          <t xml:space="preserve">2025-12</t>
        </is>
      </c>
      <c r="O921" s="0">
        <f>INDEX(Journaux!$E$5:$E$18,MATCH("2025|"&amp;A921,Journaux!$A$5:$A$18,0))</f>
      </c>
      <c r="P921" s="0">
        <f>INDEX(Comptes!$K$5:$K$42,MATCH(E921,Comptes!$A$5:$A$42,0))</f>
      </c>
      <c r="Q921" s="0" t="inlineStr">
        <is>
          <t xml:space="preserve">4</t>
        </is>
      </c>
    </row>
    <row r="922">
      <c r="A922" s="4" t="inlineStr">
        <is>
          <t xml:space="preserve">OD</t>
        </is>
      </c>
      <c r="B922" s="0" t="inlineStr">
        <is>
          <t xml:space="preserve">Operations diverses</t>
        </is>
      </c>
      <c r="C922" s="0" t="inlineStr">
        <is>
          <t xml:space="preserve">OD00015</t>
        </is>
      </c>
      <c r="D922" s="10">
        <v>46022</v>
      </c>
      <c r="E922" s="4" t="inlineStr">
        <is>
          <t xml:space="preserve">681120</t>
        </is>
      </c>
      <c r="F922" s="0" t="inlineStr">
        <is>
          <t xml:space="preserve">Dotations aux amortissements des immobilisations corporelles</t>
        </is>
      </c>
      <c r="G922" s="0" t="inlineStr">
        <is>
          <t xml:space="preserve">DAP2025</t>
        </is>
      </c>
      <c r="H922" s="0" t="inlineStr">
        <is>
          <t xml:space="preserve">Dotations aux amortissements 2025</t>
        </is>
      </c>
      <c r="I922" s="8">
        <v>23000</v>
      </c>
      <c r="J922" s="8">
        <v>0</v>
      </c>
      <c r="K922" s="0"/>
      <c r="L922" s="0"/>
      <c r="M922" s="8">
        <f>I922-J922</f>
      </c>
      <c r="N922" s="0" t="inlineStr">
        <is>
          <t xml:space="preserve">2025-12</t>
        </is>
      </c>
      <c r="O922" s="0">
        <f>INDEX(Journaux!$E$5:$E$18,MATCH("2025|"&amp;A922,Journaux!$A$5:$A$18,0))</f>
      </c>
      <c r="P922" s="0">
        <f>INDEX(Comptes!$K$5:$K$42,MATCH(E922,Comptes!$A$5:$A$42,0))</f>
      </c>
      <c r="Q922" s="0" t="inlineStr">
        <is>
          <t xml:space="preserve">6</t>
        </is>
      </c>
    </row>
    <row r="923">
      <c r="A923" s="4" t="inlineStr">
        <is>
          <t xml:space="preserve">OD</t>
        </is>
      </c>
      <c r="B923" s="0" t="inlineStr">
        <is>
          <t xml:space="preserve">Operations diverses</t>
        </is>
      </c>
      <c r="C923" s="0" t="inlineStr">
        <is>
          <t xml:space="preserve">OD00015</t>
        </is>
      </c>
      <c r="D923" s="10">
        <v>46022</v>
      </c>
      <c r="E923" s="4" t="inlineStr">
        <is>
          <t xml:space="preserve">281540</t>
        </is>
      </c>
      <c r="F923" s="0" t="inlineStr">
        <is>
          <t xml:space="preserve">Amortissements materiel industriel</t>
        </is>
      </c>
      <c r="G923" s="0" t="inlineStr">
        <is>
          <t xml:space="preserve">DAP2025</t>
        </is>
      </c>
      <c r="H923" s="0" t="inlineStr">
        <is>
          <t xml:space="preserve">Dotations aux amortissements 2025</t>
        </is>
      </c>
      <c r="I923" s="8">
        <v>0</v>
      </c>
      <c r="J923" s="8">
        <v>18000</v>
      </c>
      <c r="K923" s="0"/>
      <c r="L923" s="0"/>
      <c r="M923" s="8">
        <f>I923-J923</f>
      </c>
      <c r="N923" s="0" t="inlineStr">
        <is>
          <t xml:space="preserve">2025-12</t>
        </is>
      </c>
      <c r="O923" s="0">
        <f>INDEX(Journaux!$E$5:$E$18,MATCH("2025|"&amp;A923,Journaux!$A$5:$A$18,0))</f>
      </c>
      <c r="P923" s="0">
        <f>INDEX(Comptes!$K$5:$K$42,MATCH(E923,Comptes!$A$5:$A$42,0))</f>
      </c>
      <c r="Q923" s="0" t="inlineStr">
        <is>
          <t xml:space="preserve">2</t>
        </is>
      </c>
    </row>
    <row r="924">
      <c r="A924" s="4" t="inlineStr">
        <is>
          <t xml:space="preserve">OD</t>
        </is>
      </c>
      <c r="B924" s="0" t="inlineStr">
        <is>
          <t xml:space="preserve">Operations diverses</t>
        </is>
      </c>
      <c r="C924" s="0" t="inlineStr">
        <is>
          <t xml:space="preserve">OD00015</t>
        </is>
      </c>
      <c r="D924" s="10">
        <v>46022</v>
      </c>
      <c r="E924" s="4" t="inlineStr">
        <is>
          <t xml:space="preserve">281830</t>
        </is>
      </c>
      <c r="F924" s="0" t="inlineStr">
        <is>
          <t xml:space="preserve">Amortissements materiel de bureau</t>
        </is>
      </c>
      <c r="G924" s="0" t="inlineStr">
        <is>
          <t xml:space="preserve">DAP2025</t>
        </is>
      </c>
      <c r="H924" s="0" t="inlineStr">
        <is>
          <t xml:space="preserve">Dotations aux amortissements 2025</t>
        </is>
      </c>
      <c r="I924" s="8">
        <v>0</v>
      </c>
      <c r="J924" s="8">
        <v>5000</v>
      </c>
      <c r="K924" s="0"/>
      <c r="L924" s="0"/>
      <c r="M924" s="8">
        <f>I924-J924</f>
      </c>
      <c r="N924" s="0" t="inlineStr">
        <is>
          <t xml:space="preserve">2025-12</t>
        </is>
      </c>
      <c r="O924" s="0">
        <f>INDEX(Journaux!$E$5:$E$18,MATCH("2025|"&amp;A924,Journaux!$A$5:$A$18,0))</f>
      </c>
      <c r="P924" s="0">
        <f>INDEX(Comptes!$K$5:$K$42,MATCH(E924,Comptes!$A$5:$A$42,0))</f>
      </c>
      <c r="Q924" s="0" t="inlineStr">
        <is>
          <t xml:space="preserve">2</t>
        </is>
      </c>
    </row>
    <row r="925">
      <c r="A925" s="4" t="inlineStr">
        <is>
          <t xml:space="preserve">OD</t>
        </is>
      </c>
      <c r="B925" s="0" t="inlineStr">
        <is>
          <t xml:space="preserve">Operations diverses</t>
        </is>
      </c>
      <c r="C925" s="0" t="inlineStr">
        <is>
          <t xml:space="preserve">OD00018</t>
        </is>
      </c>
      <c r="D925" s="10">
        <v>46022</v>
      </c>
      <c r="E925" s="4" t="inlineStr">
        <is>
          <t xml:space="preserve">445710</t>
        </is>
      </c>
      <c r="F925" s="0" t="inlineStr">
        <is>
          <t xml:space="preserve">TVA collectee</t>
        </is>
      </c>
      <c r="G925" s="0" t="inlineStr">
        <is>
          <t xml:space="preserve">CA3-202512C</t>
        </is>
      </c>
      <c r="H925" s="0" t="inlineStr">
        <is>
          <t xml:space="preserve">Declaration TVA complementaire 12/2025</t>
        </is>
      </c>
      <c r="I925" s="8">
        <v>16000</v>
      </c>
      <c r="J925" s="8">
        <v>0</v>
      </c>
      <c r="K925" s="0"/>
      <c r="L925" s="0"/>
      <c r="M925" s="8">
        <f>I925-J925</f>
      </c>
      <c r="N925" s="0" t="inlineStr">
        <is>
          <t xml:space="preserve">2025-12</t>
        </is>
      </c>
      <c r="O925" s="0">
        <f>INDEX(Journaux!$E$5:$E$18,MATCH("2025|"&amp;A925,Journaux!$A$5:$A$18,0))</f>
      </c>
      <c r="P925" s="0">
        <f>INDEX(Comptes!$K$5:$K$42,MATCH(E925,Comptes!$A$5:$A$42,0))</f>
      </c>
      <c r="Q925" s="0" t="inlineStr">
        <is>
          <t xml:space="preserve">4</t>
        </is>
      </c>
    </row>
    <row r="926">
      <c r="A926" s="4" t="inlineStr">
        <is>
          <t xml:space="preserve">OD</t>
        </is>
      </c>
      <c r="B926" s="0" t="inlineStr">
        <is>
          <t xml:space="preserve">Operations diverses</t>
        </is>
      </c>
      <c r="C926" s="0" t="inlineStr">
        <is>
          <t xml:space="preserve">OD00018</t>
        </is>
      </c>
      <c r="D926" s="10">
        <v>46022</v>
      </c>
      <c r="E926" s="4" t="inlineStr">
        <is>
          <t xml:space="preserve">445510</t>
        </is>
      </c>
      <c r="F926" s="0" t="inlineStr">
        <is>
          <t xml:space="preserve">TVA a decaisser</t>
        </is>
      </c>
      <c r="G926" s="0" t="inlineStr">
        <is>
          <t xml:space="preserve">CA3-202512C</t>
        </is>
      </c>
      <c r="H926" s="0" t="inlineStr">
        <is>
          <t xml:space="preserve">Declaration TVA complementaire 12/2025</t>
        </is>
      </c>
      <c r="I926" s="8">
        <v>0</v>
      </c>
      <c r="J926" s="8">
        <v>16000</v>
      </c>
      <c r="K926" s="0"/>
      <c r="L926" s="0"/>
      <c r="M926" s="8">
        <f>I926-J926</f>
      </c>
      <c r="N926" s="0" t="inlineStr">
        <is>
          <t xml:space="preserve">2025-12</t>
        </is>
      </c>
      <c r="O926" s="0">
        <f>INDEX(Journaux!$E$5:$E$18,MATCH("2025|"&amp;A926,Journaux!$A$5:$A$18,0))</f>
      </c>
      <c r="P926" s="0">
        <f>INDEX(Comptes!$K$5:$K$42,MATCH(E926,Comptes!$A$5:$A$42,0))</f>
      </c>
      <c r="Q926" s="0" t="inlineStr">
        <is>
          <t xml:space="preserve">4</t>
        </is>
      </c>
    </row>
    <row r="927">
      <c r="A927" s="4" t="inlineStr">
        <is>
          <t xml:space="preserve">SA</t>
        </is>
      </c>
      <c r="B927" s="0" t="inlineStr">
        <is>
          <t xml:space="preserve">Salaires</t>
        </is>
      </c>
      <c r="C927" s="0" t="inlineStr">
        <is>
          <t xml:space="preserve">SA00012</t>
        </is>
      </c>
      <c r="D927" s="10">
        <v>46022</v>
      </c>
      <c r="E927" s="4" t="inlineStr">
        <is>
          <t xml:space="preserve">641000</t>
        </is>
      </c>
      <c r="F927" s="0" t="inlineStr">
        <is>
          <t xml:space="preserve">Remunerations du personnel</t>
        </is>
      </c>
      <c r="G927" s="0" t="inlineStr">
        <is>
          <t xml:space="preserve">PAIE202512</t>
        </is>
      </c>
      <c r="H927" s="0" t="inlineStr">
        <is>
          <t xml:space="preserve">Paie 12/2025</t>
        </is>
      </c>
      <c r="I927" s="8">
        <v>49251.85</v>
      </c>
      <c r="J927" s="8">
        <v>0</v>
      </c>
      <c r="K927" s="0"/>
      <c r="L927" s="0"/>
      <c r="M927" s="8">
        <f>I927-J927</f>
      </c>
      <c r="N927" s="0" t="inlineStr">
        <is>
          <t xml:space="preserve">2025-12</t>
        </is>
      </c>
      <c r="O927" s="0">
        <f>INDEX(Journaux!$E$5:$E$18,MATCH("2025|"&amp;A927,Journaux!$A$5:$A$18,0))</f>
      </c>
      <c r="P927" s="0">
        <f>INDEX(Comptes!$K$5:$K$42,MATCH(E927,Comptes!$A$5:$A$42,0))</f>
      </c>
      <c r="Q927" s="0" t="inlineStr">
        <is>
          <t xml:space="preserve">6</t>
        </is>
      </c>
    </row>
    <row r="928">
      <c r="A928" s="4" t="inlineStr">
        <is>
          <t xml:space="preserve">SA</t>
        </is>
      </c>
      <c r="B928" s="0" t="inlineStr">
        <is>
          <t xml:space="preserve">Salaires</t>
        </is>
      </c>
      <c r="C928" s="0" t="inlineStr">
        <is>
          <t xml:space="preserve">SA00012</t>
        </is>
      </c>
      <c r="D928" s="10">
        <v>46022</v>
      </c>
      <c r="E928" s="4" t="inlineStr">
        <is>
          <t xml:space="preserve">645100</t>
        </is>
      </c>
      <c r="F928" s="0" t="inlineStr">
        <is>
          <t xml:space="preserve">Cotisations URSSAF</t>
        </is>
      </c>
      <c r="G928" s="0" t="inlineStr">
        <is>
          <t xml:space="preserve">PAIE202512</t>
        </is>
      </c>
      <c r="H928" s="0" t="inlineStr">
        <is>
          <t xml:space="preserve">Paie 12/2025</t>
        </is>
      </c>
      <c r="I928" s="8">
        <v>20685.78</v>
      </c>
      <c r="J928" s="8">
        <v>0</v>
      </c>
      <c r="K928" s="0"/>
      <c r="L928" s="0"/>
      <c r="M928" s="8">
        <f>I928-J928</f>
      </c>
      <c r="N928" s="0" t="inlineStr">
        <is>
          <t xml:space="preserve">2025-12</t>
        </is>
      </c>
      <c r="O928" s="0">
        <f>INDEX(Journaux!$E$5:$E$18,MATCH("2025|"&amp;A928,Journaux!$A$5:$A$18,0))</f>
      </c>
      <c r="P928" s="0">
        <f>INDEX(Comptes!$K$5:$K$42,MATCH(E928,Comptes!$A$5:$A$42,0))</f>
      </c>
      <c r="Q928" s="0" t="inlineStr">
        <is>
          <t xml:space="preserve">6</t>
        </is>
      </c>
    </row>
    <row r="929">
      <c r="A929" s="4" t="inlineStr">
        <is>
          <t xml:space="preserve">SA</t>
        </is>
      </c>
      <c r="B929" s="0" t="inlineStr">
        <is>
          <t xml:space="preserve">Salaires</t>
        </is>
      </c>
      <c r="C929" s="0" t="inlineStr">
        <is>
          <t xml:space="preserve">SA00012</t>
        </is>
      </c>
      <c r="D929" s="10">
        <v>46022</v>
      </c>
      <c r="E929" s="4" t="inlineStr">
        <is>
          <t xml:space="preserve">421000</t>
        </is>
      </c>
      <c r="F929" s="0" t="inlineStr">
        <is>
          <t xml:space="preserve">Personnel remunerations dues</t>
        </is>
      </c>
      <c r="G929" s="0" t="inlineStr">
        <is>
          <t xml:space="preserve">PAIE202512</t>
        </is>
      </c>
      <c r="H929" s="0" t="inlineStr">
        <is>
          <t xml:space="preserve">Paie 12/2025</t>
        </is>
      </c>
      <c r="I929" s="8">
        <v>0</v>
      </c>
      <c r="J929" s="8">
        <v>38416.44</v>
      </c>
      <c r="K929" s="0"/>
      <c r="L929" s="0"/>
      <c r="M929" s="8">
        <f>I929-J929</f>
      </c>
      <c r="N929" s="0" t="inlineStr">
        <is>
          <t xml:space="preserve">2025-12</t>
        </is>
      </c>
      <c r="O929" s="0">
        <f>INDEX(Journaux!$E$5:$E$18,MATCH("2025|"&amp;A929,Journaux!$A$5:$A$18,0))</f>
      </c>
      <c r="P929" s="0">
        <f>INDEX(Comptes!$K$5:$K$42,MATCH(E929,Comptes!$A$5:$A$42,0))</f>
      </c>
      <c r="Q929" s="0" t="inlineStr">
        <is>
          <t xml:space="preserve">4</t>
        </is>
      </c>
    </row>
    <row r="930">
      <c r="A930" s="4" t="inlineStr">
        <is>
          <t xml:space="preserve">SA</t>
        </is>
      </c>
      <c r="B930" s="0" t="inlineStr">
        <is>
          <t xml:space="preserve">Salaires</t>
        </is>
      </c>
      <c r="C930" s="0" t="inlineStr">
        <is>
          <t xml:space="preserve">SA00012</t>
        </is>
      </c>
      <c r="D930" s="10">
        <v>46022</v>
      </c>
      <c r="E930" s="4" t="inlineStr">
        <is>
          <t xml:space="preserve">431000</t>
        </is>
      </c>
      <c r="F930" s="0" t="inlineStr">
        <is>
          <t xml:space="preserve">Securite sociale</t>
        </is>
      </c>
      <c r="G930" s="0" t="inlineStr">
        <is>
          <t xml:space="preserve">PAIE202512</t>
        </is>
      </c>
      <c r="H930" s="0" t="inlineStr">
        <is>
          <t xml:space="preserve">Paie 12/2025</t>
        </is>
      </c>
      <c r="I930" s="8">
        <v>0</v>
      </c>
      <c r="J930" s="8">
        <v>31521.19</v>
      </c>
      <c r="K930" s="0"/>
      <c r="L930" s="0"/>
      <c r="M930" s="8">
        <f>I930-J930</f>
      </c>
      <c r="N930" s="0" t="inlineStr">
        <is>
          <t xml:space="preserve">2025-12</t>
        </is>
      </c>
      <c r="O930" s="0">
        <f>INDEX(Journaux!$E$5:$E$18,MATCH("2025|"&amp;A930,Journaux!$A$5:$A$18,0))</f>
      </c>
      <c r="P930" s="0">
        <f>INDEX(Comptes!$K$5:$K$42,MATCH(E930,Comptes!$A$5:$A$42,0))</f>
      </c>
      <c r="Q930" s="0" t="inlineStr">
        <is>
          <t xml:space="preserve">4</t>
        </is>
      </c>
    </row>
    <row r="931">
      <c r="A931" s="4" t="inlineStr">
        <is>
          <t xml:space="preserve">VT</t>
        </is>
      </c>
      <c r="B931" s="0" t="inlineStr">
        <is>
          <t xml:space="preserve">Journal des ventes</t>
        </is>
      </c>
      <c r="C931" s="0" t="inlineStr">
        <is>
          <t xml:space="preserve">VT00054</t>
        </is>
      </c>
      <c r="D931" s="10">
        <v>46022</v>
      </c>
      <c r="E931" s="4" t="inlineStr">
        <is>
          <t xml:space="preserve">411000</t>
        </is>
      </c>
      <c r="F931" s="0" t="inlineStr">
        <is>
          <t xml:space="preserve">Clients</t>
        </is>
      </c>
      <c r="G931" s="0" t="inlineStr">
        <is>
          <t xml:space="preserve">FA2025-0054</t>
        </is>
      </c>
      <c r="H931" s="0" t="inlineStr">
        <is>
          <t xml:space="preserve">Facture FA2025-0054 Coworking Atelier 9</t>
        </is>
      </c>
      <c r="I931" s="8">
        <v>35897.09</v>
      </c>
      <c r="J931" s="8">
        <v>0</v>
      </c>
      <c r="K931" s="0"/>
      <c r="L931" s="0" t="inlineStr">
        <is>
          <t xml:space="preserve">Coworking Atelier 9</t>
        </is>
      </c>
      <c r="M931" s="8">
        <f>I931-J931</f>
      </c>
      <c r="N931" s="0" t="inlineStr">
        <is>
          <t xml:space="preserve">2025-12</t>
        </is>
      </c>
      <c r="O931" s="0">
        <f>INDEX(Journaux!$E$5:$E$18,MATCH("2025|"&amp;A931,Journaux!$A$5:$A$18,0))</f>
      </c>
      <c r="P931" s="0">
        <f>INDEX(Comptes!$K$5:$K$42,MATCH(E931,Comptes!$A$5:$A$42,0))</f>
      </c>
      <c r="Q931" s="0" t="inlineStr">
        <is>
          <t xml:space="preserve">4</t>
        </is>
      </c>
      <c r="R931" s="7" t="inlineStr">
        <is>
          <t xml:space="preserve">411000|C008</t>
        </is>
      </c>
    </row>
    <row r="932">
      <c r="A932" s="4" t="inlineStr">
        <is>
          <t xml:space="preserve">VT</t>
        </is>
      </c>
      <c r="B932" s="0" t="inlineStr">
        <is>
          <t xml:space="preserve">Journal des ventes</t>
        </is>
      </c>
      <c r="C932" s="0" t="inlineStr">
        <is>
          <t xml:space="preserve">VT00054</t>
        </is>
      </c>
      <c r="D932" s="10">
        <v>46022</v>
      </c>
      <c r="E932" s="4" t="inlineStr">
        <is>
          <t xml:space="preserve">701000</t>
        </is>
      </c>
      <c r="F932" s="0" t="inlineStr">
        <is>
          <t xml:space="preserve">Ventes de produits finis</t>
        </is>
      </c>
      <c r="G932" s="0" t="inlineStr">
        <is>
          <t xml:space="preserve">FA2025-0054</t>
        </is>
      </c>
      <c r="H932" s="0" t="inlineStr">
        <is>
          <t xml:space="preserve">Facture FA2025-0054 Coworking Atelier 9</t>
        </is>
      </c>
      <c r="I932" s="8">
        <v>0</v>
      </c>
      <c r="J932" s="8">
        <v>29914.24</v>
      </c>
      <c r="K932" s="0"/>
      <c r="L932" s="0"/>
      <c r="M932" s="8">
        <f>I932-J932</f>
      </c>
      <c r="N932" s="0" t="inlineStr">
        <is>
          <t xml:space="preserve">2025-12</t>
        </is>
      </c>
      <c r="O932" s="0">
        <f>INDEX(Journaux!$E$5:$E$18,MATCH("2025|"&amp;A932,Journaux!$A$5:$A$18,0))</f>
      </c>
      <c r="P932" s="0">
        <f>INDEX(Comptes!$K$5:$K$42,MATCH(E932,Comptes!$A$5:$A$42,0))</f>
      </c>
      <c r="Q932" s="0" t="inlineStr">
        <is>
          <t xml:space="preserve">7</t>
        </is>
      </c>
    </row>
    <row r="933">
      <c r="A933" s="4" t="inlineStr">
        <is>
          <t xml:space="preserve">VT</t>
        </is>
      </c>
      <c r="B933" s="0" t="inlineStr">
        <is>
          <t xml:space="preserve">Journal des ventes</t>
        </is>
      </c>
      <c r="C933" s="0" t="inlineStr">
        <is>
          <t xml:space="preserve">VT00054</t>
        </is>
      </c>
      <c r="D933" s="10">
        <v>46022</v>
      </c>
      <c r="E933" s="4" t="inlineStr">
        <is>
          <t xml:space="preserve">445710</t>
        </is>
      </c>
      <c r="F933" s="0" t="inlineStr">
        <is>
          <t xml:space="preserve">TVA collectee</t>
        </is>
      </c>
      <c r="G933" s="0" t="inlineStr">
        <is>
          <t xml:space="preserve">FA2025-0054</t>
        </is>
      </c>
      <c r="H933" s="0" t="inlineStr">
        <is>
          <t xml:space="preserve">Facture FA2025-0054 Coworking Atelier 9</t>
        </is>
      </c>
      <c r="I933" s="8">
        <v>0</v>
      </c>
      <c r="J933" s="8">
        <v>5982.85</v>
      </c>
      <c r="K933" s="0"/>
      <c r="L933" s="0"/>
      <c r="M933" s="8">
        <f>I933-J933</f>
      </c>
      <c r="N933" s="0" t="inlineStr">
        <is>
          <t xml:space="preserve">2025-12</t>
        </is>
      </c>
      <c r="O933" s="0">
        <f>INDEX(Journaux!$E$5:$E$18,MATCH("2025|"&amp;A933,Journaux!$A$5:$A$18,0))</f>
      </c>
      <c r="P933" s="0">
        <f>INDEX(Comptes!$K$5:$K$42,MATCH(E933,Comptes!$A$5:$A$42,0))</f>
      </c>
      <c r="Q933" s="0" t="inlineStr">
        <is>
          <t xml:space="preserve">4</t>
        </is>
      </c>
    </row>
  </sheetData>
  <autoFilter ref="A1:R933"/>
</worksheet>
</file>