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SEZMOI" sheetId="1" r:id="rId1"/>
    <sheet name="Controles" sheetId="2" r:id="rId2"/>
    <sheet name="Flux_mensuels" sheetId="3" r:id="rId3"/>
    <sheet name="Flux_hebdo" sheetId="4" r:id="rId4"/>
    <sheet name="Solde_quotidien" sheetId="5" r:id="rId5"/>
    <sheet name="Delais" sheetId="6" r:id="rId6"/>
    <sheet name="Recurrences" sheetId="7" r:id="rId7"/>
    <sheet name="Categories" sheetId="8" r:id="rId8"/>
    <sheet name="Flux_detail" sheetId="9" r:id="rId9"/>
  </sheets>
  <definedNames>
    <definedName name="_xlnm._FilterDatabase" localSheetId="8" hidden="1">'Flux_detail'!$A$1:$O$403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#,##0;(#,##0);-"/>
    <numFmt numFmtId="165" formatCode="#,##0.00;(#,##0.00);-"/>
    <numFmt numFmtId="166" formatCode="0.0%;(0.0%);-"/>
    <numFmt numFmtId="167" formatCode="0&quot; j&quot;;(0&quot; j&quot;);-"/>
    <numFmt numFmtId="168" formatCode="dd/mm/yyyy"/>
    <numFmt numFmtId="169" formatCode="0.0&quot;x&quot;;(0.0&quot;x&quot;)"/>
    <numFmt numFmtId="170" formatCode="#,##0"/>
  </numFmts>
  <fonts count="13"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color rgb="FF0000FF"/>
      <name val="Arial"/>
      <family val="2"/>
    </font>
    <font>
      <b/>
      <sz val="9"/>
      <color rgb="FF0000FF"/>
      <name val="Arial"/>
      <family val="2"/>
    </font>
    <font>
      <b/>
      <sz val="9"/>
      <color rgb="FFFFFFFF"/>
      <name val="Arial"/>
      <family val="2"/>
    </font>
    <font>
      <b/>
      <sz val="13"/>
      <color rgb="FF1F3A5F"/>
      <name val="Arial"/>
      <family val="2"/>
    </font>
    <font>
      <i/>
      <sz val="9"/>
      <color rgb="FF666666"/>
      <name val="Arial"/>
      <family val="2"/>
    </font>
    <font>
      <sz val="7"/>
      <color rgb="FF999999"/>
      <name val="Arial"/>
      <family val="2"/>
    </font>
    <font>
      <b/>
      <sz val="9"/>
      <color rgb="FF1F3A5F"/>
      <name val="Arial"/>
      <family val="2"/>
    </font>
    <font>
      <b/>
      <i/>
      <sz val="9"/>
      <name val="Arial"/>
      <family val="2"/>
    </font>
    <font>
      <b/>
      <sz val="9"/>
      <color rgb="FFC00000"/>
      <name val="Arial"/>
      <family val="2"/>
    </font>
    <font>
      <b/>
      <sz val="9"/>
      <color rgb="FF2E7D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NumberFormat="1" applyFont="1" applyFill="1"/>
    <xf numFmtId="0" fontId="6" fillId="0" borderId="0" xfId="0" applyNumberFormat="1" applyFont="1" applyFill="1"/>
    <xf numFmtId="0" fontId="7" fillId="0" borderId="0" xfId="0" applyNumberFormat="1" applyFont="1" applyFill="1"/>
    <xf numFmtId="0" fontId="5" fillId="2" borderId="0" xfId="0" applyNumberFormat="1" applyFont="1" applyFill="1" applyAlignment="1">
      <alignment horizontal="center" wrapText="1" vertical="top"/>
    </xf>
    <xf numFmtId="0" fontId="3" fillId="0" borderId="0" xfId="0" applyNumberFormat="1" applyFont="1" applyFill="1"/>
    <xf numFmtId="0" fontId="9" fillId="0" borderId="0" xfId="0" applyNumberFormat="1" applyFont="1" applyFill="1"/>
    <xf numFmtId="49" fontId="0" fillId="0" borderId="0" xfId="0" applyNumberFormat="1" applyFont="1" applyFill="1"/>
    <xf numFmtId="168" fontId="0" fillId="0" borderId="0" xfId="0" applyNumberFormat="1" applyFont="1" applyFill="1"/>
    <xf numFmtId="165" fontId="0" fillId="0" borderId="0" xfId="0" applyNumberFormat="1" applyFont="1" applyFill="1"/>
    <xf numFmtId="0" fontId="0" fillId="4" borderId="0" xfId="0" applyNumberFormat="1" applyFont="1" applyFill="1"/>
    <xf numFmtId="0" fontId="8" fillId="0" borderId="0" xfId="0" applyNumberFormat="1" applyFont="1" applyFill="1"/>
    <xf numFmtId="164" fontId="0" fillId="0" borderId="0" xfId="0" applyNumberFormat="1" applyFont="1" applyFill="1"/>
    <xf numFmtId="0" fontId="1" fillId="3" borderId="0" xfId="0" applyNumberFormat="1" applyFont="1" applyFill="1"/>
    <xf numFmtId="164" fontId="1" fillId="3" borderId="0" xfId="0" applyNumberFormat="1" applyFont="1" applyFill="1"/>
    <xf numFmtId="164" fontId="1" fillId="5" borderId="0" xfId="0" applyNumberFormat="1" applyFont="1" applyFill="1"/>
    <xf numFmtId="0" fontId="1" fillId="0" borderId="0" xfId="0" applyNumberFormat="1" applyFont="1" applyFill="1"/>
    <xf numFmtId="0" fontId="2" fillId="0" borderId="0" xfId="0" applyNumberFormat="1" applyFont="1" applyFill="1"/>
    <xf numFmtId="164" fontId="3" fillId="0" borderId="0" xfId="0" applyNumberFormat="1" applyFont="1" applyFill="1"/>
    <xf numFmtId="164" fontId="1" fillId="0" borderId="0" xfId="0" applyNumberFormat="1" applyFont="1" applyFill="1"/>
    <xf numFmtId="164" fontId="2" fillId="0" borderId="0" xfId="0" applyNumberFormat="1" applyFont="1" applyFill="1"/>
    <xf numFmtId="168" fontId="8" fillId="0" borderId="0" xfId="0" applyNumberFormat="1" applyFont="1" applyFill="1"/>
    <xf numFmtId="170" fontId="0" fillId="0" borderId="0" xfId="0" applyNumberFormat="1" applyFont="1" applyFill="1"/>
    <xf numFmtId="166" fontId="0" fillId="0" borderId="0" xfId="0" applyNumberFormat="1" applyFont="1" applyFill="1"/>
    <xf numFmtId="0" fontId="0" fillId="0" borderId="0" xfId="0" applyNumberFormat="1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 tabSelected="1"/>
  </sheetViews>
  <sheetFormatPr defaultRowHeight="12.75"/>
  <cols>
    <col min="1" max="1" width="20" customWidth="1"/>
    <col min="2" max="2" width="120" customWidth="1"/>
  </cols>
  <sheetData>
    <row r="1">
      <c r="A1" s="1" t="inlineStr">
        <is>
          <t xml:space="preserve">Vestis — Trésorerie historique reconstituée depuis le FEC</t>
        </is>
      </c>
    </row>
    <row r="2">
      <c r="A2" s="2" t="inlineStr">
        <is>
          <t xml:space="preserve">Exercices : 2024, 2025. Généré le 19/10/2026.</t>
        </is>
      </c>
    </row>
    <row r="4">
      <c r="A4" s="15" t="inlineStr">
        <is>
          <t xml:space="preserve">Méthode</t>
        </is>
      </c>
      <c r="B4" s="23" t="inlineStr">
        <is>
          <t xml:space="preserve">Chaque écriture qui mouvemente un compte de banque (512, 514, 517, 53) est lue par sa contrepartie : 411 = encaissement client, 421 = salaires, 431 = URSSAF, 445 = TVA, 164 = emprunt, etc. Les à-nouveaux ne sont pas des flux : ils donnent la trésorerie d'ouverture.</t>
        </is>
      </c>
    </row>
    <row r="5">
      <c r="A5" s="15" t="inlineStr">
        <is>
          <t xml:space="preserve">Reclasser un flux</t>
        </is>
      </c>
      <c r="B5" s="23" t="inlineStr">
        <is>
          <t xml:space="preserve">Flux_detail, colonne M « Surcharge » (jaune) : saisir une catégorie de l'onglet Categories. Tous les tableaux se recalculent.</t>
        </is>
      </c>
    </row>
    <row r="6">
      <c r="A6" s="15" t="inlineStr">
        <is>
          <t xml:space="preserve">Limites</t>
        </is>
      </c>
      <c r="B6" s="23" t="inlineStr">
        <is>
          <t xml:space="preserve">Le FEC s'arrête à la dernière saisie du cabinet : les semaines récentes viendront des relevés bancaires. Le solde est comptable, pas le solde de relevé (rapprochement bancaire à vérifier). Les virements via 58 et les comptes d'attente sont signalés dans les contrôles.</t>
        </is>
      </c>
    </row>
    <row r="7">
      <c r="A7" s="15" t="inlineStr">
        <is>
          <t xml:space="preserve">Ordre de lecture</t>
        </is>
      </c>
      <c r="B7" s="23" t="inlineStr">
        <is>
          <t xml:space="preserve">1. Controles  2. Flux_mensuels  3. Solde_quotidien (point bas)  4. Flux_hebdo  5. Delais  6. Recurrences.</t>
        </is>
      </c>
    </row>
    <row r="8">
      <c r="A8" s="15" t="inlineStr">
        <is>
          <t xml:space="preserve">Confidentialité</t>
        </is>
      </c>
      <c r="B8" s="23" t="inlineStr">
        <is>
          <t xml:space="preserve">Classeur produit localement : les fichiers n'ont été transmis à aucun serveur.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1" ySplit="4" topLeftCell="B5" activePane="bottomRight" state="frozen"/>
    </sheetView>
  </sheetViews>
  <sheetFormatPr defaultRowHeight="12.75"/>
  <cols>
    <col min="1" max="1" width="52" customWidth="1"/>
    <col min="2" max="2" width="15" customWidth="1"/>
    <col min="3" max="3" width="9" customWidth="1"/>
    <col min="4" max="4" width="15" customWidth="1"/>
    <col min="5" max="5" width="9" customWidth="1"/>
  </cols>
  <sheetData>
    <row r="1">
      <c r="A1" s="1" t="inlineStr">
        <is>
          <t xml:space="preserve">Contrôles de la reconstitution des flux</t>
        </is>
      </c>
    </row>
    <row r="2">
      <c r="A2" s="2" t="inlineStr">
        <is>
          <t xml:space="preserve">La trésorerie de fin d'exercice recalculée à partir des flux doit égaler le solde comptable des banques.</t>
        </is>
      </c>
    </row>
    <row r="4">
      <c r="A4" s="3" t="inlineStr">
        <is>
          <t xml:space="preserve">Contrôle</t>
        </is>
      </c>
      <c r="B4" s="3" t="inlineStr">
        <is>
          <t xml:space="preserve">2024</t>
        </is>
      </c>
      <c r="C4" s="3" t="inlineStr">
        <is>
          <t xml:space="preserve">Statut</t>
        </is>
      </c>
      <c r="D4" s="3" t="inlineStr">
        <is>
          <t xml:space="preserve">2025</t>
        </is>
      </c>
      <c r="E4" s="3" t="inlineStr">
        <is>
          <t xml:space="preserve">Statut</t>
        </is>
      </c>
    </row>
    <row r="5">
      <c r="A5" s="0" t="inlineStr">
        <is>
          <t xml:space="preserve">Trésorerie d'ouverture (à-nouveaux bancaires)</t>
        </is>
      </c>
      <c r="B5" s="8">
        <v>85000</v>
      </c>
      <c r="D5" s="8">
        <v>111111.24</v>
      </c>
    </row>
    <row r="6">
      <c r="A6" s="0" t="inlineStr">
        <is>
          <t xml:space="preserve">Flux nets de l'exercice (somme des flux détaillés)</t>
        </is>
      </c>
      <c r="B6" s="8">
        <f>SUMIFS(Flux_detail!$K$2:$K$403,Flux_detail!$D$2:$D$403,"2024")</f>
      </c>
      <c r="D6" s="8">
        <f>SUMIFS(Flux_detail!$K$2:$K$403,Flux_detail!$D$2:$D$403,"2025")</f>
      </c>
    </row>
    <row r="7">
      <c r="A7" s="0" t="inlineStr">
        <is>
          <t xml:space="preserve">Trésorerie de clôture recalculée</t>
        </is>
      </c>
      <c r="B7" s="8">
        <f>B5+B6</f>
      </c>
      <c r="D7" s="8">
        <f>D5+D6</f>
      </c>
    </row>
    <row r="8">
      <c r="A8" s="0" t="inlineStr">
        <is>
          <t xml:space="preserve">Solde comptable des banques à la clôture</t>
        </is>
      </c>
      <c r="B8" s="8">
        <v>111111.24</v>
      </c>
      <c r="D8" s="8">
        <v>-152621.97</v>
      </c>
    </row>
    <row r="9">
      <c r="A9" s="0" t="inlineStr">
        <is>
          <t xml:space="preserve">Écart (doit être nul)</t>
        </is>
      </c>
      <c r="B9" s="8">
        <f>B7-B8</f>
      </c>
      <c r="C9" s="15">
        <f>IF(ABS(B9)&lt;=1,"OK","À VOIR")</f>
      </c>
      <c r="D9" s="8">
        <f>D7-D8</f>
      </c>
      <c r="E9" s="15">
        <f>IF(ABS(D9)&lt;=1,"OK","À VOIR")</f>
      </c>
    </row>
    <row r="10">
      <c r="A10" s="0" t="inlineStr">
        <is>
          <t xml:space="preserve">Écritures de banque déséquilibrées (montant)</t>
        </is>
      </c>
      <c r="B10" s="8">
        <v>0</v>
      </c>
      <c r="C10" s="15">
        <f>IF(ABS(B10)&lt;=1,"OK","À VOIR")</f>
      </c>
      <c r="D10" s="8">
        <v>0</v>
      </c>
      <c r="E10" s="15">
        <f>IF(ABS(D10)&lt;=1,"OK","À VOIR")</f>
      </c>
    </row>
    <row r="11">
      <c r="A11" s="0" t="inlineStr">
        <is>
          <t xml:space="preserve">Part des flux non affectés (attente, divers, transit)</t>
        </is>
      </c>
      <c r="B11" s="22">
        <v>0</v>
      </c>
      <c r="C11" s="15">
        <f>IF(B11&lt;=0.05,"OK","À VOIR")</f>
      </c>
      <c r="D11" s="22">
        <v>0</v>
      </c>
      <c r="E11" s="15">
        <f>IF(D11&lt;=0.05,"OK","À VOIR")</f>
      </c>
    </row>
    <row r="12">
      <c r="A12" s="0" t="inlineStr">
        <is>
          <t xml:space="preserve">Fonds en transit (comptes 58) à la clôture</t>
        </is>
      </c>
      <c r="B12" s="8">
        <v>0</v>
      </c>
      <c r="C12" s="15">
        <f>IF(ABS(B12)&lt;=1,"OK","À VOIR")</f>
      </c>
      <c r="D12" s="8">
        <v>0</v>
      </c>
      <c r="E12" s="15">
        <f>IF(ABS(D12)&lt;=1,"OK","À VOIR")</f>
      </c>
    </row>
    <row r="13">
      <c r="A13" s="0" t="inlineStr">
        <is>
          <t xml:space="preserve">Nombre de flux reconstitués</t>
        </is>
      </c>
      <c r="B13" s="8">
        <v>202</v>
      </c>
      <c r="D13" s="8">
        <v>200</v>
      </c>
    </row>
    <row r="14">
      <c r="A14" s="0" t="inlineStr">
        <is>
          <t xml:space="preserve">Comptes de banque</t>
        </is>
      </c>
      <c r="B14" s="0" t="inlineStr">
        <is>
          <t xml:space="preserve">512000</t>
        </is>
      </c>
      <c r="D14" s="0" t="inlineStr">
        <is>
          <t xml:space="preserve">512000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1" ySplit="4" topLeftCell="B5" activePane="bottomRight" state="frozen"/>
    </sheetView>
  </sheetViews>
  <sheetFormatPr defaultRowHeight="12.75"/>
  <cols>
    <col min="1" max="1" width="44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11" customWidth="1"/>
    <col min="23" max="23" width="11" customWidth="1"/>
    <col min="24" max="24" width="11" customWidth="1"/>
    <col min="25" max="25" width="11" customWidth="1"/>
  </cols>
  <sheetData>
    <row r="1">
      <c r="A1" s="1" t="inlineStr">
        <is>
          <t xml:space="preserve">Flux de trésorerie mensuels</t>
        </is>
      </c>
    </row>
    <row r="2">
      <c r="A2" s="2" t="inlineStr">
        <is>
          <t xml:space="preserve">Encaissements positifs, décaissements négatifs. Reconstitués depuis les écritures de banque du FEC (contrepartie de chaque écriture).</t>
        </is>
      </c>
    </row>
    <row r="3">
      <c r="B3" s="10" t="inlineStr">
        <is>
          <t xml:space="preserve">2024</t>
        </is>
      </c>
      <c r="C3" s="10" t="inlineStr">
        <is>
          <t xml:space="preserve">2024</t>
        </is>
      </c>
      <c r="D3" s="10" t="inlineStr">
        <is>
          <t xml:space="preserve">2024</t>
        </is>
      </c>
      <c r="E3" s="10" t="inlineStr">
        <is>
          <t xml:space="preserve">2024</t>
        </is>
      </c>
      <c r="F3" s="10" t="inlineStr">
        <is>
          <t xml:space="preserve">2024</t>
        </is>
      </c>
      <c r="G3" s="10" t="inlineStr">
        <is>
          <t xml:space="preserve">2024</t>
        </is>
      </c>
      <c r="H3" s="10" t="inlineStr">
        <is>
          <t xml:space="preserve">2024</t>
        </is>
      </c>
      <c r="I3" s="10" t="inlineStr">
        <is>
          <t xml:space="preserve">2024</t>
        </is>
      </c>
      <c r="J3" s="10" t="inlineStr">
        <is>
          <t xml:space="preserve">2024</t>
        </is>
      </c>
      <c r="K3" s="10" t="inlineStr">
        <is>
          <t xml:space="preserve">2024</t>
        </is>
      </c>
      <c r="L3" s="10" t="inlineStr">
        <is>
          <t xml:space="preserve">2024</t>
        </is>
      </c>
      <c r="M3" s="10" t="inlineStr">
        <is>
          <t xml:space="preserve">2024</t>
        </is>
      </c>
      <c r="N3" s="10" t="inlineStr">
        <is>
          <t xml:space="preserve">2025</t>
        </is>
      </c>
      <c r="O3" s="10" t="inlineStr">
        <is>
          <t xml:space="preserve">2025</t>
        </is>
      </c>
      <c r="P3" s="10" t="inlineStr">
        <is>
          <t xml:space="preserve">2025</t>
        </is>
      </c>
      <c r="Q3" s="10" t="inlineStr">
        <is>
          <t xml:space="preserve">2025</t>
        </is>
      </c>
      <c r="R3" s="10" t="inlineStr">
        <is>
          <t xml:space="preserve">2025</t>
        </is>
      </c>
      <c r="S3" s="10" t="inlineStr">
        <is>
          <t xml:space="preserve">2025</t>
        </is>
      </c>
      <c r="T3" s="10" t="inlineStr">
        <is>
          <t xml:space="preserve">2025</t>
        </is>
      </c>
      <c r="U3" s="10" t="inlineStr">
        <is>
          <t xml:space="preserve">2025</t>
        </is>
      </c>
      <c r="V3" s="10" t="inlineStr">
        <is>
          <t xml:space="preserve">2025</t>
        </is>
      </c>
      <c r="W3" s="10" t="inlineStr">
        <is>
          <t xml:space="preserve">2025</t>
        </is>
      </c>
      <c r="X3" s="10" t="inlineStr">
        <is>
          <t xml:space="preserve">2025</t>
        </is>
      </c>
      <c r="Y3" s="10" t="inlineStr">
        <is>
          <t xml:space="preserve">2025</t>
        </is>
      </c>
    </row>
    <row r="4">
      <c r="A4" s="3" t="inlineStr">
        <is>
          <t xml:space="preserve">En euros</t>
        </is>
      </c>
      <c r="B4" s="3" t="inlineStr">
        <is>
          <t xml:space="preserve">2024-01</t>
        </is>
      </c>
      <c r="C4" s="3" t="inlineStr">
        <is>
          <t xml:space="preserve">2024-02</t>
        </is>
      </c>
      <c r="D4" s="3" t="inlineStr">
        <is>
          <t xml:space="preserve">2024-03</t>
        </is>
      </c>
      <c r="E4" s="3" t="inlineStr">
        <is>
          <t xml:space="preserve">2024-04</t>
        </is>
      </c>
      <c r="F4" s="3" t="inlineStr">
        <is>
          <t xml:space="preserve">2024-05</t>
        </is>
      </c>
      <c r="G4" s="3" t="inlineStr">
        <is>
          <t xml:space="preserve">2024-06</t>
        </is>
      </c>
      <c r="H4" s="3" t="inlineStr">
        <is>
          <t xml:space="preserve">2024-07</t>
        </is>
      </c>
      <c r="I4" s="3" t="inlineStr">
        <is>
          <t xml:space="preserve">2024-08</t>
        </is>
      </c>
      <c r="J4" s="3" t="inlineStr">
        <is>
          <t xml:space="preserve">2024-09</t>
        </is>
      </c>
      <c r="K4" s="3" t="inlineStr">
        <is>
          <t xml:space="preserve">2024-10</t>
        </is>
      </c>
      <c r="L4" s="3" t="inlineStr">
        <is>
          <t xml:space="preserve">2024-11</t>
        </is>
      </c>
      <c r="M4" s="3" t="inlineStr">
        <is>
          <t xml:space="preserve">2024-12</t>
        </is>
      </c>
      <c r="N4" s="3" t="inlineStr">
        <is>
          <t xml:space="preserve">2025-01</t>
        </is>
      </c>
      <c r="O4" s="3" t="inlineStr">
        <is>
          <t xml:space="preserve">2025-02</t>
        </is>
      </c>
      <c r="P4" s="3" t="inlineStr">
        <is>
          <t xml:space="preserve">2025-03</t>
        </is>
      </c>
      <c r="Q4" s="3" t="inlineStr">
        <is>
          <t xml:space="preserve">2025-04</t>
        </is>
      </c>
      <c r="R4" s="3" t="inlineStr">
        <is>
          <t xml:space="preserve">2025-05</t>
        </is>
      </c>
      <c r="S4" s="3" t="inlineStr">
        <is>
          <t xml:space="preserve">2025-06</t>
        </is>
      </c>
      <c r="T4" s="3" t="inlineStr">
        <is>
          <t xml:space="preserve">2025-07</t>
        </is>
      </c>
      <c r="U4" s="3" t="inlineStr">
        <is>
          <t xml:space="preserve">2025-08</t>
        </is>
      </c>
      <c r="V4" s="3" t="inlineStr">
        <is>
          <t xml:space="preserve">2025-09</t>
        </is>
      </c>
      <c r="W4" s="3" t="inlineStr">
        <is>
          <t xml:space="preserve">2025-10</t>
        </is>
      </c>
      <c r="X4" s="3" t="inlineStr">
        <is>
          <t xml:space="preserve">2025-11</t>
        </is>
      </c>
      <c r="Y4" s="3" t="inlineStr">
        <is>
          <t xml:space="preserve">2025-12</t>
        </is>
      </c>
    </row>
    <row r="5">
      <c r="A5" s="5" t="inlineStr">
        <is>
          <t xml:space="preserve">Flux d'exploitation</t>
        </is>
      </c>
    </row>
    <row r="6">
      <c r="A6" s="0" t="inlineStr">
        <is>
          <t xml:space="preserve">Clients</t>
        </is>
      </c>
      <c r="B6" s="11">
        <f>SUMIFS(Flux_detail!$K$2:$K$403,Flux_detail!$N$2:$N$403,$A6,Flux_detail!$C$2:$C$403,B$4)</f>
      </c>
      <c r="C6" s="11">
        <f>SUMIFS(Flux_detail!$K$2:$K$403,Flux_detail!$N$2:$N$403,$A6,Flux_detail!$C$2:$C$403,C$4)</f>
      </c>
      <c r="D6" s="11">
        <f>SUMIFS(Flux_detail!$K$2:$K$403,Flux_detail!$N$2:$N$403,$A6,Flux_detail!$C$2:$C$403,D$4)</f>
      </c>
      <c r="E6" s="11">
        <f>SUMIFS(Flux_detail!$K$2:$K$403,Flux_detail!$N$2:$N$403,$A6,Flux_detail!$C$2:$C$403,E$4)</f>
      </c>
      <c r="F6" s="11">
        <f>SUMIFS(Flux_detail!$K$2:$K$403,Flux_detail!$N$2:$N$403,$A6,Flux_detail!$C$2:$C$403,F$4)</f>
      </c>
      <c r="G6" s="11">
        <f>SUMIFS(Flux_detail!$K$2:$K$403,Flux_detail!$N$2:$N$403,$A6,Flux_detail!$C$2:$C$403,G$4)</f>
      </c>
      <c r="H6" s="11">
        <f>SUMIFS(Flux_detail!$K$2:$K$403,Flux_detail!$N$2:$N$403,$A6,Flux_detail!$C$2:$C$403,H$4)</f>
      </c>
      <c r="I6" s="11">
        <f>SUMIFS(Flux_detail!$K$2:$K$403,Flux_detail!$N$2:$N$403,$A6,Flux_detail!$C$2:$C$403,I$4)</f>
      </c>
      <c r="J6" s="11">
        <f>SUMIFS(Flux_detail!$K$2:$K$403,Flux_detail!$N$2:$N$403,$A6,Flux_detail!$C$2:$C$403,J$4)</f>
      </c>
      <c r="K6" s="11">
        <f>SUMIFS(Flux_detail!$K$2:$K$403,Flux_detail!$N$2:$N$403,$A6,Flux_detail!$C$2:$C$403,K$4)</f>
      </c>
      <c r="L6" s="11">
        <f>SUMIFS(Flux_detail!$K$2:$K$403,Flux_detail!$N$2:$N$403,$A6,Flux_detail!$C$2:$C$403,L$4)</f>
      </c>
      <c r="M6" s="11">
        <f>SUMIFS(Flux_detail!$K$2:$K$403,Flux_detail!$N$2:$N$403,$A6,Flux_detail!$C$2:$C$403,M$4)</f>
      </c>
      <c r="N6" s="11">
        <f>SUMIFS(Flux_detail!$K$2:$K$403,Flux_detail!$N$2:$N$403,$A6,Flux_detail!$C$2:$C$403,N$4)</f>
      </c>
      <c r="O6" s="11">
        <f>SUMIFS(Flux_detail!$K$2:$K$403,Flux_detail!$N$2:$N$403,$A6,Flux_detail!$C$2:$C$403,O$4)</f>
      </c>
      <c r="P6" s="11">
        <f>SUMIFS(Flux_detail!$K$2:$K$403,Flux_detail!$N$2:$N$403,$A6,Flux_detail!$C$2:$C$403,P$4)</f>
      </c>
      <c r="Q6" s="11">
        <f>SUMIFS(Flux_detail!$K$2:$K$403,Flux_detail!$N$2:$N$403,$A6,Flux_detail!$C$2:$C$403,Q$4)</f>
      </c>
      <c r="R6" s="11">
        <f>SUMIFS(Flux_detail!$K$2:$K$403,Flux_detail!$N$2:$N$403,$A6,Flux_detail!$C$2:$C$403,R$4)</f>
      </c>
      <c r="S6" s="11">
        <f>SUMIFS(Flux_detail!$K$2:$K$403,Flux_detail!$N$2:$N$403,$A6,Flux_detail!$C$2:$C$403,S$4)</f>
      </c>
      <c r="T6" s="11">
        <f>SUMIFS(Flux_detail!$K$2:$K$403,Flux_detail!$N$2:$N$403,$A6,Flux_detail!$C$2:$C$403,T$4)</f>
      </c>
      <c r="U6" s="11">
        <f>SUMIFS(Flux_detail!$K$2:$K$403,Flux_detail!$N$2:$N$403,$A6,Flux_detail!$C$2:$C$403,U$4)</f>
      </c>
      <c r="V6" s="11">
        <f>SUMIFS(Flux_detail!$K$2:$K$403,Flux_detail!$N$2:$N$403,$A6,Flux_detail!$C$2:$C$403,V$4)</f>
      </c>
      <c r="W6" s="11">
        <f>SUMIFS(Flux_detail!$K$2:$K$403,Flux_detail!$N$2:$N$403,$A6,Flux_detail!$C$2:$C$403,W$4)</f>
      </c>
      <c r="X6" s="11">
        <f>SUMIFS(Flux_detail!$K$2:$K$403,Flux_detail!$N$2:$N$403,$A6,Flux_detail!$C$2:$C$403,X$4)</f>
      </c>
      <c r="Y6" s="11">
        <f>SUMIFS(Flux_detail!$K$2:$K$403,Flux_detail!$N$2:$N$403,$A6,Flux_detail!$C$2:$C$403,Y$4)</f>
      </c>
    </row>
    <row r="7">
      <c r="A7" s="0" t="inlineStr">
        <is>
          <t xml:space="preserve">Fournisseurs et charges externes</t>
        </is>
      </c>
      <c r="B7" s="11">
        <f>SUMIFS(Flux_detail!$K$2:$K$403,Flux_detail!$N$2:$N$403,$A7,Flux_detail!$C$2:$C$403,B$4)</f>
      </c>
      <c r="C7" s="11">
        <f>SUMIFS(Flux_detail!$K$2:$K$403,Flux_detail!$N$2:$N$403,$A7,Flux_detail!$C$2:$C$403,C$4)</f>
      </c>
      <c r="D7" s="11">
        <f>SUMIFS(Flux_detail!$K$2:$K$403,Flux_detail!$N$2:$N$403,$A7,Flux_detail!$C$2:$C$403,D$4)</f>
      </c>
      <c r="E7" s="11">
        <f>SUMIFS(Flux_detail!$K$2:$K$403,Flux_detail!$N$2:$N$403,$A7,Flux_detail!$C$2:$C$403,E$4)</f>
      </c>
      <c r="F7" s="11">
        <f>SUMIFS(Flux_detail!$K$2:$K$403,Flux_detail!$N$2:$N$403,$A7,Flux_detail!$C$2:$C$403,F$4)</f>
      </c>
      <c r="G7" s="11">
        <f>SUMIFS(Flux_detail!$K$2:$K$403,Flux_detail!$N$2:$N$403,$A7,Flux_detail!$C$2:$C$403,G$4)</f>
      </c>
      <c r="H7" s="11">
        <f>SUMIFS(Flux_detail!$K$2:$K$403,Flux_detail!$N$2:$N$403,$A7,Flux_detail!$C$2:$C$403,H$4)</f>
      </c>
      <c r="I7" s="11">
        <f>SUMIFS(Flux_detail!$K$2:$K$403,Flux_detail!$N$2:$N$403,$A7,Flux_detail!$C$2:$C$403,I$4)</f>
      </c>
      <c r="J7" s="11">
        <f>SUMIFS(Flux_detail!$K$2:$K$403,Flux_detail!$N$2:$N$403,$A7,Flux_detail!$C$2:$C$403,J$4)</f>
      </c>
      <c r="K7" s="11">
        <f>SUMIFS(Flux_detail!$K$2:$K$403,Flux_detail!$N$2:$N$403,$A7,Flux_detail!$C$2:$C$403,K$4)</f>
      </c>
      <c r="L7" s="11">
        <f>SUMIFS(Flux_detail!$K$2:$K$403,Flux_detail!$N$2:$N$403,$A7,Flux_detail!$C$2:$C$403,L$4)</f>
      </c>
      <c r="M7" s="11">
        <f>SUMIFS(Flux_detail!$K$2:$K$403,Flux_detail!$N$2:$N$403,$A7,Flux_detail!$C$2:$C$403,M$4)</f>
      </c>
      <c r="N7" s="11">
        <f>SUMIFS(Flux_detail!$K$2:$K$403,Flux_detail!$N$2:$N$403,$A7,Flux_detail!$C$2:$C$403,N$4)</f>
      </c>
      <c r="O7" s="11">
        <f>SUMIFS(Flux_detail!$K$2:$K$403,Flux_detail!$N$2:$N$403,$A7,Flux_detail!$C$2:$C$403,O$4)</f>
      </c>
      <c r="P7" s="11">
        <f>SUMIFS(Flux_detail!$K$2:$K$403,Flux_detail!$N$2:$N$403,$A7,Flux_detail!$C$2:$C$403,P$4)</f>
      </c>
      <c r="Q7" s="11">
        <f>SUMIFS(Flux_detail!$K$2:$K$403,Flux_detail!$N$2:$N$403,$A7,Flux_detail!$C$2:$C$403,Q$4)</f>
      </c>
      <c r="R7" s="11">
        <f>SUMIFS(Flux_detail!$K$2:$K$403,Flux_detail!$N$2:$N$403,$A7,Flux_detail!$C$2:$C$403,R$4)</f>
      </c>
      <c r="S7" s="11">
        <f>SUMIFS(Flux_detail!$K$2:$K$403,Flux_detail!$N$2:$N$403,$A7,Flux_detail!$C$2:$C$403,S$4)</f>
      </c>
      <c r="T7" s="11">
        <f>SUMIFS(Flux_detail!$K$2:$K$403,Flux_detail!$N$2:$N$403,$A7,Flux_detail!$C$2:$C$403,T$4)</f>
      </c>
      <c r="U7" s="11">
        <f>SUMIFS(Flux_detail!$K$2:$K$403,Flux_detail!$N$2:$N$403,$A7,Flux_detail!$C$2:$C$403,U$4)</f>
      </c>
      <c r="V7" s="11">
        <f>SUMIFS(Flux_detail!$K$2:$K$403,Flux_detail!$N$2:$N$403,$A7,Flux_detail!$C$2:$C$403,V$4)</f>
      </c>
      <c r="W7" s="11">
        <f>SUMIFS(Flux_detail!$K$2:$K$403,Flux_detail!$N$2:$N$403,$A7,Flux_detail!$C$2:$C$403,W$4)</f>
      </c>
      <c r="X7" s="11">
        <f>SUMIFS(Flux_detail!$K$2:$K$403,Flux_detail!$N$2:$N$403,$A7,Flux_detail!$C$2:$C$403,X$4)</f>
      </c>
      <c r="Y7" s="11">
        <f>SUMIFS(Flux_detail!$K$2:$K$403,Flux_detail!$N$2:$N$403,$A7,Flux_detail!$C$2:$C$403,Y$4)</f>
      </c>
    </row>
    <row r="8">
      <c r="A8" s="0" t="inlineStr">
        <is>
          <t xml:space="preserve">Frais bancaires</t>
        </is>
      </c>
      <c r="B8" s="11">
        <f>SUMIFS(Flux_detail!$K$2:$K$403,Flux_detail!$N$2:$N$403,$A8,Flux_detail!$C$2:$C$403,B$4)</f>
      </c>
      <c r="C8" s="11">
        <f>SUMIFS(Flux_detail!$K$2:$K$403,Flux_detail!$N$2:$N$403,$A8,Flux_detail!$C$2:$C$403,C$4)</f>
      </c>
      <c r="D8" s="11">
        <f>SUMIFS(Flux_detail!$K$2:$K$403,Flux_detail!$N$2:$N$403,$A8,Flux_detail!$C$2:$C$403,D$4)</f>
      </c>
      <c r="E8" s="11">
        <f>SUMIFS(Flux_detail!$K$2:$K$403,Flux_detail!$N$2:$N$403,$A8,Flux_detail!$C$2:$C$403,E$4)</f>
      </c>
      <c r="F8" s="11">
        <f>SUMIFS(Flux_detail!$K$2:$K$403,Flux_detail!$N$2:$N$403,$A8,Flux_detail!$C$2:$C$403,F$4)</f>
      </c>
      <c r="G8" s="11">
        <f>SUMIFS(Flux_detail!$K$2:$K$403,Flux_detail!$N$2:$N$403,$A8,Flux_detail!$C$2:$C$403,G$4)</f>
      </c>
      <c r="H8" s="11">
        <f>SUMIFS(Flux_detail!$K$2:$K$403,Flux_detail!$N$2:$N$403,$A8,Flux_detail!$C$2:$C$403,H$4)</f>
      </c>
      <c r="I8" s="11">
        <f>SUMIFS(Flux_detail!$K$2:$K$403,Flux_detail!$N$2:$N$403,$A8,Flux_detail!$C$2:$C$403,I$4)</f>
      </c>
      <c r="J8" s="11">
        <f>SUMIFS(Flux_detail!$K$2:$K$403,Flux_detail!$N$2:$N$403,$A8,Flux_detail!$C$2:$C$403,J$4)</f>
      </c>
      <c r="K8" s="11">
        <f>SUMIFS(Flux_detail!$K$2:$K$403,Flux_detail!$N$2:$N$403,$A8,Flux_detail!$C$2:$C$403,K$4)</f>
      </c>
      <c r="L8" s="11">
        <f>SUMIFS(Flux_detail!$K$2:$K$403,Flux_detail!$N$2:$N$403,$A8,Flux_detail!$C$2:$C$403,L$4)</f>
      </c>
      <c r="M8" s="11">
        <f>SUMIFS(Flux_detail!$K$2:$K$403,Flux_detail!$N$2:$N$403,$A8,Flux_detail!$C$2:$C$403,M$4)</f>
      </c>
      <c r="N8" s="11">
        <f>SUMIFS(Flux_detail!$K$2:$K$403,Flux_detail!$N$2:$N$403,$A8,Flux_detail!$C$2:$C$403,N$4)</f>
      </c>
      <c r="O8" s="11">
        <f>SUMIFS(Flux_detail!$K$2:$K$403,Flux_detail!$N$2:$N$403,$A8,Flux_detail!$C$2:$C$403,O$4)</f>
      </c>
      <c r="P8" s="11">
        <f>SUMIFS(Flux_detail!$K$2:$K$403,Flux_detail!$N$2:$N$403,$A8,Flux_detail!$C$2:$C$403,P$4)</f>
      </c>
      <c r="Q8" s="11">
        <f>SUMIFS(Flux_detail!$K$2:$K$403,Flux_detail!$N$2:$N$403,$A8,Flux_detail!$C$2:$C$403,Q$4)</f>
      </c>
      <c r="R8" s="11">
        <f>SUMIFS(Flux_detail!$K$2:$K$403,Flux_detail!$N$2:$N$403,$A8,Flux_detail!$C$2:$C$403,R$4)</f>
      </c>
      <c r="S8" s="11">
        <f>SUMIFS(Flux_detail!$K$2:$K$403,Flux_detail!$N$2:$N$403,$A8,Flux_detail!$C$2:$C$403,S$4)</f>
      </c>
      <c r="T8" s="11">
        <f>SUMIFS(Flux_detail!$K$2:$K$403,Flux_detail!$N$2:$N$403,$A8,Flux_detail!$C$2:$C$403,T$4)</f>
      </c>
      <c r="U8" s="11">
        <f>SUMIFS(Flux_detail!$K$2:$K$403,Flux_detail!$N$2:$N$403,$A8,Flux_detail!$C$2:$C$403,U$4)</f>
      </c>
      <c r="V8" s="11">
        <f>SUMIFS(Flux_detail!$K$2:$K$403,Flux_detail!$N$2:$N$403,$A8,Flux_detail!$C$2:$C$403,V$4)</f>
      </c>
      <c r="W8" s="11">
        <f>SUMIFS(Flux_detail!$K$2:$K$403,Flux_detail!$N$2:$N$403,$A8,Flux_detail!$C$2:$C$403,W$4)</f>
      </c>
      <c r="X8" s="11">
        <f>SUMIFS(Flux_detail!$K$2:$K$403,Flux_detail!$N$2:$N$403,$A8,Flux_detail!$C$2:$C$403,X$4)</f>
      </c>
      <c r="Y8" s="11">
        <f>SUMIFS(Flux_detail!$K$2:$K$403,Flux_detail!$N$2:$N$403,$A8,Flux_detail!$C$2:$C$403,Y$4)</f>
      </c>
    </row>
    <row r="9">
      <c r="A9" s="0" t="inlineStr">
        <is>
          <t xml:space="preserve">Salaires et personnel</t>
        </is>
      </c>
      <c r="B9" s="11">
        <f>SUMIFS(Flux_detail!$K$2:$K$403,Flux_detail!$N$2:$N$403,$A9,Flux_detail!$C$2:$C$403,B$4)</f>
      </c>
      <c r="C9" s="11">
        <f>SUMIFS(Flux_detail!$K$2:$K$403,Flux_detail!$N$2:$N$403,$A9,Flux_detail!$C$2:$C$403,C$4)</f>
      </c>
      <c r="D9" s="11">
        <f>SUMIFS(Flux_detail!$K$2:$K$403,Flux_detail!$N$2:$N$403,$A9,Flux_detail!$C$2:$C$403,D$4)</f>
      </c>
      <c r="E9" s="11">
        <f>SUMIFS(Flux_detail!$K$2:$K$403,Flux_detail!$N$2:$N$403,$A9,Flux_detail!$C$2:$C$403,E$4)</f>
      </c>
      <c r="F9" s="11">
        <f>SUMIFS(Flux_detail!$K$2:$K$403,Flux_detail!$N$2:$N$403,$A9,Flux_detail!$C$2:$C$403,F$4)</f>
      </c>
      <c r="G9" s="11">
        <f>SUMIFS(Flux_detail!$K$2:$K$403,Flux_detail!$N$2:$N$403,$A9,Flux_detail!$C$2:$C$403,G$4)</f>
      </c>
      <c r="H9" s="11">
        <f>SUMIFS(Flux_detail!$K$2:$K$403,Flux_detail!$N$2:$N$403,$A9,Flux_detail!$C$2:$C$403,H$4)</f>
      </c>
      <c r="I9" s="11">
        <f>SUMIFS(Flux_detail!$K$2:$K$403,Flux_detail!$N$2:$N$403,$A9,Flux_detail!$C$2:$C$403,I$4)</f>
      </c>
      <c r="J9" s="11">
        <f>SUMIFS(Flux_detail!$K$2:$K$403,Flux_detail!$N$2:$N$403,$A9,Flux_detail!$C$2:$C$403,J$4)</f>
      </c>
      <c r="K9" s="11">
        <f>SUMIFS(Flux_detail!$K$2:$K$403,Flux_detail!$N$2:$N$403,$A9,Flux_detail!$C$2:$C$403,K$4)</f>
      </c>
      <c r="L9" s="11">
        <f>SUMIFS(Flux_detail!$K$2:$K$403,Flux_detail!$N$2:$N$403,$A9,Flux_detail!$C$2:$C$403,L$4)</f>
      </c>
      <c r="M9" s="11">
        <f>SUMIFS(Flux_detail!$K$2:$K$403,Flux_detail!$N$2:$N$403,$A9,Flux_detail!$C$2:$C$403,M$4)</f>
      </c>
      <c r="N9" s="11">
        <f>SUMIFS(Flux_detail!$K$2:$K$403,Flux_detail!$N$2:$N$403,$A9,Flux_detail!$C$2:$C$403,N$4)</f>
      </c>
      <c r="O9" s="11">
        <f>SUMIFS(Flux_detail!$K$2:$K$403,Flux_detail!$N$2:$N$403,$A9,Flux_detail!$C$2:$C$403,O$4)</f>
      </c>
      <c r="P9" s="11">
        <f>SUMIFS(Flux_detail!$K$2:$K$403,Flux_detail!$N$2:$N$403,$A9,Flux_detail!$C$2:$C$403,P$4)</f>
      </c>
      <c r="Q9" s="11">
        <f>SUMIFS(Flux_detail!$K$2:$K$403,Flux_detail!$N$2:$N$403,$A9,Flux_detail!$C$2:$C$403,Q$4)</f>
      </c>
      <c r="R9" s="11">
        <f>SUMIFS(Flux_detail!$K$2:$K$403,Flux_detail!$N$2:$N$403,$A9,Flux_detail!$C$2:$C$403,R$4)</f>
      </c>
      <c r="S9" s="11">
        <f>SUMIFS(Flux_detail!$K$2:$K$403,Flux_detail!$N$2:$N$403,$A9,Flux_detail!$C$2:$C$403,S$4)</f>
      </c>
      <c r="T9" s="11">
        <f>SUMIFS(Flux_detail!$K$2:$K$403,Flux_detail!$N$2:$N$403,$A9,Flux_detail!$C$2:$C$403,T$4)</f>
      </c>
      <c r="U9" s="11">
        <f>SUMIFS(Flux_detail!$K$2:$K$403,Flux_detail!$N$2:$N$403,$A9,Flux_detail!$C$2:$C$403,U$4)</f>
      </c>
      <c r="V9" s="11">
        <f>SUMIFS(Flux_detail!$K$2:$K$403,Flux_detail!$N$2:$N$403,$A9,Flux_detail!$C$2:$C$403,V$4)</f>
      </c>
      <c r="W9" s="11">
        <f>SUMIFS(Flux_detail!$K$2:$K$403,Flux_detail!$N$2:$N$403,$A9,Flux_detail!$C$2:$C$403,W$4)</f>
      </c>
      <c r="X9" s="11">
        <f>SUMIFS(Flux_detail!$K$2:$K$403,Flux_detail!$N$2:$N$403,$A9,Flux_detail!$C$2:$C$403,X$4)</f>
      </c>
      <c r="Y9" s="11">
        <f>SUMIFS(Flux_detail!$K$2:$K$403,Flux_detail!$N$2:$N$403,$A9,Flux_detail!$C$2:$C$403,Y$4)</f>
      </c>
    </row>
    <row r="10">
      <c r="A10" s="0" t="inlineStr">
        <is>
          <t xml:space="preserve">Charges sociales</t>
        </is>
      </c>
      <c r="B10" s="11">
        <f>SUMIFS(Flux_detail!$K$2:$K$403,Flux_detail!$N$2:$N$403,$A10,Flux_detail!$C$2:$C$403,B$4)</f>
      </c>
      <c r="C10" s="11">
        <f>SUMIFS(Flux_detail!$K$2:$K$403,Flux_detail!$N$2:$N$403,$A10,Flux_detail!$C$2:$C$403,C$4)</f>
      </c>
      <c r="D10" s="11">
        <f>SUMIFS(Flux_detail!$K$2:$K$403,Flux_detail!$N$2:$N$403,$A10,Flux_detail!$C$2:$C$403,D$4)</f>
      </c>
      <c r="E10" s="11">
        <f>SUMIFS(Flux_detail!$K$2:$K$403,Flux_detail!$N$2:$N$403,$A10,Flux_detail!$C$2:$C$403,E$4)</f>
      </c>
      <c r="F10" s="11">
        <f>SUMIFS(Flux_detail!$K$2:$K$403,Flux_detail!$N$2:$N$403,$A10,Flux_detail!$C$2:$C$403,F$4)</f>
      </c>
      <c r="G10" s="11">
        <f>SUMIFS(Flux_detail!$K$2:$K$403,Flux_detail!$N$2:$N$403,$A10,Flux_detail!$C$2:$C$403,G$4)</f>
      </c>
      <c r="H10" s="11">
        <f>SUMIFS(Flux_detail!$K$2:$K$403,Flux_detail!$N$2:$N$403,$A10,Flux_detail!$C$2:$C$403,H$4)</f>
      </c>
      <c r="I10" s="11">
        <f>SUMIFS(Flux_detail!$K$2:$K$403,Flux_detail!$N$2:$N$403,$A10,Flux_detail!$C$2:$C$403,I$4)</f>
      </c>
      <c r="J10" s="11">
        <f>SUMIFS(Flux_detail!$K$2:$K$403,Flux_detail!$N$2:$N$403,$A10,Flux_detail!$C$2:$C$403,J$4)</f>
      </c>
      <c r="K10" s="11">
        <f>SUMIFS(Flux_detail!$K$2:$K$403,Flux_detail!$N$2:$N$403,$A10,Flux_detail!$C$2:$C$403,K$4)</f>
      </c>
      <c r="L10" s="11">
        <f>SUMIFS(Flux_detail!$K$2:$K$403,Flux_detail!$N$2:$N$403,$A10,Flux_detail!$C$2:$C$403,L$4)</f>
      </c>
      <c r="M10" s="11">
        <f>SUMIFS(Flux_detail!$K$2:$K$403,Flux_detail!$N$2:$N$403,$A10,Flux_detail!$C$2:$C$403,M$4)</f>
      </c>
      <c r="N10" s="11">
        <f>SUMIFS(Flux_detail!$K$2:$K$403,Flux_detail!$N$2:$N$403,$A10,Flux_detail!$C$2:$C$403,N$4)</f>
      </c>
      <c r="O10" s="11">
        <f>SUMIFS(Flux_detail!$K$2:$K$403,Flux_detail!$N$2:$N$403,$A10,Flux_detail!$C$2:$C$403,O$4)</f>
      </c>
      <c r="P10" s="11">
        <f>SUMIFS(Flux_detail!$K$2:$K$403,Flux_detail!$N$2:$N$403,$A10,Flux_detail!$C$2:$C$403,P$4)</f>
      </c>
      <c r="Q10" s="11">
        <f>SUMIFS(Flux_detail!$K$2:$K$403,Flux_detail!$N$2:$N$403,$A10,Flux_detail!$C$2:$C$403,Q$4)</f>
      </c>
      <c r="R10" s="11">
        <f>SUMIFS(Flux_detail!$K$2:$K$403,Flux_detail!$N$2:$N$403,$A10,Flux_detail!$C$2:$C$403,R$4)</f>
      </c>
      <c r="S10" s="11">
        <f>SUMIFS(Flux_detail!$K$2:$K$403,Flux_detail!$N$2:$N$403,$A10,Flux_detail!$C$2:$C$403,S$4)</f>
      </c>
      <c r="T10" s="11">
        <f>SUMIFS(Flux_detail!$K$2:$K$403,Flux_detail!$N$2:$N$403,$A10,Flux_detail!$C$2:$C$403,T$4)</f>
      </c>
      <c r="U10" s="11">
        <f>SUMIFS(Flux_detail!$K$2:$K$403,Flux_detail!$N$2:$N$403,$A10,Flux_detail!$C$2:$C$403,U$4)</f>
      </c>
      <c r="V10" s="11">
        <f>SUMIFS(Flux_detail!$K$2:$K$403,Flux_detail!$N$2:$N$403,$A10,Flux_detail!$C$2:$C$403,V$4)</f>
      </c>
      <c r="W10" s="11">
        <f>SUMIFS(Flux_detail!$K$2:$K$403,Flux_detail!$N$2:$N$403,$A10,Flux_detail!$C$2:$C$403,W$4)</f>
      </c>
      <c r="X10" s="11">
        <f>SUMIFS(Flux_detail!$K$2:$K$403,Flux_detail!$N$2:$N$403,$A10,Flux_detail!$C$2:$C$403,X$4)</f>
      </c>
      <c r="Y10" s="11">
        <f>SUMIFS(Flux_detail!$K$2:$K$403,Flux_detail!$N$2:$N$403,$A10,Flux_detail!$C$2:$C$403,Y$4)</f>
      </c>
    </row>
    <row r="11">
      <c r="A11" s="0" t="inlineStr">
        <is>
          <t xml:space="preserve">TVA</t>
        </is>
      </c>
      <c r="B11" s="11">
        <f>SUMIFS(Flux_detail!$K$2:$K$403,Flux_detail!$N$2:$N$403,$A11,Flux_detail!$C$2:$C$403,B$4)</f>
      </c>
      <c r="C11" s="11">
        <f>SUMIFS(Flux_detail!$K$2:$K$403,Flux_detail!$N$2:$N$403,$A11,Flux_detail!$C$2:$C$403,C$4)</f>
      </c>
      <c r="D11" s="11">
        <f>SUMIFS(Flux_detail!$K$2:$K$403,Flux_detail!$N$2:$N$403,$A11,Flux_detail!$C$2:$C$403,D$4)</f>
      </c>
      <c r="E11" s="11">
        <f>SUMIFS(Flux_detail!$K$2:$K$403,Flux_detail!$N$2:$N$403,$A11,Flux_detail!$C$2:$C$403,E$4)</f>
      </c>
      <c r="F11" s="11">
        <f>SUMIFS(Flux_detail!$K$2:$K$403,Flux_detail!$N$2:$N$403,$A11,Flux_detail!$C$2:$C$403,F$4)</f>
      </c>
      <c r="G11" s="11">
        <f>SUMIFS(Flux_detail!$K$2:$K$403,Flux_detail!$N$2:$N$403,$A11,Flux_detail!$C$2:$C$403,G$4)</f>
      </c>
      <c r="H11" s="11">
        <f>SUMIFS(Flux_detail!$K$2:$K$403,Flux_detail!$N$2:$N$403,$A11,Flux_detail!$C$2:$C$403,H$4)</f>
      </c>
      <c r="I11" s="11">
        <f>SUMIFS(Flux_detail!$K$2:$K$403,Flux_detail!$N$2:$N$403,$A11,Flux_detail!$C$2:$C$403,I$4)</f>
      </c>
      <c r="J11" s="11">
        <f>SUMIFS(Flux_detail!$K$2:$K$403,Flux_detail!$N$2:$N$403,$A11,Flux_detail!$C$2:$C$403,J$4)</f>
      </c>
      <c r="K11" s="11">
        <f>SUMIFS(Flux_detail!$K$2:$K$403,Flux_detail!$N$2:$N$403,$A11,Flux_detail!$C$2:$C$403,K$4)</f>
      </c>
      <c r="L11" s="11">
        <f>SUMIFS(Flux_detail!$K$2:$K$403,Flux_detail!$N$2:$N$403,$A11,Flux_detail!$C$2:$C$403,L$4)</f>
      </c>
      <c r="M11" s="11">
        <f>SUMIFS(Flux_detail!$K$2:$K$403,Flux_detail!$N$2:$N$403,$A11,Flux_detail!$C$2:$C$403,M$4)</f>
      </c>
      <c r="N11" s="11">
        <f>SUMIFS(Flux_detail!$K$2:$K$403,Flux_detail!$N$2:$N$403,$A11,Flux_detail!$C$2:$C$403,N$4)</f>
      </c>
      <c r="O11" s="11">
        <f>SUMIFS(Flux_detail!$K$2:$K$403,Flux_detail!$N$2:$N$403,$A11,Flux_detail!$C$2:$C$403,O$4)</f>
      </c>
      <c r="P11" s="11">
        <f>SUMIFS(Flux_detail!$K$2:$K$403,Flux_detail!$N$2:$N$403,$A11,Flux_detail!$C$2:$C$403,P$4)</f>
      </c>
      <c r="Q11" s="11">
        <f>SUMIFS(Flux_detail!$K$2:$K$403,Flux_detail!$N$2:$N$403,$A11,Flux_detail!$C$2:$C$403,Q$4)</f>
      </c>
      <c r="R11" s="11">
        <f>SUMIFS(Flux_detail!$K$2:$K$403,Flux_detail!$N$2:$N$403,$A11,Flux_detail!$C$2:$C$403,R$4)</f>
      </c>
      <c r="S11" s="11">
        <f>SUMIFS(Flux_detail!$K$2:$K$403,Flux_detail!$N$2:$N$403,$A11,Flux_detail!$C$2:$C$403,S$4)</f>
      </c>
      <c r="T11" s="11">
        <f>SUMIFS(Flux_detail!$K$2:$K$403,Flux_detail!$N$2:$N$403,$A11,Flux_detail!$C$2:$C$403,T$4)</f>
      </c>
      <c r="U11" s="11">
        <f>SUMIFS(Flux_detail!$K$2:$K$403,Flux_detail!$N$2:$N$403,$A11,Flux_detail!$C$2:$C$403,U$4)</f>
      </c>
      <c r="V11" s="11">
        <f>SUMIFS(Flux_detail!$K$2:$K$403,Flux_detail!$N$2:$N$403,$A11,Flux_detail!$C$2:$C$403,V$4)</f>
      </c>
      <c r="W11" s="11">
        <f>SUMIFS(Flux_detail!$K$2:$K$403,Flux_detail!$N$2:$N$403,$A11,Flux_detail!$C$2:$C$403,W$4)</f>
      </c>
      <c r="X11" s="11">
        <f>SUMIFS(Flux_detail!$K$2:$K$403,Flux_detail!$N$2:$N$403,$A11,Flux_detail!$C$2:$C$403,X$4)</f>
      </c>
      <c r="Y11" s="11">
        <f>SUMIFS(Flux_detail!$K$2:$K$403,Flux_detail!$N$2:$N$403,$A11,Flux_detail!$C$2:$C$403,Y$4)</f>
      </c>
    </row>
    <row r="12">
      <c r="A12" s="0" t="inlineStr">
        <is>
          <t xml:space="preserve">Impôt sur les sociétés</t>
        </is>
      </c>
      <c r="B12" s="11">
        <f>SUMIFS(Flux_detail!$K$2:$K$403,Flux_detail!$N$2:$N$403,$A12,Flux_detail!$C$2:$C$403,B$4)</f>
      </c>
      <c r="C12" s="11">
        <f>SUMIFS(Flux_detail!$K$2:$K$403,Flux_detail!$N$2:$N$403,$A12,Flux_detail!$C$2:$C$403,C$4)</f>
      </c>
      <c r="D12" s="11">
        <f>SUMIFS(Flux_detail!$K$2:$K$403,Flux_detail!$N$2:$N$403,$A12,Flux_detail!$C$2:$C$403,D$4)</f>
      </c>
      <c r="E12" s="11">
        <f>SUMIFS(Flux_detail!$K$2:$K$403,Flux_detail!$N$2:$N$403,$A12,Flux_detail!$C$2:$C$403,E$4)</f>
      </c>
      <c r="F12" s="11">
        <f>SUMIFS(Flux_detail!$K$2:$K$403,Flux_detail!$N$2:$N$403,$A12,Flux_detail!$C$2:$C$403,F$4)</f>
      </c>
      <c r="G12" s="11">
        <f>SUMIFS(Flux_detail!$K$2:$K$403,Flux_detail!$N$2:$N$403,$A12,Flux_detail!$C$2:$C$403,G$4)</f>
      </c>
      <c r="H12" s="11">
        <f>SUMIFS(Flux_detail!$K$2:$K$403,Flux_detail!$N$2:$N$403,$A12,Flux_detail!$C$2:$C$403,H$4)</f>
      </c>
      <c r="I12" s="11">
        <f>SUMIFS(Flux_detail!$K$2:$K$403,Flux_detail!$N$2:$N$403,$A12,Flux_detail!$C$2:$C$403,I$4)</f>
      </c>
      <c r="J12" s="11">
        <f>SUMIFS(Flux_detail!$K$2:$K$403,Flux_detail!$N$2:$N$403,$A12,Flux_detail!$C$2:$C$403,J$4)</f>
      </c>
      <c r="K12" s="11">
        <f>SUMIFS(Flux_detail!$K$2:$K$403,Flux_detail!$N$2:$N$403,$A12,Flux_detail!$C$2:$C$403,K$4)</f>
      </c>
      <c r="L12" s="11">
        <f>SUMIFS(Flux_detail!$K$2:$K$403,Flux_detail!$N$2:$N$403,$A12,Flux_detail!$C$2:$C$403,L$4)</f>
      </c>
      <c r="M12" s="11">
        <f>SUMIFS(Flux_detail!$K$2:$K$403,Flux_detail!$N$2:$N$403,$A12,Flux_detail!$C$2:$C$403,M$4)</f>
      </c>
      <c r="N12" s="11">
        <f>SUMIFS(Flux_detail!$K$2:$K$403,Flux_detail!$N$2:$N$403,$A12,Flux_detail!$C$2:$C$403,N$4)</f>
      </c>
      <c r="O12" s="11">
        <f>SUMIFS(Flux_detail!$K$2:$K$403,Flux_detail!$N$2:$N$403,$A12,Flux_detail!$C$2:$C$403,O$4)</f>
      </c>
      <c r="P12" s="11">
        <f>SUMIFS(Flux_detail!$K$2:$K$403,Flux_detail!$N$2:$N$403,$A12,Flux_detail!$C$2:$C$403,P$4)</f>
      </c>
      <c r="Q12" s="11">
        <f>SUMIFS(Flux_detail!$K$2:$K$403,Flux_detail!$N$2:$N$403,$A12,Flux_detail!$C$2:$C$403,Q$4)</f>
      </c>
      <c r="R12" s="11">
        <f>SUMIFS(Flux_detail!$K$2:$K$403,Flux_detail!$N$2:$N$403,$A12,Flux_detail!$C$2:$C$403,R$4)</f>
      </c>
      <c r="S12" s="11">
        <f>SUMIFS(Flux_detail!$K$2:$K$403,Flux_detail!$N$2:$N$403,$A12,Flux_detail!$C$2:$C$403,S$4)</f>
      </c>
      <c r="T12" s="11">
        <f>SUMIFS(Flux_detail!$K$2:$K$403,Flux_detail!$N$2:$N$403,$A12,Flux_detail!$C$2:$C$403,T$4)</f>
      </c>
      <c r="U12" s="11">
        <f>SUMIFS(Flux_detail!$K$2:$K$403,Flux_detail!$N$2:$N$403,$A12,Flux_detail!$C$2:$C$403,U$4)</f>
      </c>
      <c r="V12" s="11">
        <f>SUMIFS(Flux_detail!$K$2:$K$403,Flux_detail!$N$2:$N$403,$A12,Flux_detail!$C$2:$C$403,V$4)</f>
      </c>
      <c r="W12" s="11">
        <f>SUMIFS(Flux_detail!$K$2:$K$403,Flux_detail!$N$2:$N$403,$A12,Flux_detail!$C$2:$C$403,W$4)</f>
      </c>
      <c r="X12" s="11">
        <f>SUMIFS(Flux_detail!$K$2:$K$403,Flux_detail!$N$2:$N$403,$A12,Flux_detail!$C$2:$C$403,X$4)</f>
      </c>
      <c r="Y12" s="11">
        <f>SUMIFS(Flux_detail!$K$2:$K$403,Flux_detail!$N$2:$N$403,$A12,Flux_detail!$C$2:$C$403,Y$4)</f>
      </c>
    </row>
    <row r="13">
      <c r="A13" s="0" t="inlineStr">
        <is>
          <t xml:space="preserve">Autres impôts et taxes</t>
        </is>
      </c>
      <c r="B13" s="11">
        <f>SUMIFS(Flux_detail!$K$2:$K$403,Flux_detail!$N$2:$N$403,$A13,Flux_detail!$C$2:$C$403,B$4)</f>
      </c>
      <c r="C13" s="11">
        <f>SUMIFS(Flux_detail!$K$2:$K$403,Flux_detail!$N$2:$N$403,$A13,Flux_detail!$C$2:$C$403,C$4)</f>
      </c>
      <c r="D13" s="11">
        <f>SUMIFS(Flux_detail!$K$2:$K$403,Flux_detail!$N$2:$N$403,$A13,Flux_detail!$C$2:$C$403,D$4)</f>
      </c>
      <c r="E13" s="11">
        <f>SUMIFS(Flux_detail!$K$2:$K$403,Flux_detail!$N$2:$N$403,$A13,Flux_detail!$C$2:$C$403,E$4)</f>
      </c>
      <c r="F13" s="11">
        <f>SUMIFS(Flux_detail!$K$2:$K$403,Flux_detail!$N$2:$N$403,$A13,Flux_detail!$C$2:$C$403,F$4)</f>
      </c>
      <c r="G13" s="11">
        <f>SUMIFS(Flux_detail!$K$2:$K$403,Flux_detail!$N$2:$N$403,$A13,Flux_detail!$C$2:$C$403,G$4)</f>
      </c>
      <c r="H13" s="11">
        <f>SUMIFS(Flux_detail!$K$2:$K$403,Flux_detail!$N$2:$N$403,$A13,Flux_detail!$C$2:$C$403,H$4)</f>
      </c>
      <c r="I13" s="11">
        <f>SUMIFS(Flux_detail!$K$2:$K$403,Flux_detail!$N$2:$N$403,$A13,Flux_detail!$C$2:$C$403,I$4)</f>
      </c>
      <c r="J13" s="11">
        <f>SUMIFS(Flux_detail!$K$2:$K$403,Flux_detail!$N$2:$N$403,$A13,Flux_detail!$C$2:$C$403,J$4)</f>
      </c>
      <c r="K13" s="11">
        <f>SUMIFS(Flux_detail!$K$2:$K$403,Flux_detail!$N$2:$N$403,$A13,Flux_detail!$C$2:$C$403,K$4)</f>
      </c>
      <c r="L13" s="11">
        <f>SUMIFS(Flux_detail!$K$2:$K$403,Flux_detail!$N$2:$N$403,$A13,Flux_detail!$C$2:$C$403,L$4)</f>
      </c>
      <c r="M13" s="11">
        <f>SUMIFS(Flux_detail!$K$2:$K$403,Flux_detail!$N$2:$N$403,$A13,Flux_detail!$C$2:$C$403,M$4)</f>
      </c>
      <c r="N13" s="11">
        <f>SUMIFS(Flux_detail!$K$2:$K$403,Flux_detail!$N$2:$N$403,$A13,Flux_detail!$C$2:$C$403,N$4)</f>
      </c>
      <c r="O13" s="11">
        <f>SUMIFS(Flux_detail!$K$2:$K$403,Flux_detail!$N$2:$N$403,$A13,Flux_detail!$C$2:$C$403,O$4)</f>
      </c>
      <c r="P13" s="11">
        <f>SUMIFS(Flux_detail!$K$2:$K$403,Flux_detail!$N$2:$N$403,$A13,Flux_detail!$C$2:$C$403,P$4)</f>
      </c>
      <c r="Q13" s="11">
        <f>SUMIFS(Flux_detail!$K$2:$K$403,Flux_detail!$N$2:$N$403,$A13,Flux_detail!$C$2:$C$403,Q$4)</f>
      </c>
      <c r="R13" s="11">
        <f>SUMIFS(Flux_detail!$K$2:$K$403,Flux_detail!$N$2:$N$403,$A13,Flux_detail!$C$2:$C$403,R$4)</f>
      </c>
      <c r="S13" s="11">
        <f>SUMIFS(Flux_detail!$K$2:$K$403,Flux_detail!$N$2:$N$403,$A13,Flux_detail!$C$2:$C$403,S$4)</f>
      </c>
      <c r="T13" s="11">
        <f>SUMIFS(Flux_detail!$K$2:$K$403,Flux_detail!$N$2:$N$403,$A13,Flux_detail!$C$2:$C$403,T$4)</f>
      </c>
      <c r="U13" s="11">
        <f>SUMIFS(Flux_detail!$K$2:$K$403,Flux_detail!$N$2:$N$403,$A13,Flux_detail!$C$2:$C$403,U$4)</f>
      </c>
      <c r="V13" s="11">
        <f>SUMIFS(Flux_detail!$K$2:$K$403,Flux_detail!$N$2:$N$403,$A13,Flux_detail!$C$2:$C$403,V$4)</f>
      </c>
      <c r="W13" s="11">
        <f>SUMIFS(Flux_detail!$K$2:$K$403,Flux_detail!$N$2:$N$403,$A13,Flux_detail!$C$2:$C$403,W$4)</f>
      </c>
      <c r="X13" s="11">
        <f>SUMIFS(Flux_detail!$K$2:$K$403,Flux_detail!$N$2:$N$403,$A13,Flux_detail!$C$2:$C$403,X$4)</f>
      </c>
      <c r="Y13" s="11">
        <f>SUMIFS(Flux_detail!$K$2:$K$403,Flux_detail!$N$2:$N$403,$A13,Flux_detail!$C$2:$C$403,Y$4)</f>
      </c>
    </row>
    <row r="14">
      <c r="A14" s="12" t="inlineStr">
        <is>
          <t xml:space="preserve">Total flux d'exploitation</t>
        </is>
      </c>
      <c r="B14" s="13">
        <f>SUMIFS(Flux_detail!$K$2:$K$403,Flux_detail!$O$2:$O$403,"EXPL",Flux_detail!$C$2:$C$403,B$4)</f>
      </c>
      <c r="C14" s="13">
        <f>SUMIFS(Flux_detail!$K$2:$K$403,Flux_detail!$O$2:$O$403,"EXPL",Flux_detail!$C$2:$C$403,C$4)</f>
      </c>
      <c r="D14" s="13">
        <f>SUMIFS(Flux_detail!$K$2:$K$403,Flux_detail!$O$2:$O$403,"EXPL",Flux_detail!$C$2:$C$403,D$4)</f>
      </c>
      <c r="E14" s="13">
        <f>SUMIFS(Flux_detail!$K$2:$K$403,Flux_detail!$O$2:$O$403,"EXPL",Flux_detail!$C$2:$C$403,E$4)</f>
      </c>
      <c r="F14" s="13">
        <f>SUMIFS(Flux_detail!$K$2:$K$403,Flux_detail!$O$2:$O$403,"EXPL",Flux_detail!$C$2:$C$403,F$4)</f>
      </c>
      <c r="G14" s="13">
        <f>SUMIFS(Flux_detail!$K$2:$K$403,Flux_detail!$O$2:$O$403,"EXPL",Flux_detail!$C$2:$C$403,G$4)</f>
      </c>
      <c r="H14" s="13">
        <f>SUMIFS(Flux_detail!$K$2:$K$403,Flux_detail!$O$2:$O$403,"EXPL",Flux_detail!$C$2:$C$403,H$4)</f>
      </c>
      <c r="I14" s="13">
        <f>SUMIFS(Flux_detail!$K$2:$K$403,Flux_detail!$O$2:$O$403,"EXPL",Flux_detail!$C$2:$C$403,I$4)</f>
      </c>
      <c r="J14" s="13">
        <f>SUMIFS(Flux_detail!$K$2:$K$403,Flux_detail!$O$2:$O$403,"EXPL",Flux_detail!$C$2:$C$403,J$4)</f>
      </c>
      <c r="K14" s="13">
        <f>SUMIFS(Flux_detail!$K$2:$K$403,Flux_detail!$O$2:$O$403,"EXPL",Flux_detail!$C$2:$C$403,K$4)</f>
      </c>
      <c r="L14" s="13">
        <f>SUMIFS(Flux_detail!$K$2:$K$403,Flux_detail!$O$2:$O$403,"EXPL",Flux_detail!$C$2:$C$403,L$4)</f>
      </c>
      <c r="M14" s="13">
        <f>SUMIFS(Flux_detail!$K$2:$K$403,Flux_detail!$O$2:$O$403,"EXPL",Flux_detail!$C$2:$C$403,M$4)</f>
      </c>
      <c r="N14" s="13">
        <f>SUMIFS(Flux_detail!$K$2:$K$403,Flux_detail!$O$2:$O$403,"EXPL",Flux_detail!$C$2:$C$403,N$4)</f>
      </c>
      <c r="O14" s="13">
        <f>SUMIFS(Flux_detail!$K$2:$K$403,Flux_detail!$O$2:$O$403,"EXPL",Flux_detail!$C$2:$C$403,O$4)</f>
      </c>
      <c r="P14" s="13">
        <f>SUMIFS(Flux_detail!$K$2:$K$403,Flux_detail!$O$2:$O$403,"EXPL",Flux_detail!$C$2:$C$403,P$4)</f>
      </c>
      <c r="Q14" s="13">
        <f>SUMIFS(Flux_detail!$K$2:$K$403,Flux_detail!$O$2:$O$403,"EXPL",Flux_detail!$C$2:$C$403,Q$4)</f>
      </c>
      <c r="R14" s="13">
        <f>SUMIFS(Flux_detail!$K$2:$K$403,Flux_detail!$O$2:$O$403,"EXPL",Flux_detail!$C$2:$C$403,R$4)</f>
      </c>
      <c r="S14" s="13">
        <f>SUMIFS(Flux_detail!$K$2:$K$403,Flux_detail!$O$2:$O$403,"EXPL",Flux_detail!$C$2:$C$403,S$4)</f>
      </c>
      <c r="T14" s="13">
        <f>SUMIFS(Flux_detail!$K$2:$K$403,Flux_detail!$O$2:$O$403,"EXPL",Flux_detail!$C$2:$C$403,T$4)</f>
      </c>
      <c r="U14" s="13">
        <f>SUMIFS(Flux_detail!$K$2:$K$403,Flux_detail!$O$2:$O$403,"EXPL",Flux_detail!$C$2:$C$403,U$4)</f>
      </c>
      <c r="V14" s="13">
        <f>SUMIFS(Flux_detail!$K$2:$K$403,Flux_detail!$O$2:$O$403,"EXPL",Flux_detail!$C$2:$C$403,V$4)</f>
      </c>
      <c r="W14" s="13">
        <f>SUMIFS(Flux_detail!$K$2:$K$403,Flux_detail!$O$2:$O$403,"EXPL",Flux_detail!$C$2:$C$403,W$4)</f>
      </c>
      <c r="X14" s="13">
        <f>SUMIFS(Flux_detail!$K$2:$K$403,Flux_detail!$O$2:$O$403,"EXPL",Flux_detail!$C$2:$C$403,X$4)</f>
      </c>
      <c r="Y14" s="13">
        <f>SUMIFS(Flux_detail!$K$2:$K$403,Flux_detail!$O$2:$O$403,"EXPL",Flux_detail!$C$2:$C$403,Y$4)</f>
      </c>
    </row>
    <row r="16">
      <c r="A16" s="5" t="inlineStr">
        <is>
          <t xml:space="preserve">Flux de financement</t>
        </is>
      </c>
    </row>
    <row r="17">
      <c r="A17" s="0" t="inlineStr">
        <is>
          <t xml:space="preserve">Emprunts - capital</t>
        </is>
      </c>
      <c r="B17" s="11">
        <f>SUMIFS(Flux_detail!$K$2:$K$403,Flux_detail!$N$2:$N$403,$A17,Flux_detail!$C$2:$C$403,B$4)</f>
      </c>
      <c r="C17" s="11">
        <f>SUMIFS(Flux_detail!$K$2:$K$403,Flux_detail!$N$2:$N$403,$A17,Flux_detail!$C$2:$C$403,C$4)</f>
      </c>
      <c r="D17" s="11">
        <f>SUMIFS(Flux_detail!$K$2:$K$403,Flux_detail!$N$2:$N$403,$A17,Flux_detail!$C$2:$C$403,D$4)</f>
      </c>
      <c r="E17" s="11">
        <f>SUMIFS(Flux_detail!$K$2:$K$403,Flux_detail!$N$2:$N$403,$A17,Flux_detail!$C$2:$C$403,E$4)</f>
      </c>
      <c r="F17" s="11">
        <f>SUMIFS(Flux_detail!$K$2:$K$403,Flux_detail!$N$2:$N$403,$A17,Flux_detail!$C$2:$C$403,F$4)</f>
      </c>
      <c r="G17" s="11">
        <f>SUMIFS(Flux_detail!$K$2:$K$403,Flux_detail!$N$2:$N$403,$A17,Flux_detail!$C$2:$C$403,G$4)</f>
      </c>
      <c r="H17" s="11">
        <f>SUMIFS(Flux_detail!$K$2:$K$403,Flux_detail!$N$2:$N$403,$A17,Flux_detail!$C$2:$C$403,H$4)</f>
      </c>
      <c r="I17" s="11">
        <f>SUMIFS(Flux_detail!$K$2:$K$403,Flux_detail!$N$2:$N$403,$A17,Flux_detail!$C$2:$C$403,I$4)</f>
      </c>
      <c r="J17" s="11">
        <f>SUMIFS(Flux_detail!$K$2:$K$403,Flux_detail!$N$2:$N$403,$A17,Flux_detail!$C$2:$C$403,J$4)</f>
      </c>
      <c r="K17" s="11">
        <f>SUMIFS(Flux_detail!$K$2:$K$403,Flux_detail!$N$2:$N$403,$A17,Flux_detail!$C$2:$C$403,K$4)</f>
      </c>
      <c r="L17" s="11">
        <f>SUMIFS(Flux_detail!$K$2:$K$403,Flux_detail!$N$2:$N$403,$A17,Flux_detail!$C$2:$C$403,L$4)</f>
      </c>
      <c r="M17" s="11">
        <f>SUMIFS(Flux_detail!$K$2:$K$403,Flux_detail!$N$2:$N$403,$A17,Flux_detail!$C$2:$C$403,M$4)</f>
      </c>
      <c r="N17" s="11">
        <f>SUMIFS(Flux_detail!$K$2:$K$403,Flux_detail!$N$2:$N$403,$A17,Flux_detail!$C$2:$C$403,N$4)</f>
      </c>
      <c r="O17" s="11">
        <f>SUMIFS(Flux_detail!$K$2:$K$403,Flux_detail!$N$2:$N$403,$A17,Flux_detail!$C$2:$C$403,O$4)</f>
      </c>
      <c r="P17" s="11">
        <f>SUMIFS(Flux_detail!$K$2:$K$403,Flux_detail!$N$2:$N$403,$A17,Flux_detail!$C$2:$C$403,P$4)</f>
      </c>
      <c r="Q17" s="11">
        <f>SUMIFS(Flux_detail!$K$2:$K$403,Flux_detail!$N$2:$N$403,$A17,Flux_detail!$C$2:$C$403,Q$4)</f>
      </c>
      <c r="R17" s="11">
        <f>SUMIFS(Flux_detail!$K$2:$K$403,Flux_detail!$N$2:$N$403,$A17,Flux_detail!$C$2:$C$403,R$4)</f>
      </c>
      <c r="S17" s="11">
        <f>SUMIFS(Flux_detail!$K$2:$K$403,Flux_detail!$N$2:$N$403,$A17,Flux_detail!$C$2:$C$403,S$4)</f>
      </c>
      <c r="T17" s="11">
        <f>SUMIFS(Flux_detail!$K$2:$K$403,Flux_detail!$N$2:$N$403,$A17,Flux_detail!$C$2:$C$403,T$4)</f>
      </c>
      <c r="U17" s="11">
        <f>SUMIFS(Flux_detail!$K$2:$K$403,Flux_detail!$N$2:$N$403,$A17,Flux_detail!$C$2:$C$403,U$4)</f>
      </c>
      <c r="V17" s="11">
        <f>SUMIFS(Flux_detail!$K$2:$K$403,Flux_detail!$N$2:$N$403,$A17,Flux_detail!$C$2:$C$403,V$4)</f>
      </c>
      <c r="W17" s="11">
        <f>SUMIFS(Flux_detail!$K$2:$K$403,Flux_detail!$N$2:$N$403,$A17,Flux_detail!$C$2:$C$403,W$4)</f>
      </c>
      <c r="X17" s="11">
        <f>SUMIFS(Flux_detail!$K$2:$K$403,Flux_detail!$N$2:$N$403,$A17,Flux_detail!$C$2:$C$403,X$4)</f>
      </c>
      <c r="Y17" s="11">
        <f>SUMIFS(Flux_detail!$K$2:$K$403,Flux_detail!$N$2:$N$403,$A17,Flux_detail!$C$2:$C$403,Y$4)</f>
      </c>
    </row>
    <row r="18">
      <c r="A18" s="0" t="inlineStr">
        <is>
          <t xml:space="preserve">Intérêts et charges financières</t>
        </is>
      </c>
      <c r="B18" s="11">
        <f>SUMIFS(Flux_detail!$K$2:$K$403,Flux_detail!$N$2:$N$403,$A18,Flux_detail!$C$2:$C$403,B$4)</f>
      </c>
      <c r="C18" s="11">
        <f>SUMIFS(Flux_detail!$K$2:$K$403,Flux_detail!$N$2:$N$403,$A18,Flux_detail!$C$2:$C$403,C$4)</f>
      </c>
      <c r="D18" s="11">
        <f>SUMIFS(Flux_detail!$K$2:$K$403,Flux_detail!$N$2:$N$403,$A18,Flux_detail!$C$2:$C$403,D$4)</f>
      </c>
      <c r="E18" s="11">
        <f>SUMIFS(Flux_detail!$K$2:$K$403,Flux_detail!$N$2:$N$403,$A18,Flux_detail!$C$2:$C$403,E$4)</f>
      </c>
      <c r="F18" s="11">
        <f>SUMIFS(Flux_detail!$K$2:$K$403,Flux_detail!$N$2:$N$403,$A18,Flux_detail!$C$2:$C$403,F$4)</f>
      </c>
      <c r="G18" s="11">
        <f>SUMIFS(Flux_detail!$K$2:$K$403,Flux_detail!$N$2:$N$403,$A18,Flux_detail!$C$2:$C$403,G$4)</f>
      </c>
      <c r="H18" s="11">
        <f>SUMIFS(Flux_detail!$K$2:$K$403,Flux_detail!$N$2:$N$403,$A18,Flux_detail!$C$2:$C$403,H$4)</f>
      </c>
      <c r="I18" s="11">
        <f>SUMIFS(Flux_detail!$K$2:$K$403,Flux_detail!$N$2:$N$403,$A18,Flux_detail!$C$2:$C$403,I$4)</f>
      </c>
      <c r="J18" s="11">
        <f>SUMIFS(Flux_detail!$K$2:$K$403,Flux_detail!$N$2:$N$403,$A18,Flux_detail!$C$2:$C$403,J$4)</f>
      </c>
      <c r="K18" s="11">
        <f>SUMIFS(Flux_detail!$K$2:$K$403,Flux_detail!$N$2:$N$403,$A18,Flux_detail!$C$2:$C$403,K$4)</f>
      </c>
      <c r="L18" s="11">
        <f>SUMIFS(Flux_detail!$K$2:$K$403,Flux_detail!$N$2:$N$403,$A18,Flux_detail!$C$2:$C$403,L$4)</f>
      </c>
      <c r="M18" s="11">
        <f>SUMIFS(Flux_detail!$K$2:$K$403,Flux_detail!$N$2:$N$403,$A18,Flux_detail!$C$2:$C$403,M$4)</f>
      </c>
      <c r="N18" s="11">
        <f>SUMIFS(Flux_detail!$K$2:$K$403,Flux_detail!$N$2:$N$403,$A18,Flux_detail!$C$2:$C$403,N$4)</f>
      </c>
      <c r="O18" s="11">
        <f>SUMIFS(Flux_detail!$K$2:$K$403,Flux_detail!$N$2:$N$403,$A18,Flux_detail!$C$2:$C$403,O$4)</f>
      </c>
      <c r="P18" s="11">
        <f>SUMIFS(Flux_detail!$K$2:$K$403,Flux_detail!$N$2:$N$403,$A18,Flux_detail!$C$2:$C$403,P$4)</f>
      </c>
      <c r="Q18" s="11">
        <f>SUMIFS(Flux_detail!$K$2:$K$403,Flux_detail!$N$2:$N$403,$A18,Flux_detail!$C$2:$C$403,Q$4)</f>
      </c>
      <c r="R18" s="11">
        <f>SUMIFS(Flux_detail!$K$2:$K$403,Flux_detail!$N$2:$N$403,$A18,Flux_detail!$C$2:$C$403,R$4)</f>
      </c>
      <c r="S18" s="11">
        <f>SUMIFS(Flux_detail!$K$2:$K$403,Flux_detail!$N$2:$N$403,$A18,Flux_detail!$C$2:$C$403,S$4)</f>
      </c>
      <c r="T18" s="11">
        <f>SUMIFS(Flux_detail!$K$2:$K$403,Flux_detail!$N$2:$N$403,$A18,Flux_detail!$C$2:$C$403,T$4)</f>
      </c>
      <c r="U18" s="11">
        <f>SUMIFS(Flux_detail!$K$2:$K$403,Flux_detail!$N$2:$N$403,$A18,Flux_detail!$C$2:$C$403,U$4)</f>
      </c>
      <c r="V18" s="11">
        <f>SUMIFS(Flux_detail!$K$2:$K$403,Flux_detail!$N$2:$N$403,$A18,Flux_detail!$C$2:$C$403,V$4)</f>
      </c>
      <c r="W18" s="11">
        <f>SUMIFS(Flux_detail!$K$2:$K$403,Flux_detail!$N$2:$N$403,$A18,Flux_detail!$C$2:$C$403,W$4)</f>
      </c>
      <c r="X18" s="11">
        <f>SUMIFS(Flux_detail!$K$2:$K$403,Flux_detail!$N$2:$N$403,$A18,Flux_detail!$C$2:$C$403,X$4)</f>
      </c>
      <c r="Y18" s="11">
        <f>SUMIFS(Flux_detail!$K$2:$K$403,Flux_detail!$N$2:$N$403,$A18,Flux_detail!$C$2:$C$403,Y$4)</f>
      </c>
    </row>
    <row r="19">
      <c r="A19" s="0" t="inlineStr">
        <is>
          <t xml:space="preserve">Associés et groupe</t>
        </is>
      </c>
      <c r="B19" s="11">
        <f>SUMIFS(Flux_detail!$K$2:$K$403,Flux_detail!$N$2:$N$403,$A19,Flux_detail!$C$2:$C$403,B$4)</f>
      </c>
      <c r="C19" s="11">
        <f>SUMIFS(Flux_detail!$K$2:$K$403,Flux_detail!$N$2:$N$403,$A19,Flux_detail!$C$2:$C$403,C$4)</f>
      </c>
      <c r="D19" s="11">
        <f>SUMIFS(Flux_detail!$K$2:$K$403,Flux_detail!$N$2:$N$403,$A19,Flux_detail!$C$2:$C$403,D$4)</f>
      </c>
      <c r="E19" s="11">
        <f>SUMIFS(Flux_detail!$K$2:$K$403,Flux_detail!$N$2:$N$403,$A19,Flux_detail!$C$2:$C$403,E$4)</f>
      </c>
      <c r="F19" s="11">
        <f>SUMIFS(Flux_detail!$K$2:$K$403,Flux_detail!$N$2:$N$403,$A19,Flux_detail!$C$2:$C$403,F$4)</f>
      </c>
      <c r="G19" s="11">
        <f>SUMIFS(Flux_detail!$K$2:$K$403,Flux_detail!$N$2:$N$403,$A19,Flux_detail!$C$2:$C$403,G$4)</f>
      </c>
      <c r="H19" s="11">
        <f>SUMIFS(Flux_detail!$K$2:$K$403,Flux_detail!$N$2:$N$403,$A19,Flux_detail!$C$2:$C$403,H$4)</f>
      </c>
      <c r="I19" s="11">
        <f>SUMIFS(Flux_detail!$K$2:$K$403,Flux_detail!$N$2:$N$403,$A19,Flux_detail!$C$2:$C$403,I$4)</f>
      </c>
      <c r="J19" s="11">
        <f>SUMIFS(Flux_detail!$K$2:$K$403,Flux_detail!$N$2:$N$403,$A19,Flux_detail!$C$2:$C$403,J$4)</f>
      </c>
      <c r="K19" s="11">
        <f>SUMIFS(Flux_detail!$K$2:$K$403,Flux_detail!$N$2:$N$403,$A19,Flux_detail!$C$2:$C$403,K$4)</f>
      </c>
      <c r="L19" s="11">
        <f>SUMIFS(Flux_detail!$K$2:$K$403,Flux_detail!$N$2:$N$403,$A19,Flux_detail!$C$2:$C$403,L$4)</f>
      </c>
      <c r="M19" s="11">
        <f>SUMIFS(Flux_detail!$K$2:$K$403,Flux_detail!$N$2:$N$403,$A19,Flux_detail!$C$2:$C$403,M$4)</f>
      </c>
      <c r="N19" s="11">
        <f>SUMIFS(Flux_detail!$K$2:$K$403,Flux_detail!$N$2:$N$403,$A19,Flux_detail!$C$2:$C$403,N$4)</f>
      </c>
      <c r="O19" s="11">
        <f>SUMIFS(Flux_detail!$K$2:$K$403,Flux_detail!$N$2:$N$403,$A19,Flux_detail!$C$2:$C$403,O$4)</f>
      </c>
      <c r="P19" s="11">
        <f>SUMIFS(Flux_detail!$K$2:$K$403,Flux_detail!$N$2:$N$403,$A19,Flux_detail!$C$2:$C$403,P$4)</f>
      </c>
      <c r="Q19" s="11">
        <f>SUMIFS(Flux_detail!$K$2:$K$403,Flux_detail!$N$2:$N$403,$A19,Flux_detail!$C$2:$C$403,Q$4)</f>
      </c>
      <c r="R19" s="11">
        <f>SUMIFS(Flux_detail!$K$2:$K$403,Flux_detail!$N$2:$N$403,$A19,Flux_detail!$C$2:$C$403,R$4)</f>
      </c>
      <c r="S19" s="11">
        <f>SUMIFS(Flux_detail!$K$2:$K$403,Flux_detail!$N$2:$N$403,$A19,Flux_detail!$C$2:$C$403,S$4)</f>
      </c>
      <c r="T19" s="11">
        <f>SUMIFS(Flux_detail!$K$2:$K$403,Flux_detail!$N$2:$N$403,$A19,Flux_detail!$C$2:$C$403,T$4)</f>
      </c>
      <c r="U19" s="11">
        <f>SUMIFS(Flux_detail!$K$2:$K$403,Flux_detail!$N$2:$N$403,$A19,Flux_detail!$C$2:$C$403,U$4)</f>
      </c>
      <c r="V19" s="11">
        <f>SUMIFS(Flux_detail!$K$2:$K$403,Flux_detail!$N$2:$N$403,$A19,Flux_detail!$C$2:$C$403,V$4)</f>
      </c>
      <c r="W19" s="11">
        <f>SUMIFS(Flux_detail!$K$2:$K$403,Flux_detail!$N$2:$N$403,$A19,Flux_detail!$C$2:$C$403,W$4)</f>
      </c>
      <c r="X19" s="11">
        <f>SUMIFS(Flux_detail!$K$2:$K$403,Flux_detail!$N$2:$N$403,$A19,Flux_detail!$C$2:$C$403,X$4)</f>
      </c>
      <c r="Y19" s="11">
        <f>SUMIFS(Flux_detail!$K$2:$K$403,Flux_detail!$N$2:$N$403,$A19,Flux_detail!$C$2:$C$403,Y$4)</f>
      </c>
    </row>
    <row r="20">
      <c r="A20" s="12" t="inlineStr">
        <is>
          <t xml:space="preserve">Total flux de financement</t>
        </is>
      </c>
      <c r="B20" s="13">
        <f>SUMIFS(Flux_detail!$K$2:$K$403,Flux_detail!$O$2:$O$403,"FIN",Flux_detail!$C$2:$C$403,B$4)</f>
      </c>
      <c r="C20" s="13">
        <f>SUMIFS(Flux_detail!$K$2:$K$403,Flux_detail!$O$2:$O$403,"FIN",Flux_detail!$C$2:$C$403,C$4)</f>
      </c>
      <c r="D20" s="13">
        <f>SUMIFS(Flux_detail!$K$2:$K$403,Flux_detail!$O$2:$O$403,"FIN",Flux_detail!$C$2:$C$403,D$4)</f>
      </c>
      <c r="E20" s="13">
        <f>SUMIFS(Flux_detail!$K$2:$K$403,Flux_detail!$O$2:$O$403,"FIN",Flux_detail!$C$2:$C$403,E$4)</f>
      </c>
      <c r="F20" s="13">
        <f>SUMIFS(Flux_detail!$K$2:$K$403,Flux_detail!$O$2:$O$403,"FIN",Flux_detail!$C$2:$C$403,F$4)</f>
      </c>
      <c r="G20" s="13">
        <f>SUMIFS(Flux_detail!$K$2:$K$403,Flux_detail!$O$2:$O$403,"FIN",Flux_detail!$C$2:$C$403,G$4)</f>
      </c>
      <c r="H20" s="13">
        <f>SUMIFS(Flux_detail!$K$2:$K$403,Flux_detail!$O$2:$O$403,"FIN",Flux_detail!$C$2:$C$403,H$4)</f>
      </c>
      <c r="I20" s="13">
        <f>SUMIFS(Flux_detail!$K$2:$K$403,Flux_detail!$O$2:$O$403,"FIN",Flux_detail!$C$2:$C$403,I$4)</f>
      </c>
      <c r="J20" s="13">
        <f>SUMIFS(Flux_detail!$K$2:$K$403,Flux_detail!$O$2:$O$403,"FIN",Flux_detail!$C$2:$C$403,J$4)</f>
      </c>
      <c r="K20" s="13">
        <f>SUMIFS(Flux_detail!$K$2:$K$403,Flux_detail!$O$2:$O$403,"FIN",Flux_detail!$C$2:$C$403,K$4)</f>
      </c>
      <c r="L20" s="13">
        <f>SUMIFS(Flux_detail!$K$2:$K$403,Flux_detail!$O$2:$O$403,"FIN",Flux_detail!$C$2:$C$403,L$4)</f>
      </c>
      <c r="M20" s="13">
        <f>SUMIFS(Flux_detail!$K$2:$K$403,Flux_detail!$O$2:$O$403,"FIN",Flux_detail!$C$2:$C$403,M$4)</f>
      </c>
      <c r="N20" s="13">
        <f>SUMIFS(Flux_detail!$K$2:$K$403,Flux_detail!$O$2:$O$403,"FIN",Flux_detail!$C$2:$C$403,N$4)</f>
      </c>
      <c r="O20" s="13">
        <f>SUMIFS(Flux_detail!$K$2:$K$403,Flux_detail!$O$2:$O$403,"FIN",Flux_detail!$C$2:$C$403,O$4)</f>
      </c>
      <c r="P20" s="13">
        <f>SUMIFS(Flux_detail!$K$2:$K$403,Flux_detail!$O$2:$O$403,"FIN",Flux_detail!$C$2:$C$403,P$4)</f>
      </c>
      <c r="Q20" s="13">
        <f>SUMIFS(Flux_detail!$K$2:$K$403,Flux_detail!$O$2:$O$403,"FIN",Flux_detail!$C$2:$C$403,Q$4)</f>
      </c>
      <c r="R20" s="13">
        <f>SUMIFS(Flux_detail!$K$2:$K$403,Flux_detail!$O$2:$O$403,"FIN",Flux_detail!$C$2:$C$403,R$4)</f>
      </c>
      <c r="S20" s="13">
        <f>SUMIFS(Flux_detail!$K$2:$K$403,Flux_detail!$O$2:$O$403,"FIN",Flux_detail!$C$2:$C$403,S$4)</f>
      </c>
      <c r="T20" s="13">
        <f>SUMIFS(Flux_detail!$K$2:$K$403,Flux_detail!$O$2:$O$403,"FIN",Flux_detail!$C$2:$C$403,T$4)</f>
      </c>
      <c r="U20" s="13">
        <f>SUMIFS(Flux_detail!$K$2:$K$403,Flux_detail!$O$2:$O$403,"FIN",Flux_detail!$C$2:$C$403,U$4)</f>
      </c>
      <c r="V20" s="13">
        <f>SUMIFS(Flux_detail!$K$2:$K$403,Flux_detail!$O$2:$O$403,"FIN",Flux_detail!$C$2:$C$403,V$4)</f>
      </c>
      <c r="W20" s="13">
        <f>SUMIFS(Flux_detail!$K$2:$K$403,Flux_detail!$O$2:$O$403,"FIN",Flux_detail!$C$2:$C$403,W$4)</f>
      </c>
      <c r="X20" s="13">
        <f>SUMIFS(Flux_detail!$K$2:$K$403,Flux_detail!$O$2:$O$403,"FIN",Flux_detail!$C$2:$C$403,X$4)</f>
      </c>
      <c r="Y20" s="13">
        <f>SUMIFS(Flux_detail!$K$2:$K$403,Flux_detail!$O$2:$O$403,"FIN",Flux_detail!$C$2:$C$403,Y$4)</f>
      </c>
    </row>
    <row r="22">
      <c r="A22" s="12" t="inlineStr">
        <is>
          <t xml:space="preserve">VARIATION DE TRÉSORERIE</t>
        </is>
      </c>
      <c r="B22" s="14">
        <f>SUMIFS(Flux_detail!$K$2:$K$403,Flux_detail!$C$2:$C$403,B$4)</f>
      </c>
      <c r="C22" s="14">
        <f>SUMIFS(Flux_detail!$K$2:$K$403,Flux_detail!$C$2:$C$403,C$4)</f>
      </c>
      <c r="D22" s="14">
        <f>SUMIFS(Flux_detail!$K$2:$K$403,Flux_detail!$C$2:$C$403,D$4)</f>
      </c>
      <c r="E22" s="14">
        <f>SUMIFS(Flux_detail!$K$2:$K$403,Flux_detail!$C$2:$C$403,E$4)</f>
      </c>
      <c r="F22" s="14">
        <f>SUMIFS(Flux_detail!$K$2:$K$403,Flux_detail!$C$2:$C$403,F$4)</f>
      </c>
      <c r="G22" s="14">
        <f>SUMIFS(Flux_detail!$K$2:$K$403,Flux_detail!$C$2:$C$403,G$4)</f>
      </c>
      <c r="H22" s="14">
        <f>SUMIFS(Flux_detail!$K$2:$K$403,Flux_detail!$C$2:$C$403,H$4)</f>
      </c>
      <c r="I22" s="14">
        <f>SUMIFS(Flux_detail!$K$2:$K$403,Flux_detail!$C$2:$C$403,I$4)</f>
      </c>
      <c r="J22" s="14">
        <f>SUMIFS(Flux_detail!$K$2:$K$403,Flux_detail!$C$2:$C$403,J$4)</f>
      </c>
      <c r="K22" s="14">
        <f>SUMIFS(Flux_detail!$K$2:$K$403,Flux_detail!$C$2:$C$403,K$4)</f>
      </c>
      <c r="L22" s="14">
        <f>SUMIFS(Flux_detail!$K$2:$K$403,Flux_detail!$C$2:$C$403,L$4)</f>
      </c>
      <c r="M22" s="14">
        <f>SUMIFS(Flux_detail!$K$2:$K$403,Flux_detail!$C$2:$C$403,M$4)</f>
      </c>
      <c r="N22" s="14">
        <f>SUMIFS(Flux_detail!$K$2:$K$403,Flux_detail!$C$2:$C$403,N$4)</f>
      </c>
      <c r="O22" s="14">
        <f>SUMIFS(Flux_detail!$K$2:$K$403,Flux_detail!$C$2:$C$403,O$4)</f>
      </c>
      <c r="P22" s="14">
        <f>SUMIFS(Flux_detail!$K$2:$K$403,Flux_detail!$C$2:$C$403,P$4)</f>
      </c>
      <c r="Q22" s="14">
        <f>SUMIFS(Flux_detail!$K$2:$K$403,Flux_detail!$C$2:$C$403,Q$4)</f>
      </c>
      <c r="R22" s="14">
        <f>SUMIFS(Flux_detail!$K$2:$K$403,Flux_detail!$C$2:$C$403,R$4)</f>
      </c>
      <c r="S22" s="14">
        <f>SUMIFS(Flux_detail!$K$2:$K$403,Flux_detail!$C$2:$C$403,S$4)</f>
      </c>
      <c r="T22" s="14">
        <f>SUMIFS(Flux_detail!$K$2:$K$403,Flux_detail!$C$2:$C$403,T$4)</f>
      </c>
      <c r="U22" s="14">
        <f>SUMIFS(Flux_detail!$K$2:$K$403,Flux_detail!$C$2:$C$403,U$4)</f>
      </c>
      <c r="V22" s="14">
        <f>SUMIFS(Flux_detail!$K$2:$K$403,Flux_detail!$C$2:$C$403,V$4)</f>
      </c>
      <c r="W22" s="14">
        <f>SUMIFS(Flux_detail!$K$2:$K$403,Flux_detail!$C$2:$C$403,W$4)</f>
      </c>
      <c r="X22" s="14">
        <f>SUMIFS(Flux_detail!$K$2:$K$403,Flux_detail!$C$2:$C$403,X$4)</f>
      </c>
      <c r="Y22" s="14">
        <f>SUMIFS(Flux_detail!$K$2:$K$403,Flux_detail!$C$2:$C$403,Y$4)</f>
      </c>
    </row>
    <row r="24">
      <c r="A24" s="0" t="inlineStr">
        <is>
          <t xml:space="preserve">Trésorerie début de mois</t>
        </is>
      </c>
      <c r="B24" s="17">
        <v>85000</v>
      </c>
      <c r="C24" s="11">
        <f>B25</f>
      </c>
      <c r="D24" s="11">
        <f>C25</f>
      </c>
      <c r="E24" s="11">
        <f>D25</f>
      </c>
      <c r="F24" s="11">
        <f>E25</f>
      </c>
      <c r="G24" s="11">
        <f>F25</f>
      </c>
      <c r="H24" s="11">
        <f>G25</f>
      </c>
      <c r="I24" s="11">
        <f>H25</f>
      </c>
      <c r="J24" s="11">
        <f>I25</f>
      </c>
      <c r="K24" s="11">
        <f>J25</f>
      </c>
      <c r="L24" s="11">
        <f>K25</f>
      </c>
      <c r="M24" s="11">
        <f>L25</f>
      </c>
      <c r="N24" s="17">
        <v>111111.24</v>
      </c>
      <c r="O24" s="11">
        <f>N25</f>
      </c>
      <c r="P24" s="11">
        <f>O25</f>
      </c>
      <c r="Q24" s="11">
        <f>P25</f>
      </c>
      <c r="R24" s="11">
        <f>Q25</f>
      </c>
      <c r="S24" s="11">
        <f>R25</f>
      </c>
      <c r="T24" s="11">
        <f>S25</f>
      </c>
      <c r="U24" s="11">
        <f>T25</f>
      </c>
      <c r="V24" s="11">
        <f>U25</f>
      </c>
      <c r="W24" s="11">
        <f>V25</f>
      </c>
      <c r="X24" s="11">
        <f>W25</f>
      </c>
      <c r="Y24" s="11">
        <f>X25</f>
      </c>
    </row>
    <row r="25">
      <c r="A25" s="15" t="inlineStr">
        <is>
          <t xml:space="preserve">Trésorerie fin de mois (calculée)</t>
        </is>
      </c>
      <c r="B25" s="18">
        <f>B24+B22</f>
      </c>
      <c r="C25" s="18">
        <f>C24+C22</f>
      </c>
      <c r="D25" s="18">
        <f>D24+D22</f>
      </c>
      <c r="E25" s="18">
        <f>E24+E22</f>
      </c>
      <c r="F25" s="18">
        <f>F24+F22</f>
      </c>
      <c r="G25" s="18">
        <f>G24+G22</f>
      </c>
      <c r="H25" s="18">
        <f>H24+H22</f>
      </c>
      <c r="I25" s="18">
        <f>I24+I22</f>
      </c>
      <c r="J25" s="18">
        <f>J24+J22</f>
      </c>
      <c r="K25" s="18">
        <f>K24+K22</f>
      </c>
      <c r="L25" s="18">
        <f>L24+L22</f>
      </c>
      <c r="M25" s="18">
        <f>M24+M22</f>
      </c>
      <c r="N25" s="18">
        <f>N24+N22</f>
      </c>
      <c r="O25" s="18">
        <f>O24+O22</f>
      </c>
      <c r="P25" s="18">
        <f>P24+P22</f>
      </c>
      <c r="Q25" s="18">
        <f>Q24+Q22</f>
      </c>
      <c r="R25" s="18">
        <f>R24+R22</f>
      </c>
      <c r="S25" s="18">
        <f>S24+S22</f>
      </c>
      <c r="T25" s="18">
        <f>T24+T22</f>
      </c>
      <c r="U25" s="18">
        <f>U24+U22</f>
      </c>
      <c r="V25" s="18">
        <f>V24+V22</f>
      </c>
      <c r="W25" s="18">
        <f>W24+W22</f>
      </c>
      <c r="X25" s="18">
        <f>X24+X22</f>
      </c>
      <c r="Y25" s="18">
        <f>Y24+Y22</f>
      </c>
    </row>
    <row r="26">
      <c r="A26" s="16" t="inlineStr">
        <is>
          <t xml:space="preserve">Trésorerie fin de mois (comptable, contrôle)</t>
        </is>
      </c>
      <c r="B26" s="19">
        <v>110023.94</v>
      </c>
      <c r="C26" s="19">
        <v>102329</v>
      </c>
      <c r="D26" s="19">
        <v>48747.98</v>
      </c>
      <c r="E26" s="19">
        <v>95305.65</v>
      </c>
      <c r="F26" s="19">
        <v>-21773.84</v>
      </c>
      <c r="G26" s="19">
        <v>122831.59</v>
      </c>
      <c r="H26" s="19">
        <v>115988.87</v>
      </c>
      <c r="I26" s="19">
        <v>124609.33</v>
      </c>
      <c r="J26" s="19">
        <v>118507.3</v>
      </c>
      <c r="K26" s="19">
        <v>32377.97</v>
      </c>
      <c r="L26" s="19">
        <v>127978.73</v>
      </c>
      <c r="M26" s="19">
        <v>111111.24</v>
      </c>
      <c r="N26" s="19">
        <v>96813.86</v>
      </c>
      <c r="O26" s="19">
        <v>27235.8</v>
      </c>
      <c r="P26" s="19">
        <v>3791.5</v>
      </c>
      <c r="Q26" s="19">
        <v>-50695.23</v>
      </c>
      <c r="R26" s="19">
        <v>-73747.36</v>
      </c>
      <c r="S26" s="19">
        <v>-36030.33</v>
      </c>
      <c r="T26" s="19">
        <v>-20597.29</v>
      </c>
      <c r="U26" s="19">
        <v>-143681.77</v>
      </c>
      <c r="V26" s="19">
        <v>-157121.59</v>
      </c>
      <c r="W26" s="19">
        <v>-104050.96</v>
      </c>
      <c r="X26" s="19">
        <v>-82041.16</v>
      </c>
      <c r="Y26" s="19">
        <v>-152621.97</v>
      </c>
    </row>
    <row r="27">
      <c r="A27" s="16" t="inlineStr">
        <is>
          <t xml:space="preserve">Écart</t>
        </is>
      </c>
      <c r="B27" s="19">
        <f>B25-B26</f>
      </c>
      <c r="C27" s="19">
        <f>C25-C26</f>
      </c>
      <c r="D27" s="19">
        <f>D25-D26</f>
      </c>
      <c r="E27" s="19">
        <f>E25-E26</f>
      </c>
      <c r="F27" s="19">
        <f>F25-F26</f>
      </c>
      <c r="G27" s="19">
        <f>G25-G26</f>
      </c>
      <c r="H27" s="19">
        <f>H25-H26</f>
      </c>
      <c r="I27" s="19">
        <f>I25-I26</f>
      </c>
      <c r="J27" s="19">
        <f>J25-J26</f>
      </c>
      <c r="K27" s="19">
        <f>K25-K26</f>
      </c>
      <c r="L27" s="19">
        <f>L25-L26</f>
      </c>
      <c r="M27" s="19">
        <f>M25-M26</f>
      </c>
      <c r="N27" s="19">
        <f>N25-N26</f>
      </c>
      <c r="O27" s="19">
        <f>O25-O26</f>
      </c>
      <c r="P27" s="19">
        <f>P25-P26</f>
      </c>
      <c r="Q27" s="19">
        <f>Q25-Q26</f>
      </c>
      <c r="R27" s="19">
        <f>R25-R26</f>
      </c>
      <c r="S27" s="19">
        <f>S25-S26</f>
      </c>
      <c r="T27" s="19">
        <f>T25-T26</f>
      </c>
      <c r="U27" s="19">
        <f>U25-U26</f>
      </c>
      <c r="V27" s="19">
        <f>V25-V26</f>
      </c>
      <c r="W27" s="19">
        <f>W25-W26</f>
      </c>
      <c r="X27" s="19">
        <f>X25-X26</f>
      </c>
      <c r="Y27" s="19">
        <f>Y25-Y26</f>
      </c>
    </row>
    <row r="28">
      <c r="A28" s="15" t="inlineStr">
        <is>
          <t xml:space="preserve">Point bas du mois (solde quotidien)</t>
        </is>
      </c>
      <c r="B28" s="18">
        <f>_xlfn.MINIFS(Solde_quotidien!$G:$G,Solde_quotidien!$D:$D,B$4)</f>
      </c>
      <c r="C28" s="18">
        <f>_xlfn.MINIFS(Solde_quotidien!$G:$G,Solde_quotidien!$D:$D,C$4)</f>
      </c>
      <c r="D28" s="18">
        <f>_xlfn.MINIFS(Solde_quotidien!$G:$G,Solde_quotidien!$D:$D,D$4)</f>
      </c>
      <c r="E28" s="18">
        <f>_xlfn.MINIFS(Solde_quotidien!$G:$G,Solde_quotidien!$D:$D,E$4)</f>
      </c>
      <c r="F28" s="18">
        <f>_xlfn.MINIFS(Solde_quotidien!$G:$G,Solde_quotidien!$D:$D,F$4)</f>
      </c>
      <c r="G28" s="18">
        <f>_xlfn.MINIFS(Solde_quotidien!$G:$G,Solde_quotidien!$D:$D,G$4)</f>
      </c>
      <c r="H28" s="18">
        <f>_xlfn.MINIFS(Solde_quotidien!$G:$G,Solde_quotidien!$D:$D,H$4)</f>
      </c>
      <c r="I28" s="18">
        <f>_xlfn.MINIFS(Solde_quotidien!$G:$G,Solde_quotidien!$D:$D,I$4)</f>
      </c>
      <c r="J28" s="18">
        <f>_xlfn.MINIFS(Solde_quotidien!$G:$G,Solde_quotidien!$D:$D,J$4)</f>
      </c>
      <c r="K28" s="18">
        <f>_xlfn.MINIFS(Solde_quotidien!$G:$G,Solde_quotidien!$D:$D,K$4)</f>
      </c>
      <c r="L28" s="18">
        <f>_xlfn.MINIFS(Solde_quotidien!$G:$G,Solde_quotidien!$D:$D,L$4)</f>
      </c>
      <c r="M28" s="18">
        <f>_xlfn.MINIFS(Solde_quotidien!$G:$G,Solde_quotidien!$D:$D,M$4)</f>
      </c>
      <c r="N28" s="18">
        <f>_xlfn.MINIFS(Solde_quotidien!$G:$G,Solde_quotidien!$D:$D,N$4)</f>
      </c>
      <c r="O28" s="18">
        <f>_xlfn.MINIFS(Solde_quotidien!$G:$G,Solde_quotidien!$D:$D,O$4)</f>
      </c>
      <c r="P28" s="18">
        <f>_xlfn.MINIFS(Solde_quotidien!$G:$G,Solde_quotidien!$D:$D,P$4)</f>
      </c>
      <c r="Q28" s="18">
        <f>_xlfn.MINIFS(Solde_quotidien!$G:$G,Solde_quotidien!$D:$D,Q$4)</f>
      </c>
      <c r="R28" s="18">
        <f>_xlfn.MINIFS(Solde_quotidien!$G:$G,Solde_quotidien!$D:$D,R$4)</f>
      </c>
      <c r="S28" s="18">
        <f>_xlfn.MINIFS(Solde_quotidien!$G:$G,Solde_quotidien!$D:$D,S$4)</f>
      </c>
      <c r="T28" s="18">
        <f>_xlfn.MINIFS(Solde_quotidien!$G:$G,Solde_quotidien!$D:$D,T$4)</f>
      </c>
      <c r="U28" s="18">
        <f>_xlfn.MINIFS(Solde_quotidien!$G:$G,Solde_quotidien!$D:$D,U$4)</f>
      </c>
      <c r="V28" s="18">
        <f>_xlfn.MINIFS(Solde_quotidien!$G:$G,Solde_quotidien!$D:$D,V$4)</f>
      </c>
      <c r="W28" s="18">
        <f>_xlfn.MINIFS(Solde_quotidien!$G:$G,Solde_quotidien!$D:$D,W$4)</f>
      </c>
      <c r="X28" s="18">
        <f>_xlfn.MINIFS(Solde_quotidien!$G:$G,Solde_quotidien!$D:$D,X$4)</f>
      </c>
      <c r="Y28" s="18">
        <f>_xlfn.MINIFS(Solde_quotidien!$G:$G,Solde_quotidien!$D:$D,Y$4)</f>
      </c>
    </row>
    <row r="29">
      <c r="A29" s="2" t="inlineStr">
        <is>
          <t xml:space="preserve">La première colonne de chaque exercice repart des à-nouveaux bancaires (bleu). Le solde de fin de mois masque souvent un point bas plus profond en cours de mois (salaires, URSSAF).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1" ySplit="4" topLeftCell="B5" activePane="bottomRight" state="frozen"/>
    </sheetView>
  </sheetViews>
  <sheetFormatPr defaultRowHeight="12.75"/>
  <cols>
    <col min="1" max="1" width="44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10" customWidth="1"/>
    <col min="33" max="33" width="10" customWidth="1"/>
    <col min="34" max="34" width="10" customWidth="1"/>
    <col min="35" max="35" width="10" customWidth="1"/>
    <col min="36" max="36" width="10" customWidth="1"/>
    <col min="37" max="37" width="10" customWidth="1"/>
    <col min="38" max="38" width="10" customWidth="1"/>
    <col min="39" max="39" width="10" customWidth="1"/>
    <col min="40" max="40" width="10" customWidth="1"/>
    <col min="41" max="41" width="10" customWidth="1"/>
    <col min="42" max="42" width="10" customWidth="1"/>
    <col min="43" max="43" width="10" customWidth="1"/>
    <col min="44" max="44" width="10" customWidth="1"/>
    <col min="45" max="45" width="10" customWidth="1"/>
    <col min="46" max="46" width="10" customWidth="1"/>
    <col min="47" max="47" width="10" customWidth="1"/>
    <col min="48" max="48" width="10" customWidth="1"/>
    <col min="49" max="49" width="10" customWidth="1"/>
    <col min="50" max="50" width="10" customWidth="1"/>
    <col min="51" max="51" width="10" customWidth="1"/>
    <col min="52" max="52" width="10" customWidth="1"/>
    <col min="53" max="53" width="10" customWidth="1"/>
  </cols>
  <sheetData>
    <row r="1">
      <c r="A1" s="1" t="inlineStr">
        <is>
          <t xml:space="preserve">Flux de trésorerie hebdomadaires — 52 dernières semaines des données</t>
        </is>
      </c>
    </row>
    <row r="2">
      <c r="A2" s="2" t="inlineStr">
        <is>
          <t xml:space="preserve">Base historique du prévisionnel à 13 semaines : rythme des encaissements et des décaissements par nature.</t>
        </is>
      </c>
    </row>
    <row r="3">
      <c r="B3" s="20">
        <v>45663</v>
      </c>
      <c r="C3" s="20">
        <v>45670</v>
      </c>
      <c r="D3" s="20">
        <v>45677</v>
      </c>
      <c r="E3" s="20">
        <v>45684</v>
      </c>
      <c r="F3" s="20">
        <v>45691</v>
      </c>
      <c r="G3" s="20">
        <v>45698</v>
      </c>
      <c r="H3" s="20">
        <v>45705</v>
      </c>
      <c r="I3" s="20">
        <v>45712</v>
      </c>
      <c r="J3" s="20">
        <v>45719</v>
      </c>
      <c r="K3" s="20">
        <v>45726</v>
      </c>
      <c r="L3" s="20">
        <v>45733</v>
      </c>
      <c r="M3" s="20">
        <v>45740</v>
      </c>
      <c r="N3" s="20">
        <v>45747</v>
      </c>
      <c r="O3" s="20">
        <v>45754</v>
      </c>
      <c r="P3" s="20">
        <v>45761</v>
      </c>
      <c r="Q3" s="20">
        <v>45768</v>
      </c>
      <c r="R3" s="20">
        <v>45775</v>
      </c>
      <c r="S3" s="20">
        <v>45782</v>
      </c>
      <c r="T3" s="20">
        <v>45789</v>
      </c>
      <c r="U3" s="20">
        <v>45796</v>
      </c>
      <c r="V3" s="20">
        <v>45803</v>
      </c>
      <c r="W3" s="20">
        <v>45810</v>
      </c>
      <c r="X3" s="20">
        <v>45817</v>
      </c>
      <c r="Y3" s="20">
        <v>45824</v>
      </c>
      <c r="Z3" s="20">
        <v>45831</v>
      </c>
      <c r="AA3" s="20">
        <v>45838</v>
      </c>
      <c r="AB3" s="20">
        <v>45845</v>
      </c>
      <c r="AC3" s="20">
        <v>45852</v>
      </c>
      <c r="AD3" s="20">
        <v>45859</v>
      </c>
      <c r="AE3" s="20">
        <v>45866</v>
      </c>
      <c r="AF3" s="20">
        <v>45873</v>
      </c>
      <c r="AG3" s="20">
        <v>45880</v>
      </c>
      <c r="AH3" s="20">
        <v>45887</v>
      </c>
      <c r="AI3" s="20">
        <v>45894</v>
      </c>
      <c r="AJ3" s="20">
        <v>45901</v>
      </c>
      <c r="AK3" s="20">
        <v>45908</v>
      </c>
      <c r="AL3" s="20">
        <v>45915</v>
      </c>
      <c r="AM3" s="20">
        <v>45922</v>
      </c>
      <c r="AN3" s="20">
        <v>45929</v>
      </c>
      <c r="AO3" s="20">
        <v>45936</v>
      </c>
      <c r="AP3" s="20">
        <v>45943</v>
      </c>
      <c r="AQ3" s="20">
        <v>45950</v>
      </c>
      <c r="AR3" s="20">
        <v>45957</v>
      </c>
      <c r="AS3" s="20">
        <v>45964</v>
      </c>
      <c r="AT3" s="20">
        <v>45971</v>
      </c>
      <c r="AU3" s="20">
        <v>45978</v>
      </c>
      <c r="AV3" s="20">
        <v>45985</v>
      </c>
      <c r="AW3" s="20">
        <v>45992</v>
      </c>
      <c r="AX3" s="20">
        <v>45999</v>
      </c>
      <c r="AY3" s="20">
        <v>46006</v>
      </c>
      <c r="AZ3" s="20">
        <v>46013</v>
      </c>
      <c r="BA3" s="20">
        <v>46020</v>
      </c>
    </row>
    <row r="4">
      <c r="A4" s="3" t="inlineStr">
        <is>
          <t xml:space="preserve">En euros</t>
        </is>
      </c>
      <c r="B4" s="3" t="inlineStr">
        <is>
          <t xml:space="preserve">2025-S02</t>
        </is>
      </c>
      <c r="C4" s="3" t="inlineStr">
        <is>
          <t xml:space="preserve">2025-S03</t>
        </is>
      </c>
      <c r="D4" s="3" t="inlineStr">
        <is>
          <t xml:space="preserve">2025-S04</t>
        </is>
      </c>
      <c r="E4" s="3" t="inlineStr">
        <is>
          <t xml:space="preserve">2025-S05</t>
        </is>
      </c>
      <c r="F4" s="3" t="inlineStr">
        <is>
          <t xml:space="preserve">2025-S06</t>
        </is>
      </c>
      <c r="G4" s="3" t="inlineStr">
        <is>
          <t xml:space="preserve">2025-S07</t>
        </is>
      </c>
      <c r="H4" s="3" t="inlineStr">
        <is>
          <t xml:space="preserve">2025-S08</t>
        </is>
      </c>
      <c r="I4" s="3" t="inlineStr">
        <is>
          <t xml:space="preserve">2025-S09</t>
        </is>
      </c>
      <c r="J4" s="3" t="inlineStr">
        <is>
          <t xml:space="preserve">2025-S10</t>
        </is>
      </c>
      <c r="K4" s="3" t="inlineStr">
        <is>
          <t xml:space="preserve">2025-S11</t>
        </is>
      </c>
      <c r="L4" s="3" t="inlineStr">
        <is>
          <t xml:space="preserve">2025-S12</t>
        </is>
      </c>
      <c r="M4" s="3" t="inlineStr">
        <is>
          <t xml:space="preserve">2025-S13</t>
        </is>
      </c>
      <c r="N4" s="3" t="inlineStr">
        <is>
          <t xml:space="preserve">2025-S14</t>
        </is>
      </c>
      <c r="O4" s="3" t="inlineStr">
        <is>
          <t xml:space="preserve">2025-S15</t>
        </is>
      </c>
      <c r="P4" s="3" t="inlineStr">
        <is>
          <t xml:space="preserve">2025-S16</t>
        </is>
      </c>
      <c r="Q4" s="3" t="inlineStr">
        <is>
          <t xml:space="preserve">2025-S17</t>
        </is>
      </c>
      <c r="R4" s="3" t="inlineStr">
        <is>
          <t xml:space="preserve">2025-S18</t>
        </is>
      </c>
      <c r="S4" s="3" t="inlineStr">
        <is>
          <t xml:space="preserve">2025-S19</t>
        </is>
      </c>
      <c r="T4" s="3" t="inlineStr">
        <is>
          <t xml:space="preserve">2025-S20</t>
        </is>
      </c>
      <c r="U4" s="3" t="inlineStr">
        <is>
          <t xml:space="preserve">2025-S21</t>
        </is>
      </c>
      <c r="V4" s="3" t="inlineStr">
        <is>
          <t xml:space="preserve">2025-S22</t>
        </is>
      </c>
      <c r="W4" s="3" t="inlineStr">
        <is>
          <t xml:space="preserve">2025-S23</t>
        </is>
      </c>
      <c r="X4" s="3" t="inlineStr">
        <is>
          <t xml:space="preserve">2025-S24</t>
        </is>
      </c>
      <c r="Y4" s="3" t="inlineStr">
        <is>
          <t xml:space="preserve">2025-S25</t>
        </is>
      </c>
      <c r="Z4" s="3" t="inlineStr">
        <is>
          <t xml:space="preserve">2025-S26</t>
        </is>
      </c>
      <c r="AA4" s="3" t="inlineStr">
        <is>
          <t xml:space="preserve">2025-S27</t>
        </is>
      </c>
      <c r="AB4" s="3" t="inlineStr">
        <is>
          <t xml:space="preserve">2025-S28</t>
        </is>
      </c>
      <c r="AC4" s="3" t="inlineStr">
        <is>
          <t xml:space="preserve">2025-S29</t>
        </is>
      </c>
      <c r="AD4" s="3" t="inlineStr">
        <is>
          <t xml:space="preserve">2025-S30</t>
        </is>
      </c>
      <c r="AE4" s="3" t="inlineStr">
        <is>
          <t xml:space="preserve">2025-S31</t>
        </is>
      </c>
      <c r="AF4" s="3" t="inlineStr">
        <is>
          <t xml:space="preserve">2025-S32</t>
        </is>
      </c>
      <c r="AG4" s="3" t="inlineStr">
        <is>
          <t xml:space="preserve">2025-S33</t>
        </is>
      </c>
      <c r="AH4" s="3" t="inlineStr">
        <is>
          <t xml:space="preserve">2025-S34</t>
        </is>
      </c>
      <c r="AI4" s="3" t="inlineStr">
        <is>
          <t xml:space="preserve">2025-S35</t>
        </is>
      </c>
      <c r="AJ4" s="3" t="inlineStr">
        <is>
          <t xml:space="preserve">2025-S36</t>
        </is>
      </c>
      <c r="AK4" s="3" t="inlineStr">
        <is>
          <t xml:space="preserve">2025-S37</t>
        </is>
      </c>
      <c r="AL4" s="3" t="inlineStr">
        <is>
          <t xml:space="preserve">2025-S38</t>
        </is>
      </c>
      <c r="AM4" s="3" t="inlineStr">
        <is>
          <t xml:space="preserve">2025-S39</t>
        </is>
      </c>
      <c r="AN4" s="3" t="inlineStr">
        <is>
          <t xml:space="preserve">2025-S40</t>
        </is>
      </c>
      <c r="AO4" s="3" t="inlineStr">
        <is>
          <t xml:space="preserve">2025-S41</t>
        </is>
      </c>
      <c r="AP4" s="3" t="inlineStr">
        <is>
          <t xml:space="preserve">2025-S42</t>
        </is>
      </c>
      <c r="AQ4" s="3" t="inlineStr">
        <is>
          <t xml:space="preserve">2025-S43</t>
        </is>
      </c>
      <c r="AR4" s="3" t="inlineStr">
        <is>
          <t xml:space="preserve">2025-S44</t>
        </is>
      </c>
      <c r="AS4" s="3" t="inlineStr">
        <is>
          <t xml:space="preserve">2025-S45</t>
        </is>
      </c>
      <c r="AT4" s="3" t="inlineStr">
        <is>
          <t xml:space="preserve">2025-S46</t>
        </is>
      </c>
      <c r="AU4" s="3" t="inlineStr">
        <is>
          <t xml:space="preserve">2025-S47</t>
        </is>
      </c>
      <c r="AV4" s="3" t="inlineStr">
        <is>
          <t xml:space="preserve">2025-S48</t>
        </is>
      </c>
      <c r="AW4" s="3" t="inlineStr">
        <is>
          <t xml:space="preserve">2025-S49</t>
        </is>
      </c>
      <c r="AX4" s="3" t="inlineStr">
        <is>
          <t xml:space="preserve">2025-S50</t>
        </is>
      </c>
      <c r="AY4" s="3" t="inlineStr">
        <is>
          <t xml:space="preserve">2025-S51</t>
        </is>
      </c>
      <c r="AZ4" s="3" t="inlineStr">
        <is>
          <t xml:space="preserve">2025-S52</t>
        </is>
      </c>
      <c r="BA4" s="3" t="inlineStr">
        <is>
          <t xml:space="preserve">2026-S01</t>
        </is>
      </c>
    </row>
    <row r="5">
      <c r="A5" s="5" t="inlineStr">
        <is>
          <t xml:space="preserve">Flux d'exploitation</t>
        </is>
      </c>
    </row>
    <row r="6">
      <c r="A6" s="0" t="inlineStr">
        <is>
          <t xml:space="preserve">Clients</t>
        </is>
      </c>
      <c r="B6" s="11">
        <f>SUMIFS(Flux_detail!$K$2:$K$403,Flux_detail!$N$2:$N$403,$A6,Flux_detail!$B$2:$B$403,B$4)</f>
      </c>
      <c r="C6" s="11">
        <f>SUMIFS(Flux_detail!$K$2:$K$403,Flux_detail!$N$2:$N$403,$A6,Flux_detail!$B$2:$B$403,C$4)</f>
      </c>
      <c r="D6" s="11">
        <f>SUMIFS(Flux_detail!$K$2:$K$403,Flux_detail!$N$2:$N$403,$A6,Flux_detail!$B$2:$B$403,D$4)</f>
      </c>
      <c r="E6" s="11">
        <f>SUMIFS(Flux_detail!$K$2:$K$403,Flux_detail!$N$2:$N$403,$A6,Flux_detail!$B$2:$B$403,E$4)</f>
      </c>
      <c r="F6" s="11">
        <f>SUMIFS(Flux_detail!$K$2:$K$403,Flux_detail!$N$2:$N$403,$A6,Flux_detail!$B$2:$B$403,F$4)</f>
      </c>
      <c r="G6" s="11">
        <f>SUMIFS(Flux_detail!$K$2:$K$403,Flux_detail!$N$2:$N$403,$A6,Flux_detail!$B$2:$B$403,G$4)</f>
      </c>
      <c r="H6" s="11">
        <f>SUMIFS(Flux_detail!$K$2:$K$403,Flux_detail!$N$2:$N$403,$A6,Flux_detail!$B$2:$B$403,H$4)</f>
      </c>
      <c r="I6" s="11">
        <f>SUMIFS(Flux_detail!$K$2:$K$403,Flux_detail!$N$2:$N$403,$A6,Flux_detail!$B$2:$B$403,I$4)</f>
      </c>
      <c r="J6" s="11">
        <f>SUMIFS(Flux_detail!$K$2:$K$403,Flux_detail!$N$2:$N$403,$A6,Flux_detail!$B$2:$B$403,J$4)</f>
      </c>
      <c r="K6" s="11">
        <f>SUMIFS(Flux_detail!$K$2:$K$403,Flux_detail!$N$2:$N$403,$A6,Flux_detail!$B$2:$B$403,K$4)</f>
      </c>
      <c r="L6" s="11">
        <f>SUMIFS(Flux_detail!$K$2:$K$403,Flux_detail!$N$2:$N$403,$A6,Flux_detail!$B$2:$B$403,L$4)</f>
      </c>
      <c r="M6" s="11">
        <f>SUMIFS(Flux_detail!$K$2:$K$403,Flux_detail!$N$2:$N$403,$A6,Flux_detail!$B$2:$B$403,M$4)</f>
      </c>
      <c r="N6" s="11">
        <f>SUMIFS(Flux_detail!$K$2:$K$403,Flux_detail!$N$2:$N$403,$A6,Flux_detail!$B$2:$B$403,N$4)</f>
      </c>
      <c r="O6" s="11">
        <f>SUMIFS(Flux_detail!$K$2:$K$403,Flux_detail!$N$2:$N$403,$A6,Flux_detail!$B$2:$B$403,O$4)</f>
      </c>
      <c r="P6" s="11">
        <f>SUMIFS(Flux_detail!$K$2:$K$403,Flux_detail!$N$2:$N$403,$A6,Flux_detail!$B$2:$B$403,P$4)</f>
      </c>
      <c r="Q6" s="11">
        <f>SUMIFS(Flux_detail!$K$2:$K$403,Flux_detail!$N$2:$N$403,$A6,Flux_detail!$B$2:$B$403,Q$4)</f>
      </c>
      <c r="R6" s="11">
        <f>SUMIFS(Flux_detail!$K$2:$K$403,Flux_detail!$N$2:$N$403,$A6,Flux_detail!$B$2:$B$403,R$4)</f>
      </c>
      <c r="S6" s="11">
        <f>SUMIFS(Flux_detail!$K$2:$K$403,Flux_detail!$N$2:$N$403,$A6,Flux_detail!$B$2:$B$403,S$4)</f>
      </c>
      <c r="T6" s="11">
        <f>SUMIFS(Flux_detail!$K$2:$K$403,Flux_detail!$N$2:$N$403,$A6,Flux_detail!$B$2:$B$403,T$4)</f>
      </c>
      <c r="U6" s="11">
        <f>SUMIFS(Flux_detail!$K$2:$K$403,Flux_detail!$N$2:$N$403,$A6,Flux_detail!$B$2:$B$403,U$4)</f>
      </c>
      <c r="V6" s="11">
        <f>SUMIFS(Flux_detail!$K$2:$K$403,Flux_detail!$N$2:$N$403,$A6,Flux_detail!$B$2:$B$403,V$4)</f>
      </c>
      <c r="W6" s="11">
        <f>SUMIFS(Flux_detail!$K$2:$K$403,Flux_detail!$N$2:$N$403,$A6,Flux_detail!$B$2:$B$403,W$4)</f>
      </c>
      <c r="X6" s="11">
        <f>SUMIFS(Flux_detail!$K$2:$K$403,Flux_detail!$N$2:$N$403,$A6,Flux_detail!$B$2:$B$403,X$4)</f>
      </c>
      <c r="Y6" s="11">
        <f>SUMIFS(Flux_detail!$K$2:$K$403,Flux_detail!$N$2:$N$403,$A6,Flux_detail!$B$2:$B$403,Y$4)</f>
      </c>
      <c r="Z6" s="11">
        <f>SUMIFS(Flux_detail!$K$2:$K$403,Flux_detail!$N$2:$N$403,$A6,Flux_detail!$B$2:$B$403,Z$4)</f>
      </c>
      <c r="AA6" s="11">
        <f>SUMIFS(Flux_detail!$K$2:$K$403,Flux_detail!$N$2:$N$403,$A6,Flux_detail!$B$2:$B$403,AA$4)</f>
      </c>
      <c r="AB6" s="11">
        <f>SUMIFS(Flux_detail!$K$2:$K$403,Flux_detail!$N$2:$N$403,$A6,Flux_detail!$B$2:$B$403,AB$4)</f>
      </c>
      <c r="AC6" s="11">
        <f>SUMIFS(Flux_detail!$K$2:$K$403,Flux_detail!$N$2:$N$403,$A6,Flux_detail!$B$2:$B$403,AC$4)</f>
      </c>
      <c r="AD6" s="11">
        <f>SUMIFS(Flux_detail!$K$2:$K$403,Flux_detail!$N$2:$N$403,$A6,Flux_detail!$B$2:$B$403,AD$4)</f>
      </c>
      <c r="AE6" s="11">
        <f>SUMIFS(Flux_detail!$K$2:$K$403,Flux_detail!$N$2:$N$403,$A6,Flux_detail!$B$2:$B$403,AE$4)</f>
      </c>
      <c r="AF6" s="11">
        <f>SUMIFS(Flux_detail!$K$2:$K$403,Flux_detail!$N$2:$N$403,$A6,Flux_detail!$B$2:$B$403,AF$4)</f>
      </c>
      <c r="AG6" s="11">
        <f>SUMIFS(Flux_detail!$K$2:$K$403,Flux_detail!$N$2:$N$403,$A6,Flux_detail!$B$2:$B$403,AG$4)</f>
      </c>
      <c r="AH6" s="11">
        <f>SUMIFS(Flux_detail!$K$2:$K$403,Flux_detail!$N$2:$N$403,$A6,Flux_detail!$B$2:$B$403,AH$4)</f>
      </c>
      <c r="AI6" s="11">
        <f>SUMIFS(Flux_detail!$K$2:$K$403,Flux_detail!$N$2:$N$403,$A6,Flux_detail!$B$2:$B$403,AI$4)</f>
      </c>
      <c r="AJ6" s="11">
        <f>SUMIFS(Flux_detail!$K$2:$K$403,Flux_detail!$N$2:$N$403,$A6,Flux_detail!$B$2:$B$403,AJ$4)</f>
      </c>
      <c r="AK6" s="11">
        <f>SUMIFS(Flux_detail!$K$2:$K$403,Flux_detail!$N$2:$N$403,$A6,Flux_detail!$B$2:$B$403,AK$4)</f>
      </c>
      <c r="AL6" s="11">
        <f>SUMIFS(Flux_detail!$K$2:$K$403,Flux_detail!$N$2:$N$403,$A6,Flux_detail!$B$2:$B$403,AL$4)</f>
      </c>
      <c r="AM6" s="11">
        <f>SUMIFS(Flux_detail!$K$2:$K$403,Flux_detail!$N$2:$N$403,$A6,Flux_detail!$B$2:$B$403,AM$4)</f>
      </c>
      <c r="AN6" s="11">
        <f>SUMIFS(Flux_detail!$K$2:$K$403,Flux_detail!$N$2:$N$403,$A6,Flux_detail!$B$2:$B$403,AN$4)</f>
      </c>
      <c r="AO6" s="11">
        <f>SUMIFS(Flux_detail!$K$2:$K$403,Flux_detail!$N$2:$N$403,$A6,Flux_detail!$B$2:$B$403,AO$4)</f>
      </c>
      <c r="AP6" s="11">
        <f>SUMIFS(Flux_detail!$K$2:$K$403,Flux_detail!$N$2:$N$403,$A6,Flux_detail!$B$2:$B$403,AP$4)</f>
      </c>
      <c r="AQ6" s="11">
        <f>SUMIFS(Flux_detail!$K$2:$K$403,Flux_detail!$N$2:$N$403,$A6,Flux_detail!$B$2:$B$403,AQ$4)</f>
      </c>
      <c r="AR6" s="11">
        <f>SUMIFS(Flux_detail!$K$2:$K$403,Flux_detail!$N$2:$N$403,$A6,Flux_detail!$B$2:$B$403,AR$4)</f>
      </c>
      <c r="AS6" s="11">
        <f>SUMIFS(Flux_detail!$K$2:$K$403,Flux_detail!$N$2:$N$403,$A6,Flux_detail!$B$2:$B$403,AS$4)</f>
      </c>
      <c r="AT6" s="11">
        <f>SUMIFS(Flux_detail!$K$2:$K$403,Flux_detail!$N$2:$N$403,$A6,Flux_detail!$B$2:$B$403,AT$4)</f>
      </c>
      <c r="AU6" s="11">
        <f>SUMIFS(Flux_detail!$K$2:$K$403,Flux_detail!$N$2:$N$403,$A6,Flux_detail!$B$2:$B$403,AU$4)</f>
      </c>
      <c r="AV6" s="11">
        <f>SUMIFS(Flux_detail!$K$2:$K$403,Flux_detail!$N$2:$N$403,$A6,Flux_detail!$B$2:$B$403,AV$4)</f>
      </c>
      <c r="AW6" s="11">
        <f>SUMIFS(Flux_detail!$K$2:$K$403,Flux_detail!$N$2:$N$403,$A6,Flux_detail!$B$2:$B$403,AW$4)</f>
      </c>
      <c r="AX6" s="11">
        <f>SUMIFS(Flux_detail!$K$2:$K$403,Flux_detail!$N$2:$N$403,$A6,Flux_detail!$B$2:$B$403,AX$4)</f>
      </c>
      <c r="AY6" s="11">
        <f>SUMIFS(Flux_detail!$K$2:$K$403,Flux_detail!$N$2:$N$403,$A6,Flux_detail!$B$2:$B$403,AY$4)</f>
      </c>
      <c r="AZ6" s="11">
        <f>SUMIFS(Flux_detail!$K$2:$K$403,Flux_detail!$N$2:$N$403,$A6,Flux_detail!$B$2:$B$403,AZ$4)</f>
      </c>
      <c r="BA6" s="11">
        <f>SUMIFS(Flux_detail!$K$2:$K$403,Flux_detail!$N$2:$N$403,$A6,Flux_detail!$B$2:$B$403,BA$4)</f>
      </c>
    </row>
    <row r="7">
      <c r="A7" s="0" t="inlineStr">
        <is>
          <t xml:space="preserve">Fournisseurs et charges externes</t>
        </is>
      </c>
      <c r="B7" s="11">
        <f>SUMIFS(Flux_detail!$K$2:$K$403,Flux_detail!$N$2:$N$403,$A7,Flux_detail!$B$2:$B$403,B$4)</f>
      </c>
      <c r="C7" s="11">
        <f>SUMIFS(Flux_detail!$K$2:$K$403,Flux_detail!$N$2:$N$403,$A7,Flux_detail!$B$2:$B$403,C$4)</f>
      </c>
      <c r="D7" s="11">
        <f>SUMIFS(Flux_detail!$K$2:$K$403,Flux_detail!$N$2:$N$403,$A7,Flux_detail!$B$2:$B$403,D$4)</f>
      </c>
      <c r="E7" s="11">
        <f>SUMIFS(Flux_detail!$K$2:$K$403,Flux_detail!$N$2:$N$403,$A7,Flux_detail!$B$2:$B$403,E$4)</f>
      </c>
      <c r="F7" s="11">
        <f>SUMIFS(Flux_detail!$K$2:$K$403,Flux_detail!$N$2:$N$403,$A7,Flux_detail!$B$2:$B$403,F$4)</f>
      </c>
      <c r="G7" s="11">
        <f>SUMIFS(Flux_detail!$K$2:$K$403,Flux_detail!$N$2:$N$403,$A7,Flux_detail!$B$2:$B$403,G$4)</f>
      </c>
      <c r="H7" s="11">
        <f>SUMIFS(Flux_detail!$K$2:$K$403,Flux_detail!$N$2:$N$403,$A7,Flux_detail!$B$2:$B$403,H$4)</f>
      </c>
      <c r="I7" s="11">
        <f>SUMIFS(Flux_detail!$K$2:$K$403,Flux_detail!$N$2:$N$403,$A7,Flux_detail!$B$2:$B$403,I$4)</f>
      </c>
      <c r="J7" s="11">
        <f>SUMIFS(Flux_detail!$K$2:$K$403,Flux_detail!$N$2:$N$403,$A7,Flux_detail!$B$2:$B$403,J$4)</f>
      </c>
      <c r="K7" s="11">
        <f>SUMIFS(Flux_detail!$K$2:$K$403,Flux_detail!$N$2:$N$403,$A7,Flux_detail!$B$2:$B$403,K$4)</f>
      </c>
      <c r="L7" s="11">
        <f>SUMIFS(Flux_detail!$K$2:$K$403,Flux_detail!$N$2:$N$403,$A7,Flux_detail!$B$2:$B$403,L$4)</f>
      </c>
      <c r="M7" s="11">
        <f>SUMIFS(Flux_detail!$K$2:$K$403,Flux_detail!$N$2:$N$403,$A7,Flux_detail!$B$2:$B$403,M$4)</f>
      </c>
      <c r="N7" s="11">
        <f>SUMIFS(Flux_detail!$K$2:$K$403,Flux_detail!$N$2:$N$403,$A7,Flux_detail!$B$2:$B$403,N$4)</f>
      </c>
      <c r="O7" s="11">
        <f>SUMIFS(Flux_detail!$K$2:$K$403,Flux_detail!$N$2:$N$403,$A7,Flux_detail!$B$2:$B$403,O$4)</f>
      </c>
      <c r="P7" s="11">
        <f>SUMIFS(Flux_detail!$K$2:$K$403,Flux_detail!$N$2:$N$403,$A7,Flux_detail!$B$2:$B$403,P$4)</f>
      </c>
      <c r="Q7" s="11">
        <f>SUMIFS(Flux_detail!$K$2:$K$403,Flux_detail!$N$2:$N$403,$A7,Flux_detail!$B$2:$B$403,Q$4)</f>
      </c>
      <c r="R7" s="11">
        <f>SUMIFS(Flux_detail!$K$2:$K$403,Flux_detail!$N$2:$N$403,$A7,Flux_detail!$B$2:$B$403,R$4)</f>
      </c>
      <c r="S7" s="11">
        <f>SUMIFS(Flux_detail!$K$2:$K$403,Flux_detail!$N$2:$N$403,$A7,Flux_detail!$B$2:$B$403,S$4)</f>
      </c>
      <c r="T7" s="11">
        <f>SUMIFS(Flux_detail!$K$2:$K$403,Flux_detail!$N$2:$N$403,$A7,Flux_detail!$B$2:$B$403,T$4)</f>
      </c>
      <c r="U7" s="11">
        <f>SUMIFS(Flux_detail!$K$2:$K$403,Flux_detail!$N$2:$N$403,$A7,Flux_detail!$B$2:$B$403,U$4)</f>
      </c>
      <c r="V7" s="11">
        <f>SUMIFS(Flux_detail!$K$2:$K$403,Flux_detail!$N$2:$N$403,$A7,Flux_detail!$B$2:$B$403,V$4)</f>
      </c>
      <c r="W7" s="11">
        <f>SUMIFS(Flux_detail!$K$2:$K$403,Flux_detail!$N$2:$N$403,$A7,Flux_detail!$B$2:$B$403,W$4)</f>
      </c>
      <c r="X7" s="11">
        <f>SUMIFS(Flux_detail!$K$2:$K$403,Flux_detail!$N$2:$N$403,$A7,Flux_detail!$B$2:$B$403,X$4)</f>
      </c>
      <c r="Y7" s="11">
        <f>SUMIFS(Flux_detail!$K$2:$K$403,Flux_detail!$N$2:$N$403,$A7,Flux_detail!$B$2:$B$403,Y$4)</f>
      </c>
      <c r="Z7" s="11">
        <f>SUMIFS(Flux_detail!$K$2:$K$403,Flux_detail!$N$2:$N$403,$A7,Flux_detail!$B$2:$B$403,Z$4)</f>
      </c>
      <c r="AA7" s="11">
        <f>SUMIFS(Flux_detail!$K$2:$K$403,Flux_detail!$N$2:$N$403,$A7,Flux_detail!$B$2:$B$403,AA$4)</f>
      </c>
      <c r="AB7" s="11">
        <f>SUMIFS(Flux_detail!$K$2:$K$403,Flux_detail!$N$2:$N$403,$A7,Flux_detail!$B$2:$B$403,AB$4)</f>
      </c>
      <c r="AC7" s="11">
        <f>SUMIFS(Flux_detail!$K$2:$K$403,Flux_detail!$N$2:$N$403,$A7,Flux_detail!$B$2:$B$403,AC$4)</f>
      </c>
      <c r="AD7" s="11">
        <f>SUMIFS(Flux_detail!$K$2:$K$403,Flux_detail!$N$2:$N$403,$A7,Flux_detail!$B$2:$B$403,AD$4)</f>
      </c>
      <c r="AE7" s="11">
        <f>SUMIFS(Flux_detail!$K$2:$K$403,Flux_detail!$N$2:$N$403,$A7,Flux_detail!$B$2:$B$403,AE$4)</f>
      </c>
      <c r="AF7" s="11">
        <f>SUMIFS(Flux_detail!$K$2:$K$403,Flux_detail!$N$2:$N$403,$A7,Flux_detail!$B$2:$B$403,AF$4)</f>
      </c>
      <c r="AG7" s="11">
        <f>SUMIFS(Flux_detail!$K$2:$K$403,Flux_detail!$N$2:$N$403,$A7,Flux_detail!$B$2:$B$403,AG$4)</f>
      </c>
      <c r="AH7" s="11">
        <f>SUMIFS(Flux_detail!$K$2:$K$403,Flux_detail!$N$2:$N$403,$A7,Flux_detail!$B$2:$B$403,AH$4)</f>
      </c>
      <c r="AI7" s="11">
        <f>SUMIFS(Flux_detail!$K$2:$K$403,Flux_detail!$N$2:$N$403,$A7,Flux_detail!$B$2:$B$403,AI$4)</f>
      </c>
      <c r="AJ7" s="11">
        <f>SUMIFS(Flux_detail!$K$2:$K$403,Flux_detail!$N$2:$N$403,$A7,Flux_detail!$B$2:$B$403,AJ$4)</f>
      </c>
      <c r="AK7" s="11">
        <f>SUMIFS(Flux_detail!$K$2:$K$403,Flux_detail!$N$2:$N$403,$A7,Flux_detail!$B$2:$B$403,AK$4)</f>
      </c>
      <c r="AL7" s="11">
        <f>SUMIFS(Flux_detail!$K$2:$K$403,Flux_detail!$N$2:$N$403,$A7,Flux_detail!$B$2:$B$403,AL$4)</f>
      </c>
      <c r="AM7" s="11">
        <f>SUMIFS(Flux_detail!$K$2:$K$403,Flux_detail!$N$2:$N$403,$A7,Flux_detail!$B$2:$B$403,AM$4)</f>
      </c>
      <c r="AN7" s="11">
        <f>SUMIFS(Flux_detail!$K$2:$K$403,Flux_detail!$N$2:$N$403,$A7,Flux_detail!$B$2:$B$403,AN$4)</f>
      </c>
      <c r="AO7" s="11">
        <f>SUMIFS(Flux_detail!$K$2:$K$403,Flux_detail!$N$2:$N$403,$A7,Flux_detail!$B$2:$B$403,AO$4)</f>
      </c>
      <c r="AP7" s="11">
        <f>SUMIFS(Flux_detail!$K$2:$K$403,Flux_detail!$N$2:$N$403,$A7,Flux_detail!$B$2:$B$403,AP$4)</f>
      </c>
      <c r="AQ7" s="11">
        <f>SUMIFS(Flux_detail!$K$2:$K$403,Flux_detail!$N$2:$N$403,$A7,Flux_detail!$B$2:$B$403,AQ$4)</f>
      </c>
      <c r="AR7" s="11">
        <f>SUMIFS(Flux_detail!$K$2:$K$403,Flux_detail!$N$2:$N$403,$A7,Flux_detail!$B$2:$B$403,AR$4)</f>
      </c>
      <c r="AS7" s="11">
        <f>SUMIFS(Flux_detail!$K$2:$K$403,Flux_detail!$N$2:$N$403,$A7,Flux_detail!$B$2:$B$403,AS$4)</f>
      </c>
      <c r="AT7" s="11">
        <f>SUMIFS(Flux_detail!$K$2:$K$403,Flux_detail!$N$2:$N$403,$A7,Flux_detail!$B$2:$B$403,AT$4)</f>
      </c>
      <c r="AU7" s="11">
        <f>SUMIFS(Flux_detail!$K$2:$K$403,Flux_detail!$N$2:$N$403,$A7,Flux_detail!$B$2:$B$403,AU$4)</f>
      </c>
      <c r="AV7" s="11">
        <f>SUMIFS(Flux_detail!$K$2:$K$403,Flux_detail!$N$2:$N$403,$A7,Flux_detail!$B$2:$B$403,AV$4)</f>
      </c>
      <c r="AW7" s="11">
        <f>SUMIFS(Flux_detail!$K$2:$K$403,Flux_detail!$N$2:$N$403,$A7,Flux_detail!$B$2:$B$403,AW$4)</f>
      </c>
      <c r="AX7" s="11">
        <f>SUMIFS(Flux_detail!$K$2:$K$403,Flux_detail!$N$2:$N$403,$A7,Flux_detail!$B$2:$B$403,AX$4)</f>
      </c>
      <c r="AY7" s="11">
        <f>SUMIFS(Flux_detail!$K$2:$K$403,Flux_detail!$N$2:$N$403,$A7,Flux_detail!$B$2:$B$403,AY$4)</f>
      </c>
      <c r="AZ7" s="11">
        <f>SUMIFS(Flux_detail!$K$2:$K$403,Flux_detail!$N$2:$N$403,$A7,Flux_detail!$B$2:$B$403,AZ$4)</f>
      </c>
      <c r="BA7" s="11">
        <f>SUMIFS(Flux_detail!$K$2:$K$403,Flux_detail!$N$2:$N$403,$A7,Flux_detail!$B$2:$B$403,BA$4)</f>
      </c>
    </row>
    <row r="8">
      <c r="A8" s="0" t="inlineStr">
        <is>
          <t xml:space="preserve">Frais bancaires</t>
        </is>
      </c>
      <c r="B8" s="11">
        <f>SUMIFS(Flux_detail!$K$2:$K$403,Flux_detail!$N$2:$N$403,$A8,Flux_detail!$B$2:$B$403,B$4)</f>
      </c>
      <c r="C8" s="11">
        <f>SUMIFS(Flux_detail!$K$2:$K$403,Flux_detail!$N$2:$N$403,$A8,Flux_detail!$B$2:$B$403,C$4)</f>
      </c>
      <c r="D8" s="11">
        <f>SUMIFS(Flux_detail!$K$2:$K$403,Flux_detail!$N$2:$N$403,$A8,Flux_detail!$B$2:$B$403,D$4)</f>
      </c>
      <c r="E8" s="11">
        <f>SUMIFS(Flux_detail!$K$2:$K$403,Flux_detail!$N$2:$N$403,$A8,Flux_detail!$B$2:$B$403,E$4)</f>
      </c>
      <c r="F8" s="11">
        <f>SUMIFS(Flux_detail!$K$2:$K$403,Flux_detail!$N$2:$N$403,$A8,Flux_detail!$B$2:$B$403,F$4)</f>
      </c>
      <c r="G8" s="11">
        <f>SUMIFS(Flux_detail!$K$2:$K$403,Flux_detail!$N$2:$N$403,$A8,Flux_detail!$B$2:$B$403,G$4)</f>
      </c>
      <c r="H8" s="11">
        <f>SUMIFS(Flux_detail!$K$2:$K$403,Flux_detail!$N$2:$N$403,$A8,Flux_detail!$B$2:$B$403,H$4)</f>
      </c>
      <c r="I8" s="11">
        <f>SUMIFS(Flux_detail!$K$2:$K$403,Flux_detail!$N$2:$N$403,$A8,Flux_detail!$B$2:$B$403,I$4)</f>
      </c>
      <c r="J8" s="11">
        <f>SUMIFS(Flux_detail!$K$2:$K$403,Flux_detail!$N$2:$N$403,$A8,Flux_detail!$B$2:$B$403,J$4)</f>
      </c>
      <c r="K8" s="11">
        <f>SUMIFS(Flux_detail!$K$2:$K$403,Flux_detail!$N$2:$N$403,$A8,Flux_detail!$B$2:$B$403,K$4)</f>
      </c>
      <c r="L8" s="11">
        <f>SUMIFS(Flux_detail!$K$2:$K$403,Flux_detail!$N$2:$N$403,$A8,Flux_detail!$B$2:$B$403,L$4)</f>
      </c>
      <c r="M8" s="11">
        <f>SUMIFS(Flux_detail!$K$2:$K$403,Flux_detail!$N$2:$N$403,$A8,Flux_detail!$B$2:$B$403,M$4)</f>
      </c>
      <c r="N8" s="11">
        <f>SUMIFS(Flux_detail!$K$2:$K$403,Flux_detail!$N$2:$N$403,$A8,Flux_detail!$B$2:$B$403,N$4)</f>
      </c>
      <c r="O8" s="11">
        <f>SUMIFS(Flux_detail!$K$2:$K$403,Flux_detail!$N$2:$N$403,$A8,Flux_detail!$B$2:$B$403,O$4)</f>
      </c>
      <c r="P8" s="11">
        <f>SUMIFS(Flux_detail!$K$2:$K$403,Flux_detail!$N$2:$N$403,$A8,Flux_detail!$B$2:$B$403,P$4)</f>
      </c>
      <c r="Q8" s="11">
        <f>SUMIFS(Flux_detail!$K$2:$K$403,Flux_detail!$N$2:$N$403,$A8,Flux_detail!$B$2:$B$403,Q$4)</f>
      </c>
      <c r="R8" s="11">
        <f>SUMIFS(Flux_detail!$K$2:$K$403,Flux_detail!$N$2:$N$403,$A8,Flux_detail!$B$2:$B$403,R$4)</f>
      </c>
      <c r="S8" s="11">
        <f>SUMIFS(Flux_detail!$K$2:$K$403,Flux_detail!$N$2:$N$403,$A8,Flux_detail!$B$2:$B$403,S$4)</f>
      </c>
      <c r="T8" s="11">
        <f>SUMIFS(Flux_detail!$K$2:$K$403,Flux_detail!$N$2:$N$403,$A8,Flux_detail!$B$2:$B$403,T$4)</f>
      </c>
      <c r="U8" s="11">
        <f>SUMIFS(Flux_detail!$K$2:$K$403,Flux_detail!$N$2:$N$403,$A8,Flux_detail!$B$2:$B$403,U$4)</f>
      </c>
      <c r="V8" s="11">
        <f>SUMIFS(Flux_detail!$K$2:$K$403,Flux_detail!$N$2:$N$403,$A8,Flux_detail!$B$2:$B$403,V$4)</f>
      </c>
      <c r="W8" s="11">
        <f>SUMIFS(Flux_detail!$K$2:$K$403,Flux_detail!$N$2:$N$403,$A8,Flux_detail!$B$2:$B$403,W$4)</f>
      </c>
      <c r="X8" s="11">
        <f>SUMIFS(Flux_detail!$K$2:$K$403,Flux_detail!$N$2:$N$403,$A8,Flux_detail!$B$2:$B$403,X$4)</f>
      </c>
      <c r="Y8" s="11">
        <f>SUMIFS(Flux_detail!$K$2:$K$403,Flux_detail!$N$2:$N$403,$A8,Flux_detail!$B$2:$B$403,Y$4)</f>
      </c>
      <c r="Z8" s="11">
        <f>SUMIFS(Flux_detail!$K$2:$K$403,Flux_detail!$N$2:$N$403,$A8,Flux_detail!$B$2:$B$403,Z$4)</f>
      </c>
      <c r="AA8" s="11">
        <f>SUMIFS(Flux_detail!$K$2:$K$403,Flux_detail!$N$2:$N$403,$A8,Flux_detail!$B$2:$B$403,AA$4)</f>
      </c>
      <c r="AB8" s="11">
        <f>SUMIFS(Flux_detail!$K$2:$K$403,Flux_detail!$N$2:$N$403,$A8,Flux_detail!$B$2:$B$403,AB$4)</f>
      </c>
      <c r="AC8" s="11">
        <f>SUMIFS(Flux_detail!$K$2:$K$403,Flux_detail!$N$2:$N$403,$A8,Flux_detail!$B$2:$B$403,AC$4)</f>
      </c>
      <c r="AD8" s="11">
        <f>SUMIFS(Flux_detail!$K$2:$K$403,Flux_detail!$N$2:$N$403,$A8,Flux_detail!$B$2:$B$403,AD$4)</f>
      </c>
      <c r="AE8" s="11">
        <f>SUMIFS(Flux_detail!$K$2:$K$403,Flux_detail!$N$2:$N$403,$A8,Flux_detail!$B$2:$B$403,AE$4)</f>
      </c>
      <c r="AF8" s="11">
        <f>SUMIFS(Flux_detail!$K$2:$K$403,Flux_detail!$N$2:$N$403,$A8,Flux_detail!$B$2:$B$403,AF$4)</f>
      </c>
      <c r="AG8" s="11">
        <f>SUMIFS(Flux_detail!$K$2:$K$403,Flux_detail!$N$2:$N$403,$A8,Flux_detail!$B$2:$B$403,AG$4)</f>
      </c>
      <c r="AH8" s="11">
        <f>SUMIFS(Flux_detail!$K$2:$K$403,Flux_detail!$N$2:$N$403,$A8,Flux_detail!$B$2:$B$403,AH$4)</f>
      </c>
      <c r="AI8" s="11">
        <f>SUMIFS(Flux_detail!$K$2:$K$403,Flux_detail!$N$2:$N$403,$A8,Flux_detail!$B$2:$B$403,AI$4)</f>
      </c>
      <c r="AJ8" s="11">
        <f>SUMIFS(Flux_detail!$K$2:$K$403,Flux_detail!$N$2:$N$403,$A8,Flux_detail!$B$2:$B$403,AJ$4)</f>
      </c>
      <c r="AK8" s="11">
        <f>SUMIFS(Flux_detail!$K$2:$K$403,Flux_detail!$N$2:$N$403,$A8,Flux_detail!$B$2:$B$403,AK$4)</f>
      </c>
      <c r="AL8" s="11">
        <f>SUMIFS(Flux_detail!$K$2:$K$403,Flux_detail!$N$2:$N$403,$A8,Flux_detail!$B$2:$B$403,AL$4)</f>
      </c>
      <c r="AM8" s="11">
        <f>SUMIFS(Flux_detail!$K$2:$K$403,Flux_detail!$N$2:$N$403,$A8,Flux_detail!$B$2:$B$403,AM$4)</f>
      </c>
      <c r="AN8" s="11">
        <f>SUMIFS(Flux_detail!$K$2:$K$403,Flux_detail!$N$2:$N$403,$A8,Flux_detail!$B$2:$B$403,AN$4)</f>
      </c>
      <c r="AO8" s="11">
        <f>SUMIFS(Flux_detail!$K$2:$K$403,Flux_detail!$N$2:$N$403,$A8,Flux_detail!$B$2:$B$403,AO$4)</f>
      </c>
      <c r="AP8" s="11">
        <f>SUMIFS(Flux_detail!$K$2:$K$403,Flux_detail!$N$2:$N$403,$A8,Flux_detail!$B$2:$B$403,AP$4)</f>
      </c>
      <c r="AQ8" s="11">
        <f>SUMIFS(Flux_detail!$K$2:$K$403,Flux_detail!$N$2:$N$403,$A8,Flux_detail!$B$2:$B$403,AQ$4)</f>
      </c>
      <c r="AR8" s="11">
        <f>SUMIFS(Flux_detail!$K$2:$K$403,Flux_detail!$N$2:$N$403,$A8,Flux_detail!$B$2:$B$403,AR$4)</f>
      </c>
      <c r="AS8" s="11">
        <f>SUMIFS(Flux_detail!$K$2:$K$403,Flux_detail!$N$2:$N$403,$A8,Flux_detail!$B$2:$B$403,AS$4)</f>
      </c>
      <c r="AT8" s="11">
        <f>SUMIFS(Flux_detail!$K$2:$K$403,Flux_detail!$N$2:$N$403,$A8,Flux_detail!$B$2:$B$403,AT$4)</f>
      </c>
      <c r="AU8" s="11">
        <f>SUMIFS(Flux_detail!$K$2:$K$403,Flux_detail!$N$2:$N$403,$A8,Flux_detail!$B$2:$B$403,AU$4)</f>
      </c>
      <c r="AV8" s="11">
        <f>SUMIFS(Flux_detail!$K$2:$K$403,Flux_detail!$N$2:$N$403,$A8,Flux_detail!$B$2:$B$403,AV$4)</f>
      </c>
      <c r="AW8" s="11">
        <f>SUMIFS(Flux_detail!$K$2:$K$403,Flux_detail!$N$2:$N$403,$A8,Flux_detail!$B$2:$B$403,AW$4)</f>
      </c>
      <c r="AX8" s="11">
        <f>SUMIFS(Flux_detail!$K$2:$K$403,Flux_detail!$N$2:$N$403,$A8,Flux_detail!$B$2:$B$403,AX$4)</f>
      </c>
      <c r="AY8" s="11">
        <f>SUMIFS(Flux_detail!$K$2:$K$403,Flux_detail!$N$2:$N$403,$A8,Flux_detail!$B$2:$B$403,AY$4)</f>
      </c>
      <c r="AZ8" s="11">
        <f>SUMIFS(Flux_detail!$K$2:$K$403,Flux_detail!$N$2:$N$403,$A8,Flux_detail!$B$2:$B$403,AZ$4)</f>
      </c>
      <c r="BA8" s="11">
        <f>SUMIFS(Flux_detail!$K$2:$K$403,Flux_detail!$N$2:$N$403,$A8,Flux_detail!$B$2:$B$403,BA$4)</f>
      </c>
    </row>
    <row r="9">
      <c r="A9" s="0" t="inlineStr">
        <is>
          <t xml:space="preserve">Salaires et personnel</t>
        </is>
      </c>
      <c r="B9" s="11">
        <f>SUMIFS(Flux_detail!$K$2:$K$403,Flux_detail!$N$2:$N$403,$A9,Flux_detail!$B$2:$B$403,B$4)</f>
      </c>
      <c r="C9" s="11">
        <f>SUMIFS(Flux_detail!$K$2:$K$403,Flux_detail!$N$2:$N$403,$A9,Flux_detail!$B$2:$B$403,C$4)</f>
      </c>
      <c r="D9" s="11">
        <f>SUMIFS(Flux_detail!$K$2:$K$403,Flux_detail!$N$2:$N$403,$A9,Flux_detail!$B$2:$B$403,D$4)</f>
      </c>
      <c r="E9" s="11">
        <f>SUMIFS(Flux_detail!$K$2:$K$403,Flux_detail!$N$2:$N$403,$A9,Flux_detail!$B$2:$B$403,E$4)</f>
      </c>
      <c r="F9" s="11">
        <f>SUMIFS(Flux_detail!$K$2:$K$403,Flux_detail!$N$2:$N$403,$A9,Flux_detail!$B$2:$B$403,F$4)</f>
      </c>
      <c r="G9" s="11">
        <f>SUMIFS(Flux_detail!$K$2:$K$403,Flux_detail!$N$2:$N$403,$A9,Flux_detail!$B$2:$B$403,G$4)</f>
      </c>
      <c r="H9" s="11">
        <f>SUMIFS(Flux_detail!$K$2:$K$403,Flux_detail!$N$2:$N$403,$A9,Flux_detail!$B$2:$B$403,H$4)</f>
      </c>
      <c r="I9" s="11">
        <f>SUMIFS(Flux_detail!$K$2:$K$403,Flux_detail!$N$2:$N$403,$A9,Flux_detail!$B$2:$B$403,I$4)</f>
      </c>
      <c r="J9" s="11">
        <f>SUMIFS(Flux_detail!$K$2:$K$403,Flux_detail!$N$2:$N$403,$A9,Flux_detail!$B$2:$B$403,J$4)</f>
      </c>
      <c r="K9" s="11">
        <f>SUMIFS(Flux_detail!$K$2:$K$403,Flux_detail!$N$2:$N$403,$A9,Flux_detail!$B$2:$B$403,K$4)</f>
      </c>
      <c r="L9" s="11">
        <f>SUMIFS(Flux_detail!$K$2:$K$403,Flux_detail!$N$2:$N$403,$A9,Flux_detail!$B$2:$B$403,L$4)</f>
      </c>
      <c r="M9" s="11">
        <f>SUMIFS(Flux_detail!$K$2:$K$403,Flux_detail!$N$2:$N$403,$A9,Flux_detail!$B$2:$B$403,M$4)</f>
      </c>
      <c r="N9" s="11">
        <f>SUMIFS(Flux_detail!$K$2:$K$403,Flux_detail!$N$2:$N$403,$A9,Flux_detail!$B$2:$B$403,N$4)</f>
      </c>
      <c r="O9" s="11">
        <f>SUMIFS(Flux_detail!$K$2:$K$403,Flux_detail!$N$2:$N$403,$A9,Flux_detail!$B$2:$B$403,O$4)</f>
      </c>
      <c r="P9" s="11">
        <f>SUMIFS(Flux_detail!$K$2:$K$403,Flux_detail!$N$2:$N$403,$A9,Flux_detail!$B$2:$B$403,P$4)</f>
      </c>
      <c r="Q9" s="11">
        <f>SUMIFS(Flux_detail!$K$2:$K$403,Flux_detail!$N$2:$N$403,$A9,Flux_detail!$B$2:$B$403,Q$4)</f>
      </c>
      <c r="R9" s="11">
        <f>SUMIFS(Flux_detail!$K$2:$K$403,Flux_detail!$N$2:$N$403,$A9,Flux_detail!$B$2:$B$403,R$4)</f>
      </c>
      <c r="S9" s="11">
        <f>SUMIFS(Flux_detail!$K$2:$K$403,Flux_detail!$N$2:$N$403,$A9,Flux_detail!$B$2:$B$403,S$4)</f>
      </c>
      <c r="T9" s="11">
        <f>SUMIFS(Flux_detail!$K$2:$K$403,Flux_detail!$N$2:$N$403,$A9,Flux_detail!$B$2:$B$403,T$4)</f>
      </c>
      <c r="U9" s="11">
        <f>SUMIFS(Flux_detail!$K$2:$K$403,Flux_detail!$N$2:$N$403,$A9,Flux_detail!$B$2:$B$403,U$4)</f>
      </c>
      <c r="V9" s="11">
        <f>SUMIFS(Flux_detail!$K$2:$K$403,Flux_detail!$N$2:$N$403,$A9,Flux_detail!$B$2:$B$403,V$4)</f>
      </c>
      <c r="W9" s="11">
        <f>SUMIFS(Flux_detail!$K$2:$K$403,Flux_detail!$N$2:$N$403,$A9,Flux_detail!$B$2:$B$403,W$4)</f>
      </c>
      <c r="X9" s="11">
        <f>SUMIFS(Flux_detail!$K$2:$K$403,Flux_detail!$N$2:$N$403,$A9,Flux_detail!$B$2:$B$403,X$4)</f>
      </c>
      <c r="Y9" s="11">
        <f>SUMIFS(Flux_detail!$K$2:$K$403,Flux_detail!$N$2:$N$403,$A9,Flux_detail!$B$2:$B$403,Y$4)</f>
      </c>
      <c r="Z9" s="11">
        <f>SUMIFS(Flux_detail!$K$2:$K$403,Flux_detail!$N$2:$N$403,$A9,Flux_detail!$B$2:$B$403,Z$4)</f>
      </c>
      <c r="AA9" s="11">
        <f>SUMIFS(Flux_detail!$K$2:$K$403,Flux_detail!$N$2:$N$403,$A9,Flux_detail!$B$2:$B$403,AA$4)</f>
      </c>
      <c r="AB9" s="11">
        <f>SUMIFS(Flux_detail!$K$2:$K$403,Flux_detail!$N$2:$N$403,$A9,Flux_detail!$B$2:$B$403,AB$4)</f>
      </c>
      <c r="AC9" s="11">
        <f>SUMIFS(Flux_detail!$K$2:$K$403,Flux_detail!$N$2:$N$403,$A9,Flux_detail!$B$2:$B$403,AC$4)</f>
      </c>
      <c r="AD9" s="11">
        <f>SUMIFS(Flux_detail!$K$2:$K$403,Flux_detail!$N$2:$N$403,$A9,Flux_detail!$B$2:$B$403,AD$4)</f>
      </c>
      <c r="AE9" s="11">
        <f>SUMIFS(Flux_detail!$K$2:$K$403,Flux_detail!$N$2:$N$403,$A9,Flux_detail!$B$2:$B$403,AE$4)</f>
      </c>
      <c r="AF9" s="11">
        <f>SUMIFS(Flux_detail!$K$2:$K$403,Flux_detail!$N$2:$N$403,$A9,Flux_detail!$B$2:$B$403,AF$4)</f>
      </c>
      <c r="AG9" s="11">
        <f>SUMIFS(Flux_detail!$K$2:$K$403,Flux_detail!$N$2:$N$403,$A9,Flux_detail!$B$2:$B$403,AG$4)</f>
      </c>
      <c r="AH9" s="11">
        <f>SUMIFS(Flux_detail!$K$2:$K$403,Flux_detail!$N$2:$N$403,$A9,Flux_detail!$B$2:$B$403,AH$4)</f>
      </c>
      <c r="AI9" s="11">
        <f>SUMIFS(Flux_detail!$K$2:$K$403,Flux_detail!$N$2:$N$403,$A9,Flux_detail!$B$2:$B$403,AI$4)</f>
      </c>
      <c r="AJ9" s="11">
        <f>SUMIFS(Flux_detail!$K$2:$K$403,Flux_detail!$N$2:$N$403,$A9,Flux_detail!$B$2:$B$403,AJ$4)</f>
      </c>
      <c r="AK9" s="11">
        <f>SUMIFS(Flux_detail!$K$2:$K$403,Flux_detail!$N$2:$N$403,$A9,Flux_detail!$B$2:$B$403,AK$4)</f>
      </c>
      <c r="AL9" s="11">
        <f>SUMIFS(Flux_detail!$K$2:$K$403,Flux_detail!$N$2:$N$403,$A9,Flux_detail!$B$2:$B$403,AL$4)</f>
      </c>
      <c r="AM9" s="11">
        <f>SUMIFS(Flux_detail!$K$2:$K$403,Flux_detail!$N$2:$N$403,$A9,Flux_detail!$B$2:$B$403,AM$4)</f>
      </c>
      <c r="AN9" s="11">
        <f>SUMIFS(Flux_detail!$K$2:$K$403,Flux_detail!$N$2:$N$403,$A9,Flux_detail!$B$2:$B$403,AN$4)</f>
      </c>
      <c r="AO9" s="11">
        <f>SUMIFS(Flux_detail!$K$2:$K$403,Flux_detail!$N$2:$N$403,$A9,Flux_detail!$B$2:$B$403,AO$4)</f>
      </c>
      <c r="AP9" s="11">
        <f>SUMIFS(Flux_detail!$K$2:$K$403,Flux_detail!$N$2:$N$403,$A9,Flux_detail!$B$2:$B$403,AP$4)</f>
      </c>
      <c r="AQ9" s="11">
        <f>SUMIFS(Flux_detail!$K$2:$K$403,Flux_detail!$N$2:$N$403,$A9,Flux_detail!$B$2:$B$403,AQ$4)</f>
      </c>
      <c r="AR9" s="11">
        <f>SUMIFS(Flux_detail!$K$2:$K$403,Flux_detail!$N$2:$N$403,$A9,Flux_detail!$B$2:$B$403,AR$4)</f>
      </c>
      <c r="AS9" s="11">
        <f>SUMIFS(Flux_detail!$K$2:$K$403,Flux_detail!$N$2:$N$403,$A9,Flux_detail!$B$2:$B$403,AS$4)</f>
      </c>
      <c r="AT9" s="11">
        <f>SUMIFS(Flux_detail!$K$2:$K$403,Flux_detail!$N$2:$N$403,$A9,Flux_detail!$B$2:$B$403,AT$4)</f>
      </c>
      <c r="AU9" s="11">
        <f>SUMIFS(Flux_detail!$K$2:$K$403,Flux_detail!$N$2:$N$403,$A9,Flux_detail!$B$2:$B$403,AU$4)</f>
      </c>
      <c r="AV9" s="11">
        <f>SUMIFS(Flux_detail!$K$2:$K$403,Flux_detail!$N$2:$N$403,$A9,Flux_detail!$B$2:$B$403,AV$4)</f>
      </c>
      <c r="AW9" s="11">
        <f>SUMIFS(Flux_detail!$K$2:$K$403,Flux_detail!$N$2:$N$403,$A9,Flux_detail!$B$2:$B$403,AW$4)</f>
      </c>
      <c r="AX9" s="11">
        <f>SUMIFS(Flux_detail!$K$2:$K$403,Flux_detail!$N$2:$N$403,$A9,Flux_detail!$B$2:$B$403,AX$4)</f>
      </c>
      <c r="AY9" s="11">
        <f>SUMIFS(Flux_detail!$K$2:$K$403,Flux_detail!$N$2:$N$403,$A9,Flux_detail!$B$2:$B$403,AY$4)</f>
      </c>
      <c r="AZ9" s="11">
        <f>SUMIFS(Flux_detail!$K$2:$K$403,Flux_detail!$N$2:$N$403,$A9,Flux_detail!$B$2:$B$403,AZ$4)</f>
      </c>
      <c r="BA9" s="11">
        <f>SUMIFS(Flux_detail!$K$2:$K$403,Flux_detail!$N$2:$N$403,$A9,Flux_detail!$B$2:$B$403,BA$4)</f>
      </c>
    </row>
    <row r="10">
      <c r="A10" s="0" t="inlineStr">
        <is>
          <t xml:space="preserve">Charges sociales</t>
        </is>
      </c>
      <c r="B10" s="11">
        <f>SUMIFS(Flux_detail!$K$2:$K$403,Flux_detail!$N$2:$N$403,$A10,Flux_detail!$B$2:$B$403,B$4)</f>
      </c>
      <c r="C10" s="11">
        <f>SUMIFS(Flux_detail!$K$2:$K$403,Flux_detail!$N$2:$N$403,$A10,Flux_detail!$B$2:$B$403,C$4)</f>
      </c>
      <c r="D10" s="11">
        <f>SUMIFS(Flux_detail!$K$2:$K$403,Flux_detail!$N$2:$N$403,$A10,Flux_detail!$B$2:$B$403,D$4)</f>
      </c>
      <c r="E10" s="11">
        <f>SUMIFS(Flux_detail!$K$2:$K$403,Flux_detail!$N$2:$N$403,$A10,Flux_detail!$B$2:$B$403,E$4)</f>
      </c>
      <c r="F10" s="11">
        <f>SUMIFS(Flux_detail!$K$2:$K$403,Flux_detail!$N$2:$N$403,$A10,Flux_detail!$B$2:$B$403,F$4)</f>
      </c>
      <c r="G10" s="11">
        <f>SUMIFS(Flux_detail!$K$2:$K$403,Flux_detail!$N$2:$N$403,$A10,Flux_detail!$B$2:$B$403,G$4)</f>
      </c>
      <c r="H10" s="11">
        <f>SUMIFS(Flux_detail!$K$2:$K$403,Flux_detail!$N$2:$N$403,$A10,Flux_detail!$B$2:$B$403,H$4)</f>
      </c>
      <c r="I10" s="11">
        <f>SUMIFS(Flux_detail!$K$2:$K$403,Flux_detail!$N$2:$N$403,$A10,Flux_detail!$B$2:$B$403,I$4)</f>
      </c>
      <c r="J10" s="11">
        <f>SUMIFS(Flux_detail!$K$2:$K$403,Flux_detail!$N$2:$N$403,$A10,Flux_detail!$B$2:$B$403,J$4)</f>
      </c>
      <c r="K10" s="11">
        <f>SUMIFS(Flux_detail!$K$2:$K$403,Flux_detail!$N$2:$N$403,$A10,Flux_detail!$B$2:$B$403,K$4)</f>
      </c>
      <c r="L10" s="11">
        <f>SUMIFS(Flux_detail!$K$2:$K$403,Flux_detail!$N$2:$N$403,$A10,Flux_detail!$B$2:$B$403,L$4)</f>
      </c>
      <c r="M10" s="11">
        <f>SUMIFS(Flux_detail!$K$2:$K$403,Flux_detail!$N$2:$N$403,$A10,Flux_detail!$B$2:$B$403,M$4)</f>
      </c>
      <c r="N10" s="11">
        <f>SUMIFS(Flux_detail!$K$2:$K$403,Flux_detail!$N$2:$N$403,$A10,Flux_detail!$B$2:$B$403,N$4)</f>
      </c>
      <c r="O10" s="11">
        <f>SUMIFS(Flux_detail!$K$2:$K$403,Flux_detail!$N$2:$N$403,$A10,Flux_detail!$B$2:$B$403,O$4)</f>
      </c>
      <c r="P10" s="11">
        <f>SUMIFS(Flux_detail!$K$2:$K$403,Flux_detail!$N$2:$N$403,$A10,Flux_detail!$B$2:$B$403,P$4)</f>
      </c>
      <c r="Q10" s="11">
        <f>SUMIFS(Flux_detail!$K$2:$K$403,Flux_detail!$N$2:$N$403,$A10,Flux_detail!$B$2:$B$403,Q$4)</f>
      </c>
      <c r="R10" s="11">
        <f>SUMIFS(Flux_detail!$K$2:$K$403,Flux_detail!$N$2:$N$403,$A10,Flux_detail!$B$2:$B$403,R$4)</f>
      </c>
      <c r="S10" s="11">
        <f>SUMIFS(Flux_detail!$K$2:$K$403,Flux_detail!$N$2:$N$403,$A10,Flux_detail!$B$2:$B$403,S$4)</f>
      </c>
      <c r="T10" s="11">
        <f>SUMIFS(Flux_detail!$K$2:$K$403,Flux_detail!$N$2:$N$403,$A10,Flux_detail!$B$2:$B$403,T$4)</f>
      </c>
      <c r="U10" s="11">
        <f>SUMIFS(Flux_detail!$K$2:$K$403,Flux_detail!$N$2:$N$403,$A10,Flux_detail!$B$2:$B$403,U$4)</f>
      </c>
      <c r="V10" s="11">
        <f>SUMIFS(Flux_detail!$K$2:$K$403,Flux_detail!$N$2:$N$403,$A10,Flux_detail!$B$2:$B$403,V$4)</f>
      </c>
      <c r="W10" s="11">
        <f>SUMIFS(Flux_detail!$K$2:$K$403,Flux_detail!$N$2:$N$403,$A10,Flux_detail!$B$2:$B$403,W$4)</f>
      </c>
      <c r="X10" s="11">
        <f>SUMIFS(Flux_detail!$K$2:$K$403,Flux_detail!$N$2:$N$403,$A10,Flux_detail!$B$2:$B$403,X$4)</f>
      </c>
      <c r="Y10" s="11">
        <f>SUMIFS(Flux_detail!$K$2:$K$403,Flux_detail!$N$2:$N$403,$A10,Flux_detail!$B$2:$B$403,Y$4)</f>
      </c>
      <c r="Z10" s="11">
        <f>SUMIFS(Flux_detail!$K$2:$K$403,Flux_detail!$N$2:$N$403,$A10,Flux_detail!$B$2:$B$403,Z$4)</f>
      </c>
      <c r="AA10" s="11">
        <f>SUMIFS(Flux_detail!$K$2:$K$403,Flux_detail!$N$2:$N$403,$A10,Flux_detail!$B$2:$B$403,AA$4)</f>
      </c>
      <c r="AB10" s="11">
        <f>SUMIFS(Flux_detail!$K$2:$K$403,Flux_detail!$N$2:$N$403,$A10,Flux_detail!$B$2:$B$403,AB$4)</f>
      </c>
      <c r="AC10" s="11">
        <f>SUMIFS(Flux_detail!$K$2:$K$403,Flux_detail!$N$2:$N$403,$A10,Flux_detail!$B$2:$B$403,AC$4)</f>
      </c>
      <c r="AD10" s="11">
        <f>SUMIFS(Flux_detail!$K$2:$K$403,Flux_detail!$N$2:$N$403,$A10,Flux_detail!$B$2:$B$403,AD$4)</f>
      </c>
      <c r="AE10" s="11">
        <f>SUMIFS(Flux_detail!$K$2:$K$403,Flux_detail!$N$2:$N$403,$A10,Flux_detail!$B$2:$B$403,AE$4)</f>
      </c>
      <c r="AF10" s="11">
        <f>SUMIFS(Flux_detail!$K$2:$K$403,Flux_detail!$N$2:$N$403,$A10,Flux_detail!$B$2:$B$403,AF$4)</f>
      </c>
      <c r="AG10" s="11">
        <f>SUMIFS(Flux_detail!$K$2:$K$403,Flux_detail!$N$2:$N$403,$A10,Flux_detail!$B$2:$B$403,AG$4)</f>
      </c>
      <c r="AH10" s="11">
        <f>SUMIFS(Flux_detail!$K$2:$K$403,Flux_detail!$N$2:$N$403,$A10,Flux_detail!$B$2:$B$403,AH$4)</f>
      </c>
      <c r="AI10" s="11">
        <f>SUMIFS(Flux_detail!$K$2:$K$403,Flux_detail!$N$2:$N$403,$A10,Flux_detail!$B$2:$B$403,AI$4)</f>
      </c>
      <c r="AJ10" s="11">
        <f>SUMIFS(Flux_detail!$K$2:$K$403,Flux_detail!$N$2:$N$403,$A10,Flux_detail!$B$2:$B$403,AJ$4)</f>
      </c>
      <c r="AK10" s="11">
        <f>SUMIFS(Flux_detail!$K$2:$K$403,Flux_detail!$N$2:$N$403,$A10,Flux_detail!$B$2:$B$403,AK$4)</f>
      </c>
      <c r="AL10" s="11">
        <f>SUMIFS(Flux_detail!$K$2:$K$403,Flux_detail!$N$2:$N$403,$A10,Flux_detail!$B$2:$B$403,AL$4)</f>
      </c>
      <c r="AM10" s="11">
        <f>SUMIFS(Flux_detail!$K$2:$K$403,Flux_detail!$N$2:$N$403,$A10,Flux_detail!$B$2:$B$403,AM$4)</f>
      </c>
      <c r="AN10" s="11">
        <f>SUMIFS(Flux_detail!$K$2:$K$403,Flux_detail!$N$2:$N$403,$A10,Flux_detail!$B$2:$B$403,AN$4)</f>
      </c>
      <c r="AO10" s="11">
        <f>SUMIFS(Flux_detail!$K$2:$K$403,Flux_detail!$N$2:$N$403,$A10,Flux_detail!$B$2:$B$403,AO$4)</f>
      </c>
      <c r="AP10" s="11">
        <f>SUMIFS(Flux_detail!$K$2:$K$403,Flux_detail!$N$2:$N$403,$A10,Flux_detail!$B$2:$B$403,AP$4)</f>
      </c>
      <c r="AQ10" s="11">
        <f>SUMIFS(Flux_detail!$K$2:$K$403,Flux_detail!$N$2:$N$403,$A10,Flux_detail!$B$2:$B$403,AQ$4)</f>
      </c>
      <c r="AR10" s="11">
        <f>SUMIFS(Flux_detail!$K$2:$K$403,Flux_detail!$N$2:$N$403,$A10,Flux_detail!$B$2:$B$403,AR$4)</f>
      </c>
      <c r="AS10" s="11">
        <f>SUMIFS(Flux_detail!$K$2:$K$403,Flux_detail!$N$2:$N$403,$A10,Flux_detail!$B$2:$B$403,AS$4)</f>
      </c>
      <c r="AT10" s="11">
        <f>SUMIFS(Flux_detail!$K$2:$K$403,Flux_detail!$N$2:$N$403,$A10,Flux_detail!$B$2:$B$403,AT$4)</f>
      </c>
      <c r="AU10" s="11">
        <f>SUMIFS(Flux_detail!$K$2:$K$403,Flux_detail!$N$2:$N$403,$A10,Flux_detail!$B$2:$B$403,AU$4)</f>
      </c>
      <c r="AV10" s="11">
        <f>SUMIFS(Flux_detail!$K$2:$K$403,Flux_detail!$N$2:$N$403,$A10,Flux_detail!$B$2:$B$403,AV$4)</f>
      </c>
      <c r="AW10" s="11">
        <f>SUMIFS(Flux_detail!$K$2:$K$403,Flux_detail!$N$2:$N$403,$A10,Flux_detail!$B$2:$B$403,AW$4)</f>
      </c>
      <c r="AX10" s="11">
        <f>SUMIFS(Flux_detail!$K$2:$K$403,Flux_detail!$N$2:$N$403,$A10,Flux_detail!$B$2:$B$403,AX$4)</f>
      </c>
      <c r="AY10" s="11">
        <f>SUMIFS(Flux_detail!$K$2:$K$403,Flux_detail!$N$2:$N$403,$A10,Flux_detail!$B$2:$B$403,AY$4)</f>
      </c>
      <c r="AZ10" s="11">
        <f>SUMIFS(Flux_detail!$K$2:$K$403,Flux_detail!$N$2:$N$403,$A10,Flux_detail!$B$2:$B$403,AZ$4)</f>
      </c>
      <c r="BA10" s="11">
        <f>SUMIFS(Flux_detail!$K$2:$K$403,Flux_detail!$N$2:$N$403,$A10,Flux_detail!$B$2:$B$403,BA$4)</f>
      </c>
    </row>
    <row r="11">
      <c r="A11" s="0" t="inlineStr">
        <is>
          <t xml:space="preserve">TVA</t>
        </is>
      </c>
      <c r="B11" s="11">
        <f>SUMIFS(Flux_detail!$K$2:$K$403,Flux_detail!$N$2:$N$403,$A11,Flux_detail!$B$2:$B$403,B$4)</f>
      </c>
      <c r="C11" s="11">
        <f>SUMIFS(Flux_detail!$K$2:$K$403,Flux_detail!$N$2:$N$403,$A11,Flux_detail!$B$2:$B$403,C$4)</f>
      </c>
      <c r="D11" s="11">
        <f>SUMIFS(Flux_detail!$K$2:$K$403,Flux_detail!$N$2:$N$403,$A11,Flux_detail!$B$2:$B$403,D$4)</f>
      </c>
      <c r="E11" s="11">
        <f>SUMIFS(Flux_detail!$K$2:$K$403,Flux_detail!$N$2:$N$403,$A11,Flux_detail!$B$2:$B$403,E$4)</f>
      </c>
      <c r="F11" s="11">
        <f>SUMIFS(Flux_detail!$K$2:$K$403,Flux_detail!$N$2:$N$403,$A11,Flux_detail!$B$2:$B$403,F$4)</f>
      </c>
      <c r="G11" s="11">
        <f>SUMIFS(Flux_detail!$K$2:$K$403,Flux_detail!$N$2:$N$403,$A11,Flux_detail!$B$2:$B$403,G$4)</f>
      </c>
      <c r="H11" s="11">
        <f>SUMIFS(Flux_detail!$K$2:$K$403,Flux_detail!$N$2:$N$403,$A11,Flux_detail!$B$2:$B$403,H$4)</f>
      </c>
      <c r="I11" s="11">
        <f>SUMIFS(Flux_detail!$K$2:$K$403,Flux_detail!$N$2:$N$403,$A11,Flux_detail!$B$2:$B$403,I$4)</f>
      </c>
      <c r="J11" s="11">
        <f>SUMIFS(Flux_detail!$K$2:$K$403,Flux_detail!$N$2:$N$403,$A11,Flux_detail!$B$2:$B$403,J$4)</f>
      </c>
      <c r="K11" s="11">
        <f>SUMIFS(Flux_detail!$K$2:$K$403,Flux_detail!$N$2:$N$403,$A11,Flux_detail!$B$2:$B$403,K$4)</f>
      </c>
      <c r="L11" s="11">
        <f>SUMIFS(Flux_detail!$K$2:$K$403,Flux_detail!$N$2:$N$403,$A11,Flux_detail!$B$2:$B$403,L$4)</f>
      </c>
      <c r="M11" s="11">
        <f>SUMIFS(Flux_detail!$K$2:$K$403,Flux_detail!$N$2:$N$403,$A11,Flux_detail!$B$2:$B$403,M$4)</f>
      </c>
      <c r="N11" s="11">
        <f>SUMIFS(Flux_detail!$K$2:$K$403,Flux_detail!$N$2:$N$403,$A11,Flux_detail!$B$2:$B$403,N$4)</f>
      </c>
      <c r="O11" s="11">
        <f>SUMIFS(Flux_detail!$K$2:$K$403,Flux_detail!$N$2:$N$403,$A11,Flux_detail!$B$2:$B$403,O$4)</f>
      </c>
      <c r="P11" s="11">
        <f>SUMIFS(Flux_detail!$K$2:$K$403,Flux_detail!$N$2:$N$403,$A11,Flux_detail!$B$2:$B$403,P$4)</f>
      </c>
      <c r="Q11" s="11">
        <f>SUMIFS(Flux_detail!$K$2:$K$403,Flux_detail!$N$2:$N$403,$A11,Flux_detail!$B$2:$B$403,Q$4)</f>
      </c>
      <c r="R11" s="11">
        <f>SUMIFS(Flux_detail!$K$2:$K$403,Flux_detail!$N$2:$N$403,$A11,Flux_detail!$B$2:$B$403,R$4)</f>
      </c>
      <c r="S11" s="11">
        <f>SUMIFS(Flux_detail!$K$2:$K$403,Flux_detail!$N$2:$N$403,$A11,Flux_detail!$B$2:$B$403,S$4)</f>
      </c>
      <c r="T11" s="11">
        <f>SUMIFS(Flux_detail!$K$2:$K$403,Flux_detail!$N$2:$N$403,$A11,Flux_detail!$B$2:$B$403,T$4)</f>
      </c>
      <c r="U11" s="11">
        <f>SUMIFS(Flux_detail!$K$2:$K$403,Flux_detail!$N$2:$N$403,$A11,Flux_detail!$B$2:$B$403,U$4)</f>
      </c>
      <c r="V11" s="11">
        <f>SUMIFS(Flux_detail!$K$2:$K$403,Flux_detail!$N$2:$N$403,$A11,Flux_detail!$B$2:$B$403,V$4)</f>
      </c>
      <c r="W11" s="11">
        <f>SUMIFS(Flux_detail!$K$2:$K$403,Flux_detail!$N$2:$N$403,$A11,Flux_detail!$B$2:$B$403,W$4)</f>
      </c>
      <c r="X11" s="11">
        <f>SUMIFS(Flux_detail!$K$2:$K$403,Flux_detail!$N$2:$N$403,$A11,Flux_detail!$B$2:$B$403,X$4)</f>
      </c>
      <c r="Y11" s="11">
        <f>SUMIFS(Flux_detail!$K$2:$K$403,Flux_detail!$N$2:$N$403,$A11,Flux_detail!$B$2:$B$403,Y$4)</f>
      </c>
      <c r="Z11" s="11">
        <f>SUMIFS(Flux_detail!$K$2:$K$403,Flux_detail!$N$2:$N$403,$A11,Flux_detail!$B$2:$B$403,Z$4)</f>
      </c>
      <c r="AA11" s="11">
        <f>SUMIFS(Flux_detail!$K$2:$K$403,Flux_detail!$N$2:$N$403,$A11,Flux_detail!$B$2:$B$403,AA$4)</f>
      </c>
      <c r="AB11" s="11">
        <f>SUMIFS(Flux_detail!$K$2:$K$403,Flux_detail!$N$2:$N$403,$A11,Flux_detail!$B$2:$B$403,AB$4)</f>
      </c>
      <c r="AC11" s="11">
        <f>SUMIFS(Flux_detail!$K$2:$K$403,Flux_detail!$N$2:$N$403,$A11,Flux_detail!$B$2:$B$403,AC$4)</f>
      </c>
      <c r="AD11" s="11">
        <f>SUMIFS(Flux_detail!$K$2:$K$403,Flux_detail!$N$2:$N$403,$A11,Flux_detail!$B$2:$B$403,AD$4)</f>
      </c>
      <c r="AE11" s="11">
        <f>SUMIFS(Flux_detail!$K$2:$K$403,Flux_detail!$N$2:$N$403,$A11,Flux_detail!$B$2:$B$403,AE$4)</f>
      </c>
      <c r="AF11" s="11">
        <f>SUMIFS(Flux_detail!$K$2:$K$403,Flux_detail!$N$2:$N$403,$A11,Flux_detail!$B$2:$B$403,AF$4)</f>
      </c>
      <c r="AG11" s="11">
        <f>SUMIFS(Flux_detail!$K$2:$K$403,Flux_detail!$N$2:$N$403,$A11,Flux_detail!$B$2:$B$403,AG$4)</f>
      </c>
      <c r="AH11" s="11">
        <f>SUMIFS(Flux_detail!$K$2:$K$403,Flux_detail!$N$2:$N$403,$A11,Flux_detail!$B$2:$B$403,AH$4)</f>
      </c>
      <c r="AI11" s="11">
        <f>SUMIFS(Flux_detail!$K$2:$K$403,Flux_detail!$N$2:$N$403,$A11,Flux_detail!$B$2:$B$403,AI$4)</f>
      </c>
      <c r="AJ11" s="11">
        <f>SUMIFS(Flux_detail!$K$2:$K$403,Flux_detail!$N$2:$N$403,$A11,Flux_detail!$B$2:$B$403,AJ$4)</f>
      </c>
      <c r="AK11" s="11">
        <f>SUMIFS(Flux_detail!$K$2:$K$403,Flux_detail!$N$2:$N$403,$A11,Flux_detail!$B$2:$B$403,AK$4)</f>
      </c>
      <c r="AL11" s="11">
        <f>SUMIFS(Flux_detail!$K$2:$K$403,Flux_detail!$N$2:$N$403,$A11,Flux_detail!$B$2:$B$403,AL$4)</f>
      </c>
      <c r="AM11" s="11">
        <f>SUMIFS(Flux_detail!$K$2:$K$403,Flux_detail!$N$2:$N$403,$A11,Flux_detail!$B$2:$B$403,AM$4)</f>
      </c>
      <c r="AN11" s="11">
        <f>SUMIFS(Flux_detail!$K$2:$K$403,Flux_detail!$N$2:$N$403,$A11,Flux_detail!$B$2:$B$403,AN$4)</f>
      </c>
      <c r="AO11" s="11">
        <f>SUMIFS(Flux_detail!$K$2:$K$403,Flux_detail!$N$2:$N$403,$A11,Flux_detail!$B$2:$B$403,AO$4)</f>
      </c>
      <c r="AP11" s="11">
        <f>SUMIFS(Flux_detail!$K$2:$K$403,Flux_detail!$N$2:$N$403,$A11,Flux_detail!$B$2:$B$403,AP$4)</f>
      </c>
      <c r="AQ11" s="11">
        <f>SUMIFS(Flux_detail!$K$2:$K$403,Flux_detail!$N$2:$N$403,$A11,Flux_detail!$B$2:$B$403,AQ$4)</f>
      </c>
      <c r="AR11" s="11">
        <f>SUMIFS(Flux_detail!$K$2:$K$403,Flux_detail!$N$2:$N$403,$A11,Flux_detail!$B$2:$B$403,AR$4)</f>
      </c>
      <c r="AS11" s="11">
        <f>SUMIFS(Flux_detail!$K$2:$K$403,Flux_detail!$N$2:$N$403,$A11,Flux_detail!$B$2:$B$403,AS$4)</f>
      </c>
      <c r="AT11" s="11">
        <f>SUMIFS(Flux_detail!$K$2:$K$403,Flux_detail!$N$2:$N$403,$A11,Flux_detail!$B$2:$B$403,AT$4)</f>
      </c>
      <c r="AU11" s="11">
        <f>SUMIFS(Flux_detail!$K$2:$K$403,Flux_detail!$N$2:$N$403,$A11,Flux_detail!$B$2:$B$403,AU$4)</f>
      </c>
      <c r="AV11" s="11">
        <f>SUMIFS(Flux_detail!$K$2:$K$403,Flux_detail!$N$2:$N$403,$A11,Flux_detail!$B$2:$B$403,AV$4)</f>
      </c>
      <c r="AW11" s="11">
        <f>SUMIFS(Flux_detail!$K$2:$K$403,Flux_detail!$N$2:$N$403,$A11,Flux_detail!$B$2:$B$403,AW$4)</f>
      </c>
      <c r="AX11" s="11">
        <f>SUMIFS(Flux_detail!$K$2:$K$403,Flux_detail!$N$2:$N$403,$A11,Flux_detail!$B$2:$B$403,AX$4)</f>
      </c>
      <c r="AY11" s="11">
        <f>SUMIFS(Flux_detail!$K$2:$K$403,Flux_detail!$N$2:$N$403,$A11,Flux_detail!$B$2:$B$403,AY$4)</f>
      </c>
      <c r="AZ11" s="11">
        <f>SUMIFS(Flux_detail!$K$2:$K$403,Flux_detail!$N$2:$N$403,$A11,Flux_detail!$B$2:$B$403,AZ$4)</f>
      </c>
      <c r="BA11" s="11">
        <f>SUMIFS(Flux_detail!$K$2:$K$403,Flux_detail!$N$2:$N$403,$A11,Flux_detail!$B$2:$B$403,BA$4)</f>
      </c>
    </row>
    <row r="12">
      <c r="A12" s="0" t="inlineStr">
        <is>
          <t xml:space="preserve">Impôt sur les sociétés</t>
        </is>
      </c>
      <c r="B12" s="11">
        <f>SUMIFS(Flux_detail!$K$2:$K$403,Flux_detail!$N$2:$N$403,$A12,Flux_detail!$B$2:$B$403,B$4)</f>
      </c>
      <c r="C12" s="11">
        <f>SUMIFS(Flux_detail!$K$2:$K$403,Flux_detail!$N$2:$N$403,$A12,Flux_detail!$B$2:$B$403,C$4)</f>
      </c>
      <c r="D12" s="11">
        <f>SUMIFS(Flux_detail!$K$2:$K$403,Flux_detail!$N$2:$N$403,$A12,Flux_detail!$B$2:$B$403,D$4)</f>
      </c>
      <c r="E12" s="11">
        <f>SUMIFS(Flux_detail!$K$2:$K$403,Flux_detail!$N$2:$N$403,$A12,Flux_detail!$B$2:$B$403,E$4)</f>
      </c>
      <c r="F12" s="11">
        <f>SUMIFS(Flux_detail!$K$2:$K$403,Flux_detail!$N$2:$N$403,$A12,Flux_detail!$B$2:$B$403,F$4)</f>
      </c>
      <c r="G12" s="11">
        <f>SUMIFS(Flux_detail!$K$2:$K$403,Flux_detail!$N$2:$N$403,$A12,Flux_detail!$B$2:$B$403,G$4)</f>
      </c>
      <c r="H12" s="11">
        <f>SUMIFS(Flux_detail!$K$2:$K$403,Flux_detail!$N$2:$N$403,$A12,Flux_detail!$B$2:$B$403,H$4)</f>
      </c>
      <c r="I12" s="11">
        <f>SUMIFS(Flux_detail!$K$2:$K$403,Flux_detail!$N$2:$N$403,$A12,Flux_detail!$B$2:$B$403,I$4)</f>
      </c>
      <c r="J12" s="11">
        <f>SUMIFS(Flux_detail!$K$2:$K$403,Flux_detail!$N$2:$N$403,$A12,Flux_detail!$B$2:$B$403,J$4)</f>
      </c>
      <c r="K12" s="11">
        <f>SUMIFS(Flux_detail!$K$2:$K$403,Flux_detail!$N$2:$N$403,$A12,Flux_detail!$B$2:$B$403,K$4)</f>
      </c>
      <c r="L12" s="11">
        <f>SUMIFS(Flux_detail!$K$2:$K$403,Flux_detail!$N$2:$N$403,$A12,Flux_detail!$B$2:$B$403,L$4)</f>
      </c>
      <c r="M12" s="11">
        <f>SUMIFS(Flux_detail!$K$2:$K$403,Flux_detail!$N$2:$N$403,$A12,Flux_detail!$B$2:$B$403,M$4)</f>
      </c>
      <c r="N12" s="11">
        <f>SUMIFS(Flux_detail!$K$2:$K$403,Flux_detail!$N$2:$N$403,$A12,Flux_detail!$B$2:$B$403,N$4)</f>
      </c>
      <c r="O12" s="11">
        <f>SUMIFS(Flux_detail!$K$2:$K$403,Flux_detail!$N$2:$N$403,$A12,Flux_detail!$B$2:$B$403,O$4)</f>
      </c>
      <c r="P12" s="11">
        <f>SUMIFS(Flux_detail!$K$2:$K$403,Flux_detail!$N$2:$N$403,$A12,Flux_detail!$B$2:$B$403,P$4)</f>
      </c>
      <c r="Q12" s="11">
        <f>SUMIFS(Flux_detail!$K$2:$K$403,Flux_detail!$N$2:$N$403,$A12,Flux_detail!$B$2:$B$403,Q$4)</f>
      </c>
      <c r="R12" s="11">
        <f>SUMIFS(Flux_detail!$K$2:$K$403,Flux_detail!$N$2:$N$403,$A12,Flux_detail!$B$2:$B$403,R$4)</f>
      </c>
      <c r="S12" s="11">
        <f>SUMIFS(Flux_detail!$K$2:$K$403,Flux_detail!$N$2:$N$403,$A12,Flux_detail!$B$2:$B$403,S$4)</f>
      </c>
      <c r="T12" s="11">
        <f>SUMIFS(Flux_detail!$K$2:$K$403,Flux_detail!$N$2:$N$403,$A12,Flux_detail!$B$2:$B$403,T$4)</f>
      </c>
      <c r="U12" s="11">
        <f>SUMIFS(Flux_detail!$K$2:$K$403,Flux_detail!$N$2:$N$403,$A12,Flux_detail!$B$2:$B$403,U$4)</f>
      </c>
      <c r="V12" s="11">
        <f>SUMIFS(Flux_detail!$K$2:$K$403,Flux_detail!$N$2:$N$403,$A12,Flux_detail!$B$2:$B$403,V$4)</f>
      </c>
      <c r="W12" s="11">
        <f>SUMIFS(Flux_detail!$K$2:$K$403,Flux_detail!$N$2:$N$403,$A12,Flux_detail!$B$2:$B$403,W$4)</f>
      </c>
      <c r="X12" s="11">
        <f>SUMIFS(Flux_detail!$K$2:$K$403,Flux_detail!$N$2:$N$403,$A12,Flux_detail!$B$2:$B$403,X$4)</f>
      </c>
      <c r="Y12" s="11">
        <f>SUMIFS(Flux_detail!$K$2:$K$403,Flux_detail!$N$2:$N$403,$A12,Flux_detail!$B$2:$B$403,Y$4)</f>
      </c>
      <c r="Z12" s="11">
        <f>SUMIFS(Flux_detail!$K$2:$K$403,Flux_detail!$N$2:$N$403,$A12,Flux_detail!$B$2:$B$403,Z$4)</f>
      </c>
      <c r="AA12" s="11">
        <f>SUMIFS(Flux_detail!$K$2:$K$403,Flux_detail!$N$2:$N$403,$A12,Flux_detail!$B$2:$B$403,AA$4)</f>
      </c>
      <c r="AB12" s="11">
        <f>SUMIFS(Flux_detail!$K$2:$K$403,Flux_detail!$N$2:$N$403,$A12,Flux_detail!$B$2:$B$403,AB$4)</f>
      </c>
      <c r="AC12" s="11">
        <f>SUMIFS(Flux_detail!$K$2:$K$403,Flux_detail!$N$2:$N$403,$A12,Flux_detail!$B$2:$B$403,AC$4)</f>
      </c>
      <c r="AD12" s="11">
        <f>SUMIFS(Flux_detail!$K$2:$K$403,Flux_detail!$N$2:$N$403,$A12,Flux_detail!$B$2:$B$403,AD$4)</f>
      </c>
      <c r="AE12" s="11">
        <f>SUMIFS(Flux_detail!$K$2:$K$403,Flux_detail!$N$2:$N$403,$A12,Flux_detail!$B$2:$B$403,AE$4)</f>
      </c>
      <c r="AF12" s="11">
        <f>SUMIFS(Flux_detail!$K$2:$K$403,Flux_detail!$N$2:$N$403,$A12,Flux_detail!$B$2:$B$403,AF$4)</f>
      </c>
      <c r="AG12" s="11">
        <f>SUMIFS(Flux_detail!$K$2:$K$403,Flux_detail!$N$2:$N$403,$A12,Flux_detail!$B$2:$B$403,AG$4)</f>
      </c>
      <c r="AH12" s="11">
        <f>SUMIFS(Flux_detail!$K$2:$K$403,Flux_detail!$N$2:$N$403,$A12,Flux_detail!$B$2:$B$403,AH$4)</f>
      </c>
      <c r="AI12" s="11">
        <f>SUMIFS(Flux_detail!$K$2:$K$403,Flux_detail!$N$2:$N$403,$A12,Flux_detail!$B$2:$B$403,AI$4)</f>
      </c>
      <c r="AJ12" s="11">
        <f>SUMIFS(Flux_detail!$K$2:$K$403,Flux_detail!$N$2:$N$403,$A12,Flux_detail!$B$2:$B$403,AJ$4)</f>
      </c>
      <c r="AK12" s="11">
        <f>SUMIFS(Flux_detail!$K$2:$K$403,Flux_detail!$N$2:$N$403,$A12,Flux_detail!$B$2:$B$403,AK$4)</f>
      </c>
      <c r="AL12" s="11">
        <f>SUMIFS(Flux_detail!$K$2:$K$403,Flux_detail!$N$2:$N$403,$A12,Flux_detail!$B$2:$B$403,AL$4)</f>
      </c>
      <c r="AM12" s="11">
        <f>SUMIFS(Flux_detail!$K$2:$K$403,Flux_detail!$N$2:$N$403,$A12,Flux_detail!$B$2:$B$403,AM$4)</f>
      </c>
      <c r="AN12" s="11">
        <f>SUMIFS(Flux_detail!$K$2:$K$403,Flux_detail!$N$2:$N$403,$A12,Flux_detail!$B$2:$B$403,AN$4)</f>
      </c>
      <c r="AO12" s="11">
        <f>SUMIFS(Flux_detail!$K$2:$K$403,Flux_detail!$N$2:$N$403,$A12,Flux_detail!$B$2:$B$403,AO$4)</f>
      </c>
      <c r="AP12" s="11">
        <f>SUMIFS(Flux_detail!$K$2:$K$403,Flux_detail!$N$2:$N$403,$A12,Flux_detail!$B$2:$B$403,AP$4)</f>
      </c>
      <c r="AQ12" s="11">
        <f>SUMIFS(Flux_detail!$K$2:$K$403,Flux_detail!$N$2:$N$403,$A12,Flux_detail!$B$2:$B$403,AQ$4)</f>
      </c>
      <c r="AR12" s="11">
        <f>SUMIFS(Flux_detail!$K$2:$K$403,Flux_detail!$N$2:$N$403,$A12,Flux_detail!$B$2:$B$403,AR$4)</f>
      </c>
      <c r="AS12" s="11">
        <f>SUMIFS(Flux_detail!$K$2:$K$403,Flux_detail!$N$2:$N$403,$A12,Flux_detail!$B$2:$B$403,AS$4)</f>
      </c>
      <c r="AT12" s="11">
        <f>SUMIFS(Flux_detail!$K$2:$K$403,Flux_detail!$N$2:$N$403,$A12,Flux_detail!$B$2:$B$403,AT$4)</f>
      </c>
      <c r="AU12" s="11">
        <f>SUMIFS(Flux_detail!$K$2:$K$403,Flux_detail!$N$2:$N$403,$A12,Flux_detail!$B$2:$B$403,AU$4)</f>
      </c>
      <c r="AV12" s="11">
        <f>SUMIFS(Flux_detail!$K$2:$K$403,Flux_detail!$N$2:$N$403,$A12,Flux_detail!$B$2:$B$403,AV$4)</f>
      </c>
      <c r="AW12" s="11">
        <f>SUMIFS(Flux_detail!$K$2:$K$403,Flux_detail!$N$2:$N$403,$A12,Flux_detail!$B$2:$B$403,AW$4)</f>
      </c>
      <c r="AX12" s="11">
        <f>SUMIFS(Flux_detail!$K$2:$K$403,Flux_detail!$N$2:$N$403,$A12,Flux_detail!$B$2:$B$403,AX$4)</f>
      </c>
      <c r="AY12" s="11">
        <f>SUMIFS(Flux_detail!$K$2:$K$403,Flux_detail!$N$2:$N$403,$A12,Flux_detail!$B$2:$B$403,AY$4)</f>
      </c>
      <c r="AZ12" s="11">
        <f>SUMIFS(Flux_detail!$K$2:$K$403,Flux_detail!$N$2:$N$403,$A12,Flux_detail!$B$2:$B$403,AZ$4)</f>
      </c>
      <c r="BA12" s="11">
        <f>SUMIFS(Flux_detail!$K$2:$K$403,Flux_detail!$N$2:$N$403,$A12,Flux_detail!$B$2:$B$403,BA$4)</f>
      </c>
    </row>
    <row r="13">
      <c r="A13" s="0" t="inlineStr">
        <is>
          <t xml:space="preserve">Autres impôts et taxes</t>
        </is>
      </c>
      <c r="B13" s="11">
        <f>SUMIFS(Flux_detail!$K$2:$K$403,Flux_detail!$N$2:$N$403,$A13,Flux_detail!$B$2:$B$403,B$4)</f>
      </c>
      <c r="C13" s="11">
        <f>SUMIFS(Flux_detail!$K$2:$K$403,Flux_detail!$N$2:$N$403,$A13,Flux_detail!$B$2:$B$403,C$4)</f>
      </c>
      <c r="D13" s="11">
        <f>SUMIFS(Flux_detail!$K$2:$K$403,Flux_detail!$N$2:$N$403,$A13,Flux_detail!$B$2:$B$403,D$4)</f>
      </c>
      <c r="E13" s="11">
        <f>SUMIFS(Flux_detail!$K$2:$K$403,Flux_detail!$N$2:$N$403,$A13,Flux_detail!$B$2:$B$403,E$4)</f>
      </c>
      <c r="F13" s="11">
        <f>SUMIFS(Flux_detail!$K$2:$K$403,Flux_detail!$N$2:$N$403,$A13,Flux_detail!$B$2:$B$403,F$4)</f>
      </c>
      <c r="G13" s="11">
        <f>SUMIFS(Flux_detail!$K$2:$K$403,Flux_detail!$N$2:$N$403,$A13,Flux_detail!$B$2:$B$403,G$4)</f>
      </c>
      <c r="H13" s="11">
        <f>SUMIFS(Flux_detail!$K$2:$K$403,Flux_detail!$N$2:$N$403,$A13,Flux_detail!$B$2:$B$403,H$4)</f>
      </c>
      <c r="I13" s="11">
        <f>SUMIFS(Flux_detail!$K$2:$K$403,Flux_detail!$N$2:$N$403,$A13,Flux_detail!$B$2:$B$403,I$4)</f>
      </c>
      <c r="J13" s="11">
        <f>SUMIFS(Flux_detail!$K$2:$K$403,Flux_detail!$N$2:$N$403,$A13,Flux_detail!$B$2:$B$403,J$4)</f>
      </c>
      <c r="K13" s="11">
        <f>SUMIFS(Flux_detail!$K$2:$K$403,Flux_detail!$N$2:$N$403,$A13,Flux_detail!$B$2:$B$403,K$4)</f>
      </c>
      <c r="L13" s="11">
        <f>SUMIFS(Flux_detail!$K$2:$K$403,Flux_detail!$N$2:$N$403,$A13,Flux_detail!$B$2:$B$403,L$4)</f>
      </c>
      <c r="M13" s="11">
        <f>SUMIFS(Flux_detail!$K$2:$K$403,Flux_detail!$N$2:$N$403,$A13,Flux_detail!$B$2:$B$403,M$4)</f>
      </c>
      <c r="N13" s="11">
        <f>SUMIFS(Flux_detail!$K$2:$K$403,Flux_detail!$N$2:$N$403,$A13,Flux_detail!$B$2:$B$403,N$4)</f>
      </c>
      <c r="O13" s="11">
        <f>SUMIFS(Flux_detail!$K$2:$K$403,Flux_detail!$N$2:$N$403,$A13,Flux_detail!$B$2:$B$403,O$4)</f>
      </c>
      <c r="P13" s="11">
        <f>SUMIFS(Flux_detail!$K$2:$K$403,Flux_detail!$N$2:$N$403,$A13,Flux_detail!$B$2:$B$403,P$4)</f>
      </c>
      <c r="Q13" s="11">
        <f>SUMIFS(Flux_detail!$K$2:$K$403,Flux_detail!$N$2:$N$403,$A13,Flux_detail!$B$2:$B$403,Q$4)</f>
      </c>
      <c r="R13" s="11">
        <f>SUMIFS(Flux_detail!$K$2:$K$403,Flux_detail!$N$2:$N$403,$A13,Flux_detail!$B$2:$B$403,R$4)</f>
      </c>
      <c r="S13" s="11">
        <f>SUMIFS(Flux_detail!$K$2:$K$403,Flux_detail!$N$2:$N$403,$A13,Flux_detail!$B$2:$B$403,S$4)</f>
      </c>
      <c r="T13" s="11">
        <f>SUMIFS(Flux_detail!$K$2:$K$403,Flux_detail!$N$2:$N$403,$A13,Flux_detail!$B$2:$B$403,T$4)</f>
      </c>
      <c r="U13" s="11">
        <f>SUMIFS(Flux_detail!$K$2:$K$403,Flux_detail!$N$2:$N$403,$A13,Flux_detail!$B$2:$B$403,U$4)</f>
      </c>
      <c r="V13" s="11">
        <f>SUMIFS(Flux_detail!$K$2:$K$403,Flux_detail!$N$2:$N$403,$A13,Flux_detail!$B$2:$B$403,V$4)</f>
      </c>
      <c r="W13" s="11">
        <f>SUMIFS(Flux_detail!$K$2:$K$403,Flux_detail!$N$2:$N$403,$A13,Flux_detail!$B$2:$B$403,W$4)</f>
      </c>
      <c r="X13" s="11">
        <f>SUMIFS(Flux_detail!$K$2:$K$403,Flux_detail!$N$2:$N$403,$A13,Flux_detail!$B$2:$B$403,X$4)</f>
      </c>
      <c r="Y13" s="11">
        <f>SUMIFS(Flux_detail!$K$2:$K$403,Flux_detail!$N$2:$N$403,$A13,Flux_detail!$B$2:$B$403,Y$4)</f>
      </c>
      <c r="Z13" s="11">
        <f>SUMIFS(Flux_detail!$K$2:$K$403,Flux_detail!$N$2:$N$403,$A13,Flux_detail!$B$2:$B$403,Z$4)</f>
      </c>
      <c r="AA13" s="11">
        <f>SUMIFS(Flux_detail!$K$2:$K$403,Flux_detail!$N$2:$N$403,$A13,Flux_detail!$B$2:$B$403,AA$4)</f>
      </c>
      <c r="AB13" s="11">
        <f>SUMIFS(Flux_detail!$K$2:$K$403,Flux_detail!$N$2:$N$403,$A13,Flux_detail!$B$2:$B$403,AB$4)</f>
      </c>
      <c r="AC13" s="11">
        <f>SUMIFS(Flux_detail!$K$2:$K$403,Flux_detail!$N$2:$N$403,$A13,Flux_detail!$B$2:$B$403,AC$4)</f>
      </c>
      <c r="AD13" s="11">
        <f>SUMIFS(Flux_detail!$K$2:$K$403,Flux_detail!$N$2:$N$403,$A13,Flux_detail!$B$2:$B$403,AD$4)</f>
      </c>
      <c r="AE13" s="11">
        <f>SUMIFS(Flux_detail!$K$2:$K$403,Flux_detail!$N$2:$N$403,$A13,Flux_detail!$B$2:$B$403,AE$4)</f>
      </c>
      <c r="AF13" s="11">
        <f>SUMIFS(Flux_detail!$K$2:$K$403,Flux_detail!$N$2:$N$403,$A13,Flux_detail!$B$2:$B$403,AF$4)</f>
      </c>
      <c r="AG13" s="11">
        <f>SUMIFS(Flux_detail!$K$2:$K$403,Flux_detail!$N$2:$N$403,$A13,Flux_detail!$B$2:$B$403,AG$4)</f>
      </c>
      <c r="AH13" s="11">
        <f>SUMIFS(Flux_detail!$K$2:$K$403,Flux_detail!$N$2:$N$403,$A13,Flux_detail!$B$2:$B$403,AH$4)</f>
      </c>
      <c r="AI13" s="11">
        <f>SUMIFS(Flux_detail!$K$2:$K$403,Flux_detail!$N$2:$N$403,$A13,Flux_detail!$B$2:$B$403,AI$4)</f>
      </c>
      <c r="AJ13" s="11">
        <f>SUMIFS(Flux_detail!$K$2:$K$403,Flux_detail!$N$2:$N$403,$A13,Flux_detail!$B$2:$B$403,AJ$4)</f>
      </c>
      <c r="AK13" s="11">
        <f>SUMIFS(Flux_detail!$K$2:$K$403,Flux_detail!$N$2:$N$403,$A13,Flux_detail!$B$2:$B$403,AK$4)</f>
      </c>
      <c r="AL13" s="11">
        <f>SUMIFS(Flux_detail!$K$2:$K$403,Flux_detail!$N$2:$N$403,$A13,Flux_detail!$B$2:$B$403,AL$4)</f>
      </c>
      <c r="AM13" s="11">
        <f>SUMIFS(Flux_detail!$K$2:$K$403,Flux_detail!$N$2:$N$403,$A13,Flux_detail!$B$2:$B$403,AM$4)</f>
      </c>
      <c r="AN13" s="11">
        <f>SUMIFS(Flux_detail!$K$2:$K$403,Flux_detail!$N$2:$N$403,$A13,Flux_detail!$B$2:$B$403,AN$4)</f>
      </c>
      <c r="AO13" s="11">
        <f>SUMIFS(Flux_detail!$K$2:$K$403,Flux_detail!$N$2:$N$403,$A13,Flux_detail!$B$2:$B$403,AO$4)</f>
      </c>
      <c r="AP13" s="11">
        <f>SUMIFS(Flux_detail!$K$2:$K$403,Flux_detail!$N$2:$N$403,$A13,Flux_detail!$B$2:$B$403,AP$4)</f>
      </c>
      <c r="AQ13" s="11">
        <f>SUMIFS(Flux_detail!$K$2:$K$403,Flux_detail!$N$2:$N$403,$A13,Flux_detail!$B$2:$B$403,AQ$4)</f>
      </c>
      <c r="AR13" s="11">
        <f>SUMIFS(Flux_detail!$K$2:$K$403,Flux_detail!$N$2:$N$403,$A13,Flux_detail!$B$2:$B$403,AR$4)</f>
      </c>
      <c r="AS13" s="11">
        <f>SUMIFS(Flux_detail!$K$2:$K$403,Flux_detail!$N$2:$N$403,$A13,Flux_detail!$B$2:$B$403,AS$4)</f>
      </c>
      <c r="AT13" s="11">
        <f>SUMIFS(Flux_detail!$K$2:$K$403,Flux_detail!$N$2:$N$403,$A13,Flux_detail!$B$2:$B$403,AT$4)</f>
      </c>
      <c r="AU13" s="11">
        <f>SUMIFS(Flux_detail!$K$2:$K$403,Flux_detail!$N$2:$N$403,$A13,Flux_detail!$B$2:$B$403,AU$4)</f>
      </c>
      <c r="AV13" s="11">
        <f>SUMIFS(Flux_detail!$K$2:$K$403,Flux_detail!$N$2:$N$403,$A13,Flux_detail!$B$2:$B$403,AV$4)</f>
      </c>
      <c r="AW13" s="11">
        <f>SUMIFS(Flux_detail!$K$2:$K$403,Flux_detail!$N$2:$N$403,$A13,Flux_detail!$B$2:$B$403,AW$4)</f>
      </c>
      <c r="AX13" s="11">
        <f>SUMIFS(Flux_detail!$K$2:$K$403,Flux_detail!$N$2:$N$403,$A13,Flux_detail!$B$2:$B$403,AX$4)</f>
      </c>
      <c r="AY13" s="11">
        <f>SUMIFS(Flux_detail!$K$2:$K$403,Flux_detail!$N$2:$N$403,$A13,Flux_detail!$B$2:$B$403,AY$4)</f>
      </c>
      <c r="AZ13" s="11">
        <f>SUMIFS(Flux_detail!$K$2:$K$403,Flux_detail!$N$2:$N$403,$A13,Flux_detail!$B$2:$B$403,AZ$4)</f>
      </c>
      <c r="BA13" s="11">
        <f>SUMIFS(Flux_detail!$K$2:$K$403,Flux_detail!$N$2:$N$403,$A13,Flux_detail!$B$2:$B$403,BA$4)</f>
      </c>
    </row>
    <row r="14">
      <c r="A14" s="12" t="inlineStr">
        <is>
          <t xml:space="preserve">Total flux d'exploitation</t>
        </is>
      </c>
      <c r="B14" s="13">
        <f>SUMIFS(Flux_detail!$K$2:$K$403,Flux_detail!$O$2:$O$403,"EXPL",Flux_detail!$B$2:$B$403,B$4)</f>
      </c>
      <c r="C14" s="13">
        <f>SUMIFS(Flux_detail!$K$2:$K$403,Flux_detail!$O$2:$O$403,"EXPL",Flux_detail!$B$2:$B$403,C$4)</f>
      </c>
      <c r="D14" s="13">
        <f>SUMIFS(Flux_detail!$K$2:$K$403,Flux_detail!$O$2:$O$403,"EXPL",Flux_detail!$B$2:$B$403,D$4)</f>
      </c>
      <c r="E14" s="13">
        <f>SUMIFS(Flux_detail!$K$2:$K$403,Flux_detail!$O$2:$O$403,"EXPL",Flux_detail!$B$2:$B$403,E$4)</f>
      </c>
      <c r="F14" s="13">
        <f>SUMIFS(Flux_detail!$K$2:$K$403,Flux_detail!$O$2:$O$403,"EXPL",Flux_detail!$B$2:$B$403,F$4)</f>
      </c>
      <c r="G14" s="13">
        <f>SUMIFS(Flux_detail!$K$2:$K$403,Flux_detail!$O$2:$O$403,"EXPL",Flux_detail!$B$2:$B$403,G$4)</f>
      </c>
      <c r="H14" s="13">
        <f>SUMIFS(Flux_detail!$K$2:$K$403,Flux_detail!$O$2:$O$403,"EXPL",Flux_detail!$B$2:$B$403,H$4)</f>
      </c>
      <c r="I14" s="13">
        <f>SUMIFS(Flux_detail!$K$2:$K$403,Flux_detail!$O$2:$O$403,"EXPL",Flux_detail!$B$2:$B$403,I$4)</f>
      </c>
      <c r="J14" s="13">
        <f>SUMIFS(Flux_detail!$K$2:$K$403,Flux_detail!$O$2:$O$403,"EXPL",Flux_detail!$B$2:$B$403,J$4)</f>
      </c>
      <c r="K14" s="13">
        <f>SUMIFS(Flux_detail!$K$2:$K$403,Flux_detail!$O$2:$O$403,"EXPL",Flux_detail!$B$2:$B$403,K$4)</f>
      </c>
      <c r="L14" s="13">
        <f>SUMIFS(Flux_detail!$K$2:$K$403,Flux_detail!$O$2:$O$403,"EXPL",Flux_detail!$B$2:$B$403,L$4)</f>
      </c>
      <c r="M14" s="13">
        <f>SUMIFS(Flux_detail!$K$2:$K$403,Flux_detail!$O$2:$O$403,"EXPL",Flux_detail!$B$2:$B$403,M$4)</f>
      </c>
      <c r="N14" s="13">
        <f>SUMIFS(Flux_detail!$K$2:$K$403,Flux_detail!$O$2:$O$403,"EXPL",Flux_detail!$B$2:$B$403,N$4)</f>
      </c>
      <c r="O14" s="13">
        <f>SUMIFS(Flux_detail!$K$2:$K$403,Flux_detail!$O$2:$O$403,"EXPL",Flux_detail!$B$2:$B$403,O$4)</f>
      </c>
      <c r="P14" s="13">
        <f>SUMIFS(Flux_detail!$K$2:$K$403,Flux_detail!$O$2:$O$403,"EXPL",Flux_detail!$B$2:$B$403,P$4)</f>
      </c>
      <c r="Q14" s="13">
        <f>SUMIFS(Flux_detail!$K$2:$K$403,Flux_detail!$O$2:$O$403,"EXPL",Flux_detail!$B$2:$B$403,Q$4)</f>
      </c>
      <c r="R14" s="13">
        <f>SUMIFS(Flux_detail!$K$2:$K$403,Flux_detail!$O$2:$O$403,"EXPL",Flux_detail!$B$2:$B$403,R$4)</f>
      </c>
      <c r="S14" s="13">
        <f>SUMIFS(Flux_detail!$K$2:$K$403,Flux_detail!$O$2:$O$403,"EXPL",Flux_detail!$B$2:$B$403,S$4)</f>
      </c>
      <c r="T14" s="13">
        <f>SUMIFS(Flux_detail!$K$2:$K$403,Flux_detail!$O$2:$O$403,"EXPL",Flux_detail!$B$2:$B$403,T$4)</f>
      </c>
      <c r="U14" s="13">
        <f>SUMIFS(Flux_detail!$K$2:$K$403,Flux_detail!$O$2:$O$403,"EXPL",Flux_detail!$B$2:$B$403,U$4)</f>
      </c>
      <c r="V14" s="13">
        <f>SUMIFS(Flux_detail!$K$2:$K$403,Flux_detail!$O$2:$O$403,"EXPL",Flux_detail!$B$2:$B$403,V$4)</f>
      </c>
      <c r="W14" s="13">
        <f>SUMIFS(Flux_detail!$K$2:$K$403,Flux_detail!$O$2:$O$403,"EXPL",Flux_detail!$B$2:$B$403,W$4)</f>
      </c>
      <c r="X14" s="13">
        <f>SUMIFS(Flux_detail!$K$2:$K$403,Flux_detail!$O$2:$O$403,"EXPL",Flux_detail!$B$2:$B$403,X$4)</f>
      </c>
      <c r="Y14" s="13">
        <f>SUMIFS(Flux_detail!$K$2:$K$403,Flux_detail!$O$2:$O$403,"EXPL",Flux_detail!$B$2:$B$403,Y$4)</f>
      </c>
      <c r="Z14" s="13">
        <f>SUMIFS(Flux_detail!$K$2:$K$403,Flux_detail!$O$2:$O$403,"EXPL",Flux_detail!$B$2:$B$403,Z$4)</f>
      </c>
      <c r="AA14" s="13">
        <f>SUMIFS(Flux_detail!$K$2:$K$403,Flux_detail!$O$2:$O$403,"EXPL",Flux_detail!$B$2:$B$403,AA$4)</f>
      </c>
      <c r="AB14" s="13">
        <f>SUMIFS(Flux_detail!$K$2:$K$403,Flux_detail!$O$2:$O$403,"EXPL",Flux_detail!$B$2:$B$403,AB$4)</f>
      </c>
      <c r="AC14" s="13">
        <f>SUMIFS(Flux_detail!$K$2:$K$403,Flux_detail!$O$2:$O$403,"EXPL",Flux_detail!$B$2:$B$403,AC$4)</f>
      </c>
      <c r="AD14" s="13">
        <f>SUMIFS(Flux_detail!$K$2:$K$403,Flux_detail!$O$2:$O$403,"EXPL",Flux_detail!$B$2:$B$403,AD$4)</f>
      </c>
      <c r="AE14" s="13">
        <f>SUMIFS(Flux_detail!$K$2:$K$403,Flux_detail!$O$2:$O$403,"EXPL",Flux_detail!$B$2:$B$403,AE$4)</f>
      </c>
      <c r="AF14" s="13">
        <f>SUMIFS(Flux_detail!$K$2:$K$403,Flux_detail!$O$2:$O$403,"EXPL",Flux_detail!$B$2:$B$403,AF$4)</f>
      </c>
      <c r="AG14" s="13">
        <f>SUMIFS(Flux_detail!$K$2:$K$403,Flux_detail!$O$2:$O$403,"EXPL",Flux_detail!$B$2:$B$403,AG$4)</f>
      </c>
      <c r="AH14" s="13">
        <f>SUMIFS(Flux_detail!$K$2:$K$403,Flux_detail!$O$2:$O$403,"EXPL",Flux_detail!$B$2:$B$403,AH$4)</f>
      </c>
      <c r="AI14" s="13">
        <f>SUMIFS(Flux_detail!$K$2:$K$403,Flux_detail!$O$2:$O$403,"EXPL",Flux_detail!$B$2:$B$403,AI$4)</f>
      </c>
      <c r="AJ14" s="13">
        <f>SUMIFS(Flux_detail!$K$2:$K$403,Flux_detail!$O$2:$O$403,"EXPL",Flux_detail!$B$2:$B$403,AJ$4)</f>
      </c>
      <c r="AK14" s="13">
        <f>SUMIFS(Flux_detail!$K$2:$K$403,Flux_detail!$O$2:$O$403,"EXPL",Flux_detail!$B$2:$B$403,AK$4)</f>
      </c>
      <c r="AL14" s="13">
        <f>SUMIFS(Flux_detail!$K$2:$K$403,Flux_detail!$O$2:$O$403,"EXPL",Flux_detail!$B$2:$B$403,AL$4)</f>
      </c>
      <c r="AM14" s="13">
        <f>SUMIFS(Flux_detail!$K$2:$K$403,Flux_detail!$O$2:$O$403,"EXPL",Flux_detail!$B$2:$B$403,AM$4)</f>
      </c>
      <c r="AN14" s="13">
        <f>SUMIFS(Flux_detail!$K$2:$K$403,Flux_detail!$O$2:$O$403,"EXPL",Flux_detail!$B$2:$B$403,AN$4)</f>
      </c>
      <c r="AO14" s="13">
        <f>SUMIFS(Flux_detail!$K$2:$K$403,Flux_detail!$O$2:$O$403,"EXPL",Flux_detail!$B$2:$B$403,AO$4)</f>
      </c>
      <c r="AP14" s="13">
        <f>SUMIFS(Flux_detail!$K$2:$K$403,Flux_detail!$O$2:$O$403,"EXPL",Flux_detail!$B$2:$B$403,AP$4)</f>
      </c>
      <c r="AQ14" s="13">
        <f>SUMIFS(Flux_detail!$K$2:$K$403,Flux_detail!$O$2:$O$403,"EXPL",Flux_detail!$B$2:$B$403,AQ$4)</f>
      </c>
      <c r="AR14" s="13">
        <f>SUMIFS(Flux_detail!$K$2:$K$403,Flux_detail!$O$2:$O$403,"EXPL",Flux_detail!$B$2:$B$403,AR$4)</f>
      </c>
      <c r="AS14" s="13">
        <f>SUMIFS(Flux_detail!$K$2:$K$403,Flux_detail!$O$2:$O$403,"EXPL",Flux_detail!$B$2:$B$403,AS$4)</f>
      </c>
      <c r="AT14" s="13">
        <f>SUMIFS(Flux_detail!$K$2:$K$403,Flux_detail!$O$2:$O$403,"EXPL",Flux_detail!$B$2:$B$403,AT$4)</f>
      </c>
      <c r="AU14" s="13">
        <f>SUMIFS(Flux_detail!$K$2:$K$403,Flux_detail!$O$2:$O$403,"EXPL",Flux_detail!$B$2:$B$403,AU$4)</f>
      </c>
      <c r="AV14" s="13">
        <f>SUMIFS(Flux_detail!$K$2:$K$403,Flux_detail!$O$2:$O$403,"EXPL",Flux_detail!$B$2:$B$403,AV$4)</f>
      </c>
      <c r="AW14" s="13">
        <f>SUMIFS(Flux_detail!$K$2:$K$403,Flux_detail!$O$2:$O$403,"EXPL",Flux_detail!$B$2:$B$403,AW$4)</f>
      </c>
      <c r="AX14" s="13">
        <f>SUMIFS(Flux_detail!$K$2:$K$403,Flux_detail!$O$2:$O$403,"EXPL",Flux_detail!$B$2:$B$403,AX$4)</f>
      </c>
      <c r="AY14" s="13">
        <f>SUMIFS(Flux_detail!$K$2:$K$403,Flux_detail!$O$2:$O$403,"EXPL",Flux_detail!$B$2:$B$403,AY$4)</f>
      </c>
      <c r="AZ14" s="13">
        <f>SUMIFS(Flux_detail!$K$2:$K$403,Flux_detail!$O$2:$O$403,"EXPL",Flux_detail!$B$2:$B$403,AZ$4)</f>
      </c>
      <c r="BA14" s="13">
        <f>SUMIFS(Flux_detail!$K$2:$K$403,Flux_detail!$O$2:$O$403,"EXPL",Flux_detail!$B$2:$B$403,BA$4)</f>
      </c>
    </row>
    <row r="16">
      <c r="A16" s="5" t="inlineStr">
        <is>
          <t xml:space="preserve">Flux de financement</t>
        </is>
      </c>
    </row>
    <row r="17">
      <c r="A17" s="0" t="inlineStr">
        <is>
          <t xml:space="preserve">Emprunts - capital</t>
        </is>
      </c>
      <c r="B17" s="11">
        <f>SUMIFS(Flux_detail!$K$2:$K$403,Flux_detail!$N$2:$N$403,$A17,Flux_detail!$B$2:$B$403,B$4)</f>
      </c>
      <c r="C17" s="11">
        <f>SUMIFS(Flux_detail!$K$2:$K$403,Flux_detail!$N$2:$N$403,$A17,Flux_detail!$B$2:$B$403,C$4)</f>
      </c>
      <c r="D17" s="11">
        <f>SUMIFS(Flux_detail!$K$2:$K$403,Flux_detail!$N$2:$N$403,$A17,Flux_detail!$B$2:$B$403,D$4)</f>
      </c>
      <c r="E17" s="11">
        <f>SUMIFS(Flux_detail!$K$2:$K$403,Flux_detail!$N$2:$N$403,$A17,Flux_detail!$B$2:$B$403,E$4)</f>
      </c>
      <c r="F17" s="11">
        <f>SUMIFS(Flux_detail!$K$2:$K$403,Flux_detail!$N$2:$N$403,$A17,Flux_detail!$B$2:$B$403,F$4)</f>
      </c>
      <c r="G17" s="11">
        <f>SUMIFS(Flux_detail!$K$2:$K$403,Flux_detail!$N$2:$N$403,$A17,Flux_detail!$B$2:$B$403,G$4)</f>
      </c>
      <c r="H17" s="11">
        <f>SUMIFS(Flux_detail!$K$2:$K$403,Flux_detail!$N$2:$N$403,$A17,Flux_detail!$B$2:$B$403,H$4)</f>
      </c>
      <c r="I17" s="11">
        <f>SUMIFS(Flux_detail!$K$2:$K$403,Flux_detail!$N$2:$N$403,$A17,Flux_detail!$B$2:$B$403,I$4)</f>
      </c>
      <c r="J17" s="11">
        <f>SUMIFS(Flux_detail!$K$2:$K$403,Flux_detail!$N$2:$N$403,$A17,Flux_detail!$B$2:$B$403,J$4)</f>
      </c>
      <c r="K17" s="11">
        <f>SUMIFS(Flux_detail!$K$2:$K$403,Flux_detail!$N$2:$N$403,$A17,Flux_detail!$B$2:$B$403,K$4)</f>
      </c>
      <c r="L17" s="11">
        <f>SUMIFS(Flux_detail!$K$2:$K$403,Flux_detail!$N$2:$N$403,$A17,Flux_detail!$B$2:$B$403,L$4)</f>
      </c>
      <c r="M17" s="11">
        <f>SUMIFS(Flux_detail!$K$2:$K$403,Flux_detail!$N$2:$N$403,$A17,Flux_detail!$B$2:$B$403,M$4)</f>
      </c>
      <c r="N17" s="11">
        <f>SUMIFS(Flux_detail!$K$2:$K$403,Flux_detail!$N$2:$N$403,$A17,Flux_detail!$B$2:$B$403,N$4)</f>
      </c>
      <c r="O17" s="11">
        <f>SUMIFS(Flux_detail!$K$2:$K$403,Flux_detail!$N$2:$N$403,$A17,Flux_detail!$B$2:$B$403,O$4)</f>
      </c>
      <c r="P17" s="11">
        <f>SUMIFS(Flux_detail!$K$2:$K$403,Flux_detail!$N$2:$N$403,$A17,Flux_detail!$B$2:$B$403,P$4)</f>
      </c>
      <c r="Q17" s="11">
        <f>SUMIFS(Flux_detail!$K$2:$K$403,Flux_detail!$N$2:$N$403,$A17,Flux_detail!$B$2:$B$403,Q$4)</f>
      </c>
      <c r="R17" s="11">
        <f>SUMIFS(Flux_detail!$K$2:$K$403,Flux_detail!$N$2:$N$403,$A17,Flux_detail!$B$2:$B$403,R$4)</f>
      </c>
      <c r="S17" s="11">
        <f>SUMIFS(Flux_detail!$K$2:$K$403,Flux_detail!$N$2:$N$403,$A17,Flux_detail!$B$2:$B$403,S$4)</f>
      </c>
      <c r="T17" s="11">
        <f>SUMIFS(Flux_detail!$K$2:$K$403,Flux_detail!$N$2:$N$403,$A17,Flux_detail!$B$2:$B$403,T$4)</f>
      </c>
      <c r="U17" s="11">
        <f>SUMIFS(Flux_detail!$K$2:$K$403,Flux_detail!$N$2:$N$403,$A17,Flux_detail!$B$2:$B$403,U$4)</f>
      </c>
      <c r="V17" s="11">
        <f>SUMIFS(Flux_detail!$K$2:$K$403,Flux_detail!$N$2:$N$403,$A17,Flux_detail!$B$2:$B$403,V$4)</f>
      </c>
      <c r="W17" s="11">
        <f>SUMIFS(Flux_detail!$K$2:$K$403,Flux_detail!$N$2:$N$403,$A17,Flux_detail!$B$2:$B$403,W$4)</f>
      </c>
      <c r="X17" s="11">
        <f>SUMIFS(Flux_detail!$K$2:$K$403,Flux_detail!$N$2:$N$403,$A17,Flux_detail!$B$2:$B$403,X$4)</f>
      </c>
      <c r="Y17" s="11">
        <f>SUMIFS(Flux_detail!$K$2:$K$403,Flux_detail!$N$2:$N$403,$A17,Flux_detail!$B$2:$B$403,Y$4)</f>
      </c>
      <c r="Z17" s="11">
        <f>SUMIFS(Flux_detail!$K$2:$K$403,Flux_detail!$N$2:$N$403,$A17,Flux_detail!$B$2:$B$403,Z$4)</f>
      </c>
      <c r="AA17" s="11">
        <f>SUMIFS(Flux_detail!$K$2:$K$403,Flux_detail!$N$2:$N$403,$A17,Flux_detail!$B$2:$B$403,AA$4)</f>
      </c>
      <c r="AB17" s="11">
        <f>SUMIFS(Flux_detail!$K$2:$K$403,Flux_detail!$N$2:$N$403,$A17,Flux_detail!$B$2:$B$403,AB$4)</f>
      </c>
      <c r="AC17" s="11">
        <f>SUMIFS(Flux_detail!$K$2:$K$403,Flux_detail!$N$2:$N$403,$A17,Flux_detail!$B$2:$B$403,AC$4)</f>
      </c>
      <c r="AD17" s="11">
        <f>SUMIFS(Flux_detail!$K$2:$K$403,Flux_detail!$N$2:$N$403,$A17,Flux_detail!$B$2:$B$403,AD$4)</f>
      </c>
      <c r="AE17" s="11">
        <f>SUMIFS(Flux_detail!$K$2:$K$403,Flux_detail!$N$2:$N$403,$A17,Flux_detail!$B$2:$B$403,AE$4)</f>
      </c>
      <c r="AF17" s="11">
        <f>SUMIFS(Flux_detail!$K$2:$K$403,Flux_detail!$N$2:$N$403,$A17,Flux_detail!$B$2:$B$403,AF$4)</f>
      </c>
      <c r="AG17" s="11">
        <f>SUMIFS(Flux_detail!$K$2:$K$403,Flux_detail!$N$2:$N$403,$A17,Flux_detail!$B$2:$B$403,AG$4)</f>
      </c>
      <c r="AH17" s="11">
        <f>SUMIFS(Flux_detail!$K$2:$K$403,Flux_detail!$N$2:$N$403,$A17,Flux_detail!$B$2:$B$403,AH$4)</f>
      </c>
      <c r="AI17" s="11">
        <f>SUMIFS(Flux_detail!$K$2:$K$403,Flux_detail!$N$2:$N$403,$A17,Flux_detail!$B$2:$B$403,AI$4)</f>
      </c>
      <c r="AJ17" s="11">
        <f>SUMIFS(Flux_detail!$K$2:$K$403,Flux_detail!$N$2:$N$403,$A17,Flux_detail!$B$2:$B$403,AJ$4)</f>
      </c>
      <c r="AK17" s="11">
        <f>SUMIFS(Flux_detail!$K$2:$K$403,Flux_detail!$N$2:$N$403,$A17,Flux_detail!$B$2:$B$403,AK$4)</f>
      </c>
      <c r="AL17" s="11">
        <f>SUMIFS(Flux_detail!$K$2:$K$403,Flux_detail!$N$2:$N$403,$A17,Flux_detail!$B$2:$B$403,AL$4)</f>
      </c>
      <c r="AM17" s="11">
        <f>SUMIFS(Flux_detail!$K$2:$K$403,Flux_detail!$N$2:$N$403,$A17,Flux_detail!$B$2:$B$403,AM$4)</f>
      </c>
      <c r="AN17" s="11">
        <f>SUMIFS(Flux_detail!$K$2:$K$403,Flux_detail!$N$2:$N$403,$A17,Flux_detail!$B$2:$B$403,AN$4)</f>
      </c>
      <c r="AO17" s="11">
        <f>SUMIFS(Flux_detail!$K$2:$K$403,Flux_detail!$N$2:$N$403,$A17,Flux_detail!$B$2:$B$403,AO$4)</f>
      </c>
      <c r="AP17" s="11">
        <f>SUMIFS(Flux_detail!$K$2:$K$403,Flux_detail!$N$2:$N$403,$A17,Flux_detail!$B$2:$B$403,AP$4)</f>
      </c>
      <c r="AQ17" s="11">
        <f>SUMIFS(Flux_detail!$K$2:$K$403,Flux_detail!$N$2:$N$403,$A17,Flux_detail!$B$2:$B$403,AQ$4)</f>
      </c>
      <c r="AR17" s="11">
        <f>SUMIFS(Flux_detail!$K$2:$K$403,Flux_detail!$N$2:$N$403,$A17,Flux_detail!$B$2:$B$403,AR$4)</f>
      </c>
      <c r="AS17" s="11">
        <f>SUMIFS(Flux_detail!$K$2:$K$403,Flux_detail!$N$2:$N$403,$A17,Flux_detail!$B$2:$B$403,AS$4)</f>
      </c>
      <c r="AT17" s="11">
        <f>SUMIFS(Flux_detail!$K$2:$K$403,Flux_detail!$N$2:$N$403,$A17,Flux_detail!$B$2:$B$403,AT$4)</f>
      </c>
      <c r="AU17" s="11">
        <f>SUMIFS(Flux_detail!$K$2:$K$403,Flux_detail!$N$2:$N$403,$A17,Flux_detail!$B$2:$B$403,AU$4)</f>
      </c>
      <c r="AV17" s="11">
        <f>SUMIFS(Flux_detail!$K$2:$K$403,Flux_detail!$N$2:$N$403,$A17,Flux_detail!$B$2:$B$403,AV$4)</f>
      </c>
      <c r="AW17" s="11">
        <f>SUMIFS(Flux_detail!$K$2:$K$403,Flux_detail!$N$2:$N$403,$A17,Flux_detail!$B$2:$B$403,AW$4)</f>
      </c>
      <c r="AX17" s="11">
        <f>SUMIFS(Flux_detail!$K$2:$K$403,Flux_detail!$N$2:$N$403,$A17,Flux_detail!$B$2:$B$403,AX$4)</f>
      </c>
      <c r="AY17" s="11">
        <f>SUMIFS(Flux_detail!$K$2:$K$403,Flux_detail!$N$2:$N$403,$A17,Flux_detail!$B$2:$B$403,AY$4)</f>
      </c>
      <c r="AZ17" s="11">
        <f>SUMIFS(Flux_detail!$K$2:$K$403,Flux_detail!$N$2:$N$403,$A17,Flux_detail!$B$2:$B$403,AZ$4)</f>
      </c>
      <c r="BA17" s="11">
        <f>SUMIFS(Flux_detail!$K$2:$K$403,Flux_detail!$N$2:$N$403,$A17,Flux_detail!$B$2:$B$403,BA$4)</f>
      </c>
    </row>
    <row r="18">
      <c r="A18" s="0" t="inlineStr">
        <is>
          <t xml:space="preserve">Intérêts et charges financières</t>
        </is>
      </c>
      <c r="B18" s="11">
        <f>SUMIFS(Flux_detail!$K$2:$K$403,Flux_detail!$N$2:$N$403,$A18,Flux_detail!$B$2:$B$403,B$4)</f>
      </c>
      <c r="C18" s="11">
        <f>SUMIFS(Flux_detail!$K$2:$K$403,Flux_detail!$N$2:$N$403,$A18,Flux_detail!$B$2:$B$403,C$4)</f>
      </c>
      <c r="D18" s="11">
        <f>SUMIFS(Flux_detail!$K$2:$K$403,Flux_detail!$N$2:$N$403,$A18,Flux_detail!$B$2:$B$403,D$4)</f>
      </c>
      <c r="E18" s="11">
        <f>SUMIFS(Flux_detail!$K$2:$K$403,Flux_detail!$N$2:$N$403,$A18,Flux_detail!$B$2:$B$403,E$4)</f>
      </c>
      <c r="F18" s="11">
        <f>SUMIFS(Flux_detail!$K$2:$K$403,Flux_detail!$N$2:$N$403,$A18,Flux_detail!$B$2:$B$403,F$4)</f>
      </c>
      <c r="G18" s="11">
        <f>SUMIFS(Flux_detail!$K$2:$K$403,Flux_detail!$N$2:$N$403,$A18,Flux_detail!$B$2:$B$403,G$4)</f>
      </c>
      <c r="H18" s="11">
        <f>SUMIFS(Flux_detail!$K$2:$K$403,Flux_detail!$N$2:$N$403,$A18,Flux_detail!$B$2:$B$403,H$4)</f>
      </c>
      <c r="I18" s="11">
        <f>SUMIFS(Flux_detail!$K$2:$K$403,Flux_detail!$N$2:$N$403,$A18,Flux_detail!$B$2:$B$403,I$4)</f>
      </c>
      <c r="J18" s="11">
        <f>SUMIFS(Flux_detail!$K$2:$K$403,Flux_detail!$N$2:$N$403,$A18,Flux_detail!$B$2:$B$403,J$4)</f>
      </c>
      <c r="K18" s="11">
        <f>SUMIFS(Flux_detail!$K$2:$K$403,Flux_detail!$N$2:$N$403,$A18,Flux_detail!$B$2:$B$403,K$4)</f>
      </c>
      <c r="L18" s="11">
        <f>SUMIFS(Flux_detail!$K$2:$K$403,Flux_detail!$N$2:$N$403,$A18,Flux_detail!$B$2:$B$403,L$4)</f>
      </c>
      <c r="M18" s="11">
        <f>SUMIFS(Flux_detail!$K$2:$K$403,Flux_detail!$N$2:$N$403,$A18,Flux_detail!$B$2:$B$403,M$4)</f>
      </c>
      <c r="N18" s="11">
        <f>SUMIFS(Flux_detail!$K$2:$K$403,Flux_detail!$N$2:$N$403,$A18,Flux_detail!$B$2:$B$403,N$4)</f>
      </c>
      <c r="O18" s="11">
        <f>SUMIFS(Flux_detail!$K$2:$K$403,Flux_detail!$N$2:$N$403,$A18,Flux_detail!$B$2:$B$403,O$4)</f>
      </c>
      <c r="P18" s="11">
        <f>SUMIFS(Flux_detail!$K$2:$K$403,Flux_detail!$N$2:$N$403,$A18,Flux_detail!$B$2:$B$403,P$4)</f>
      </c>
      <c r="Q18" s="11">
        <f>SUMIFS(Flux_detail!$K$2:$K$403,Flux_detail!$N$2:$N$403,$A18,Flux_detail!$B$2:$B$403,Q$4)</f>
      </c>
      <c r="R18" s="11">
        <f>SUMIFS(Flux_detail!$K$2:$K$403,Flux_detail!$N$2:$N$403,$A18,Flux_detail!$B$2:$B$403,R$4)</f>
      </c>
      <c r="S18" s="11">
        <f>SUMIFS(Flux_detail!$K$2:$K$403,Flux_detail!$N$2:$N$403,$A18,Flux_detail!$B$2:$B$403,S$4)</f>
      </c>
      <c r="T18" s="11">
        <f>SUMIFS(Flux_detail!$K$2:$K$403,Flux_detail!$N$2:$N$403,$A18,Flux_detail!$B$2:$B$403,T$4)</f>
      </c>
      <c r="U18" s="11">
        <f>SUMIFS(Flux_detail!$K$2:$K$403,Flux_detail!$N$2:$N$403,$A18,Flux_detail!$B$2:$B$403,U$4)</f>
      </c>
      <c r="V18" s="11">
        <f>SUMIFS(Flux_detail!$K$2:$K$403,Flux_detail!$N$2:$N$403,$A18,Flux_detail!$B$2:$B$403,V$4)</f>
      </c>
      <c r="W18" s="11">
        <f>SUMIFS(Flux_detail!$K$2:$K$403,Flux_detail!$N$2:$N$403,$A18,Flux_detail!$B$2:$B$403,W$4)</f>
      </c>
      <c r="X18" s="11">
        <f>SUMIFS(Flux_detail!$K$2:$K$403,Flux_detail!$N$2:$N$403,$A18,Flux_detail!$B$2:$B$403,X$4)</f>
      </c>
      <c r="Y18" s="11">
        <f>SUMIFS(Flux_detail!$K$2:$K$403,Flux_detail!$N$2:$N$403,$A18,Flux_detail!$B$2:$B$403,Y$4)</f>
      </c>
      <c r="Z18" s="11">
        <f>SUMIFS(Flux_detail!$K$2:$K$403,Flux_detail!$N$2:$N$403,$A18,Flux_detail!$B$2:$B$403,Z$4)</f>
      </c>
      <c r="AA18" s="11">
        <f>SUMIFS(Flux_detail!$K$2:$K$403,Flux_detail!$N$2:$N$403,$A18,Flux_detail!$B$2:$B$403,AA$4)</f>
      </c>
      <c r="AB18" s="11">
        <f>SUMIFS(Flux_detail!$K$2:$K$403,Flux_detail!$N$2:$N$403,$A18,Flux_detail!$B$2:$B$403,AB$4)</f>
      </c>
      <c r="AC18" s="11">
        <f>SUMIFS(Flux_detail!$K$2:$K$403,Flux_detail!$N$2:$N$403,$A18,Flux_detail!$B$2:$B$403,AC$4)</f>
      </c>
      <c r="AD18" s="11">
        <f>SUMIFS(Flux_detail!$K$2:$K$403,Flux_detail!$N$2:$N$403,$A18,Flux_detail!$B$2:$B$403,AD$4)</f>
      </c>
      <c r="AE18" s="11">
        <f>SUMIFS(Flux_detail!$K$2:$K$403,Flux_detail!$N$2:$N$403,$A18,Flux_detail!$B$2:$B$403,AE$4)</f>
      </c>
      <c r="AF18" s="11">
        <f>SUMIFS(Flux_detail!$K$2:$K$403,Flux_detail!$N$2:$N$403,$A18,Flux_detail!$B$2:$B$403,AF$4)</f>
      </c>
      <c r="AG18" s="11">
        <f>SUMIFS(Flux_detail!$K$2:$K$403,Flux_detail!$N$2:$N$403,$A18,Flux_detail!$B$2:$B$403,AG$4)</f>
      </c>
      <c r="AH18" s="11">
        <f>SUMIFS(Flux_detail!$K$2:$K$403,Flux_detail!$N$2:$N$403,$A18,Flux_detail!$B$2:$B$403,AH$4)</f>
      </c>
      <c r="AI18" s="11">
        <f>SUMIFS(Flux_detail!$K$2:$K$403,Flux_detail!$N$2:$N$403,$A18,Flux_detail!$B$2:$B$403,AI$4)</f>
      </c>
      <c r="AJ18" s="11">
        <f>SUMIFS(Flux_detail!$K$2:$K$403,Flux_detail!$N$2:$N$403,$A18,Flux_detail!$B$2:$B$403,AJ$4)</f>
      </c>
      <c r="AK18" s="11">
        <f>SUMIFS(Flux_detail!$K$2:$K$403,Flux_detail!$N$2:$N$403,$A18,Flux_detail!$B$2:$B$403,AK$4)</f>
      </c>
      <c r="AL18" s="11">
        <f>SUMIFS(Flux_detail!$K$2:$K$403,Flux_detail!$N$2:$N$403,$A18,Flux_detail!$B$2:$B$403,AL$4)</f>
      </c>
      <c r="AM18" s="11">
        <f>SUMIFS(Flux_detail!$K$2:$K$403,Flux_detail!$N$2:$N$403,$A18,Flux_detail!$B$2:$B$403,AM$4)</f>
      </c>
      <c r="AN18" s="11">
        <f>SUMIFS(Flux_detail!$K$2:$K$403,Flux_detail!$N$2:$N$403,$A18,Flux_detail!$B$2:$B$403,AN$4)</f>
      </c>
      <c r="AO18" s="11">
        <f>SUMIFS(Flux_detail!$K$2:$K$403,Flux_detail!$N$2:$N$403,$A18,Flux_detail!$B$2:$B$403,AO$4)</f>
      </c>
      <c r="AP18" s="11">
        <f>SUMIFS(Flux_detail!$K$2:$K$403,Flux_detail!$N$2:$N$403,$A18,Flux_detail!$B$2:$B$403,AP$4)</f>
      </c>
      <c r="AQ18" s="11">
        <f>SUMIFS(Flux_detail!$K$2:$K$403,Flux_detail!$N$2:$N$403,$A18,Flux_detail!$B$2:$B$403,AQ$4)</f>
      </c>
      <c r="AR18" s="11">
        <f>SUMIFS(Flux_detail!$K$2:$K$403,Flux_detail!$N$2:$N$403,$A18,Flux_detail!$B$2:$B$403,AR$4)</f>
      </c>
      <c r="AS18" s="11">
        <f>SUMIFS(Flux_detail!$K$2:$K$403,Flux_detail!$N$2:$N$403,$A18,Flux_detail!$B$2:$B$403,AS$4)</f>
      </c>
      <c r="AT18" s="11">
        <f>SUMIFS(Flux_detail!$K$2:$K$403,Flux_detail!$N$2:$N$403,$A18,Flux_detail!$B$2:$B$403,AT$4)</f>
      </c>
      <c r="AU18" s="11">
        <f>SUMIFS(Flux_detail!$K$2:$K$403,Flux_detail!$N$2:$N$403,$A18,Flux_detail!$B$2:$B$403,AU$4)</f>
      </c>
      <c r="AV18" s="11">
        <f>SUMIFS(Flux_detail!$K$2:$K$403,Flux_detail!$N$2:$N$403,$A18,Flux_detail!$B$2:$B$403,AV$4)</f>
      </c>
      <c r="AW18" s="11">
        <f>SUMIFS(Flux_detail!$K$2:$K$403,Flux_detail!$N$2:$N$403,$A18,Flux_detail!$B$2:$B$403,AW$4)</f>
      </c>
      <c r="AX18" s="11">
        <f>SUMIFS(Flux_detail!$K$2:$K$403,Flux_detail!$N$2:$N$403,$A18,Flux_detail!$B$2:$B$403,AX$4)</f>
      </c>
      <c r="AY18" s="11">
        <f>SUMIFS(Flux_detail!$K$2:$K$403,Flux_detail!$N$2:$N$403,$A18,Flux_detail!$B$2:$B$403,AY$4)</f>
      </c>
      <c r="AZ18" s="11">
        <f>SUMIFS(Flux_detail!$K$2:$K$403,Flux_detail!$N$2:$N$403,$A18,Flux_detail!$B$2:$B$403,AZ$4)</f>
      </c>
      <c r="BA18" s="11">
        <f>SUMIFS(Flux_detail!$K$2:$K$403,Flux_detail!$N$2:$N$403,$A18,Flux_detail!$B$2:$B$403,BA$4)</f>
      </c>
    </row>
    <row r="19">
      <c r="A19" s="0" t="inlineStr">
        <is>
          <t xml:space="preserve">Associés et groupe</t>
        </is>
      </c>
      <c r="B19" s="11">
        <f>SUMIFS(Flux_detail!$K$2:$K$403,Flux_detail!$N$2:$N$403,$A19,Flux_detail!$B$2:$B$403,B$4)</f>
      </c>
      <c r="C19" s="11">
        <f>SUMIFS(Flux_detail!$K$2:$K$403,Flux_detail!$N$2:$N$403,$A19,Flux_detail!$B$2:$B$403,C$4)</f>
      </c>
      <c r="D19" s="11">
        <f>SUMIFS(Flux_detail!$K$2:$K$403,Flux_detail!$N$2:$N$403,$A19,Flux_detail!$B$2:$B$403,D$4)</f>
      </c>
      <c r="E19" s="11">
        <f>SUMIFS(Flux_detail!$K$2:$K$403,Flux_detail!$N$2:$N$403,$A19,Flux_detail!$B$2:$B$403,E$4)</f>
      </c>
      <c r="F19" s="11">
        <f>SUMIFS(Flux_detail!$K$2:$K$403,Flux_detail!$N$2:$N$403,$A19,Flux_detail!$B$2:$B$403,F$4)</f>
      </c>
      <c r="G19" s="11">
        <f>SUMIFS(Flux_detail!$K$2:$K$403,Flux_detail!$N$2:$N$403,$A19,Flux_detail!$B$2:$B$403,G$4)</f>
      </c>
      <c r="H19" s="11">
        <f>SUMIFS(Flux_detail!$K$2:$K$403,Flux_detail!$N$2:$N$403,$A19,Flux_detail!$B$2:$B$403,H$4)</f>
      </c>
      <c r="I19" s="11">
        <f>SUMIFS(Flux_detail!$K$2:$K$403,Flux_detail!$N$2:$N$403,$A19,Flux_detail!$B$2:$B$403,I$4)</f>
      </c>
      <c r="J19" s="11">
        <f>SUMIFS(Flux_detail!$K$2:$K$403,Flux_detail!$N$2:$N$403,$A19,Flux_detail!$B$2:$B$403,J$4)</f>
      </c>
      <c r="K19" s="11">
        <f>SUMIFS(Flux_detail!$K$2:$K$403,Flux_detail!$N$2:$N$403,$A19,Flux_detail!$B$2:$B$403,K$4)</f>
      </c>
      <c r="L19" s="11">
        <f>SUMIFS(Flux_detail!$K$2:$K$403,Flux_detail!$N$2:$N$403,$A19,Flux_detail!$B$2:$B$403,L$4)</f>
      </c>
      <c r="M19" s="11">
        <f>SUMIFS(Flux_detail!$K$2:$K$403,Flux_detail!$N$2:$N$403,$A19,Flux_detail!$B$2:$B$403,M$4)</f>
      </c>
      <c r="N19" s="11">
        <f>SUMIFS(Flux_detail!$K$2:$K$403,Flux_detail!$N$2:$N$403,$A19,Flux_detail!$B$2:$B$403,N$4)</f>
      </c>
      <c r="O19" s="11">
        <f>SUMIFS(Flux_detail!$K$2:$K$403,Flux_detail!$N$2:$N$403,$A19,Flux_detail!$B$2:$B$403,O$4)</f>
      </c>
      <c r="P19" s="11">
        <f>SUMIFS(Flux_detail!$K$2:$K$403,Flux_detail!$N$2:$N$403,$A19,Flux_detail!$B$2:$B$403,P$4)</f>
      </c>
      <c r="Q19" s="11">
        <f>SUMIFS(Flux_detail!$K$2:$K$403,Flux_detail!$N$2:$N$403,$A19,Flux_detail!$B$2:$B$403,Q$4)</f>
      </c>
      <c r="R19" s="11">
        <f>SUMIFS(Flux_detail!$K$2:$K$403,Flux_detail!$N$2:$N$403,$A19,Flux_detail!$B$2:$B$403,R$4)</f>
      </c>
      <c r="S19" s="11">
        <f>SUMIFS(Flux_detail!$K$2:$K$403,Flux_detail!$N$2:$N$403,$A19,Flux_detail!$B$2:$B$403,S$4)</f>
      </c>
      <c r="T19" s="11">
        <f>SUMIFS(Flux_detail!$K$2:$K$403,Flux_detail!$N$2:$N$403,$A19,Flux_detail!$B$2:$B$403,T$4)</f>
      </c>
      <c r="U19" s="11">
        <f>SUMIFS(Flux_detail!$K$2:$K$403,Flux_detail!$N$2:$N$403,$A19,Flux_detail!$B$2:$B$403,U$4)</f>
      </c>
      <c r="V19" s="11">
        <f>SUMIFS(Flux_detail!$K$2:$K$403,Flux_detail!$N$2:$N$403,$A19,Flux_detail!$B$2:$B$403,V$4)</f>
      </c>
      <c r="W19" s="11">
        <f>SUMIFS(Flux_detail!$K$2:$K$403,Flux_detail!$N$2:$N$403,$A19,Flux_detail!$B$2:$B$403,W$4)</f>
      </c>
      <c r="X19" s="11">
        <f>SUMIFS(Flux_detail!$K$2:$K$403,Flux_detail!$N$2:$N$403,$A19,Flux_detail!$B$2:$B$403,X$4)</f>
      </c>
      <c r="Y19" s="11">
        <f>SUMIFS(Flux_detail!$K$2:$K$403,Flux_detail!$N$2:$N$403,$A19,Flux_detail!$B$2:$B$403,Y$4)</f>
      </c>
      <c r="Z19" s="11">
        <f>SUMIFS(Flux_detail!$K$2:$K$403,Flux_detail!$N$2:$N$403,$A19,Flux_detail!$B$2:$B$403,Z$4)</f>
      </c>
      <c r="AA19" s="11">
        <f>SUMIFS(Flux_detail!$K$2:$K$403,Flux_detail!$N$2:$N$403,$A19,Flux_detail!$B$2:$B$403,AA$4)</f>
      </c>
      <c r="AB19" s="11">
        <f>SUMIFS(Flux_detail!$K$2:$K$403,Flux_detail!$N$2:$N$403,$A19,Flux_detail!$B$2:$B$403,AB$4)</f>
      </c>
      <c r="AC19" s="11">
        <f>SUMIFS(Flux_detail!$K$2:$K$403,Flux_detail!$N$2:$N$403,$A19,Flux_detail!$B$2:$B$403,AC$4)</f>
      </c>
      <c r="AD19" s="11">
        <f>SUMIFS(Flux_detail!$K$2:$K$403,Flux_detail!$N$2:$N$403,$A19,Flux_detail!$B$2:$B$403,AD$4)</f>
      </c>
      <c r="AE19" s="11">
        <f>SUMIFS(Flux_detail!$K$2:$K$403,Flux_detail!$N$2:$N$403,$A19,Flux_detail!$B$2:$B$403,AE$4)</f>
      </c>
      <c r="AF19" s="11">
        <f>SUMIFS(Flux_detail!$K$2:$K$403,Flux_detail!$N$2:$N$403,$A19,Flux_detail!$B$2:$B$403,AF$4)</f>
      </c>
      <c r="AG19" s="11">
        <f>SUMIFS(Flux_detail!$K$2:$K$403,Flux_detail!$N$2:$N$403,$A19,Flux_detail!$B$2:$B$403,AG$4)</f>
      </c>
      <c r="AH19" s="11">
        <f>SUMIFS(Flux_detail!$K$2:$K$403,Flux_detail!$N$2:$N$403,$A19,Flux_detail!$B$2:$B$403,AH$4)</f>
      </c>
      <c r="AI19" s="11">
        <f>SUMIFS(Flux_detail!$K$2:$K$403,Flux_detail!$N$2:$N$403,$A19,Flux_detail!$B$2:$B$403,AI$4)</f>
      </c>
      <c r="AJ19" s="11">
        <f>SUMIFS(Flux_detail!$K$2:$K$403,Flux_detail!$N$2:$N$403,$A19,Flux_detail!$B$2:$B$403,AJ$4)</f>
      </c>
      <c r="AK19" s="11">
        <f>SUMIFS(Flux_detail!$K$2:$K$403,Flux_detail!$N$2:$N$403,$A19,Flux_detail!$B$2:$B$403,AK$4)</f>
      </c>
      <c r="AL19" s="11">
        <f>SUMIFS(Flux_detail!$K$2:$K$403,Flux_detail!$N$2:$N$403,$A19,Flux_detail!$B$2:$B$403,AL$4)</f>
      </c>
      <c r="AM19" s="11">
        <f>SUMIFS(Flux_detail!$K$2:$K$403,Flux_detail!$N$2:$N$403,$A19,Flux_detail!$B$2:$B$403,AM$4)</f>
      </c>
      <c r="AN19" s="11">
        <f>SUMIFS(Flux_detail!$K$2:$K$403,Flux_detail!$N$2:$N$403,$A19,Flux_detail!$B$2:$B$403,AN$4)</f>
      </c>
      <c r="AO19" s="11">
        <f>SUMIFS(Flux_detail!$K$2:$K$403,Flux_detail!$N$2:$N$403,$A19,Flux_detail!$B$2:$B$403,AO$4)</f>
      </c>
      <c r="AP19" s="11">
        <f>SUMIFS(Flux_detail!$K$2:$K$403,Flux_detail!$N$2:$N$403,$A19,Flux_detail!$B$2:$B$403,AP$4)</f>
      </c>
      <c r="AQ19" s="11">
        <f>SUMIFS(Flux_detail!$K$2:$K$403,Flux_detail!$N$2:$N$403,$A19,Flux_detail!$B$2:$B$403,AQ$4)</f>
      </c>
      <c r="AR19" s="11">
        <f>SUMIFS(Flux_detail!$K$2:$K$403,Flux_detail!$N$2:$N$403,$A19,Flux_detail!$B$2:$B$403,AR$4)</f>
      </c>
      <c r="AS19" s="11">
        <f>SUMIFS(Flux_detail!$K$2:$K$403,Flux_detail!$N$2:$N$403,$A19,Flux_detail!$B$2:$B$403,AS$4)</f>
      </c>
      <c r="AT19" s="11">
        <f>SUMIFS(Flux_detail!$K$2:$K$403,Flux_detail!$N$2:$N$403,$A19,Flux_detail!$B$2:$B$403,AT$4)</f>
      </c>
      <c r="AU19" s="11">
        <f>SUMIFS(Flux_detail!$K$2:$K$403,Flux_detail!$N$2:$N$403,$A19,Flux_detail!$B$2:$B$403,AU$4)</f>
      </c>
      <c r="AV19" s="11">
        <f>SUMIFS(Flux_detail!$K$2:$K$403,Flux_detail!$N$2:$N$403,$A19,Flux_detail!$B$2:$B$403,AV$4)</f>
      </c>
      <c r="AW19" s="11">
        <f>SUMIFS(Flux_detail!$K$2:$K$403,Flux_detail!$N$2:$N$403,$A19,Flux_detail!$B$2:$B$403,AW$4)</f>
      </c>
      <c r="AX19" s="11">
        <f>SUMIFS(Flux_detail!$K$2:$K$403,Flux_detail!$N$2:$N$403,$A19,Flux_detail!$B$2:$B$403,AX$4)</f>
      </c>
      <c r="AY19" s="11">
        <f>SUMIFS(Flux_detail!$K$2:$K$403,Flux_detail!$N$2:$N$403,$A19,Flux_detail!$B$2:$B$403,AY$4)</f>
      </c>
      <c r="AZ19" s="11">
        <f>SUMIFS(Flux_detail!$K$2:$K$403,Flux_detail!$N$2:$N$403,$A19,Flux_detail!$B$2:$B$403,AZ$4)</f>
      </c>
      <c r="BA19" s="11">
        <f>SUMIFS(Flux_detail!$K$2:$K$403,Flux_detail!$N$2:$N$403,$A19,Flux_detail!$B$2:$B$403,BA$4)</f>
      </c>
    </row>
    <row r="20">
      <c r="A20" s="12" t="inlineStr">
        <is>
          <t xml:space="preserve">Total flux de financement</t>
        </is>
      </c>
      <c r="B20" s="13">
        <f>SUMIFS(Flux_detail!$K$2:$K$403,Flux_detail!$O$2:$O$403,"FIN",Flux_detail!$B$2:$B$403,B$4)</f>
      </c>
      <c r="C20" s="13">
        <f>SUMIFS(Flux_detail!$K$2:$K$403,Flux_detail!$O$2:$O$403,"FIN",Flux_detail!$B$2:$B$403,C$4)</f>
      </c>
      <c r="D20" s="13">
        <f>SUMIFS(Flux_detail!$K$2:$K$403,Flux_detail!$O$2:$O$403,"FIN",Flux_detail!$B$2:$B$403,D$4)</f>
      </c>
      <c r="E20" s="13">
        <f>SUMIFS(Flux_detail!$K$2:$K$403,Flux_detail!$O$2:$O$403,"FIN",Flux_detail!$B$2:$B$403,E$4)</f>
      </c>
      <c r="F20" s="13">
        <f>SUMIFS(Flux_detail!$K$2:$K$403,Flux_detail!$O$2:$O$403,"FIN",Flux_detail!$B$2:$B$403,F$4)</f>
      </c>
      <c r="G20" s="13">
        <f>SUMIFS(Flux_detail!$K$2:$K$403,Flux_detail!$O$2:$O$403,"FIN",Flux_detail!$B$2:$B$403,G$4)</f>
      </c>
      <c r="H20" s="13">
        <f>SUMIFS(Flux_detail!$K$2:$K$403,Flux_detail!$O$2:$O$403,"FIN",Flux_detail!$B$2:$B$403,H$4)</f>
      </c>
      <c r="I20" s="13">
        <f>SUMIFS(Flux_detail!$K$2:$K$403,Flux_detail!$O$2:$O$403,"FIN",Flux_detail!$B$2:$B$403,I$4)</f>
      </c>
      <c r="J20" s="13">
        <f>SUMIFS(Flux_detail!$K$2:$K$403,Flux_detail!$O$2:$O$403,"FIN",Flux_detail!$B$2:$B$403,J$4)</f>
      </c>
      <c r="K20" s="13">
        <f>SUMIFS(Flux_detail!$K$2:$K$403,Flux_detail!$O$2:$O$403,"FIN",Flux_detail!$B$2:$B$403,K$4)</f>
      </c>
      <c r="L20" s="13">
        <f>SUMIFS(Flux_detail!$K$2:$K$403,Flux_detail!$O$2:$O$403,"FIN",Flux_detail!$B$2:$B$403,L$4)</f>
      </c>
      <c r="M20" s="13">
        <f>SUMIFS(Flux_detail!$K$2:$K$403,Flux_detail!$O$2:$O$403,"FIN",Flux_detail!$B$2:$B$403,M$4)</f>
      </c>
      <c r="N20" s="13">
        <f>SUMIFS(Flux_detail!$K$2:$K$403,Flux_detail!$O$2:$O$403,"FIN",Flux_detail!$B$2:$B$403,N$4)</f>
      </c>
      <c r="O20" s="13">
        <f>SUMIFS(Flux_detail!$K$2:$K$403,Flux_detail!$O$2:$O$403,"FIN",Flux_detail!$B$2:$B$403,O$4)</f>
      </c>
      <c r="P20" s="13">
        <f>SUMIFS(Flux_detail!$K$2:$K$403,Flux_detail!$O$2:$O$403,"FIN",Flux_detail!$B$2:$B$403,P$4)</f>
      </c>
      <c r="Q20" s="13">
        <f>SUMIFS(Flux_detail!$K$2:$K$403,Flux_detail!$O$2:$O$403,"FIN",Flux_detail!$B$2:$B$403,Q$4)</f>
      </c>
      <c r="R20" s="13">
        <f>SUMIFS(Flux_detail!$K$2:$K$403,Flux_detail!$O$2:$O$403,"FIN",Flux_detail!$B$2:$B$403,R$4)</f>
      </c>
      <c r="S20" s="13">
        <f>SUMIFS(Flux_detail!$K$2:$K$403,Flux_detail!$O$2:$O$403,"FIN",Flux_detail!$B$2:$B$403,S$4)</f>
      </c>
      <c r="T20" s="13">
        <f>SUMIFS(Flux_detail!$K$2:$K$403,Flux_detail!$O$2:$O$403,"FIN",Flux_detail!$B$2:$B$403,T$4)</f>
      </c>
      <c r="U20" s="13">
        <f>SUMIFS(Flux_detail!$K$2:$K$403,Flux_detail!$O$2:$O$403,"FIN",Flux_detail!$B$2:$B$403,U$4)</f>
      </c>
      <c r="V20" s="13">
        <f>SUMIFS(Flux_detail!$K$2:$K$403,Flux_detail!$O$2:$O$403,"FIN",Flux_detail!$B$2:$B$403,V$4)</f>
      </c>
      <c r="W20" s="13">
        <f>SUMIFS(Flux_detail!$K$2:$K$403,Flux_detail!$O$2:$O$403,"FIN",Flux_detail!$B$2:$B$403,W$4)</f>
      </c>
      <c r="X20" s="13">
        <f>SUMIFS(Flux_detail!$K$2:$K$403,Flux_detail!$O$2:$O$403,"FIN",Flux_detail!$B$2:$B$403,X$4)</f>
      </c>
      <c r="Y20" s="13">
        <f>SUMIFS(Flux_detail!$K$2:$K$403,Flux_detail!$O$2:$O$403,"FIN",Flux_detail!$B$2:$B$403,Y$4)</f>
      </c>
      <c r="Z20" s="13">
        <f>SUMIFS(Flux_detail!$K$2:$K$403,Flux_detail!$O$2:$O$403,"FIN",Flux_detail!$B$2:$B$403,Z$4)</f>
      </c>
      <c r="AA20" s="13">
        <f>SUMIFS(Flux_detail!$K$2:$K$403,Flux_detail!$O$2:$O$403,"FIN",Flux_detail!$B$2:$B$403,AA$4)</f>
      </c>
      <c r="AB20" s="13">
        <f>SUMIFS(Flux_detail!$K$2:$K$403,Flux_detail!$O$2:$O$403,"FIN",Flux_detail!$B$2:$B$403,AB$4)</f>
      </c>
      <c r="AC20" s="13">
        <f>SUMIFS(Flux_detail!$K$2:$K$403,Flux_detail!$O$2:$O$403,"FIN",Flux_detail!$B$2:$B$403,AC$4)</f>
      </c>
      <c r="AD20" s="13">
        <f>SUMIFS(Flux_detail!$K$2:$K$403,Flux_detail!$O$2:$O$403,"FIN",Flux_detail!$B$2:$B$403,AD$4)</f>
      </c>
      <c r="AE20" s="13">
        <f>SUMIFS(Flux_detail!$K$2:$K$403,Flux_detail!$O$2:$O$403,"FIN",Flux_detail!$B$2:$B$403,AE$4)</f>
      </c>
      <c r="AF20" s="13">
        <f>SUMIFS(Flux_detail!$K$2:$K$403,Flux_detail!$O$2:$O$403,"FIN",Flux_detail!$B$2:$B$403,AF$4)</f>
      </c>
      <c r="AG20" s="13">
        <f>SUMIFS(Flux_detail!$K$2:$K$403,Flux_detail!$O$2:$O$403,"FIN",Flux_detail!$B$2:$B$403,AG$4)</f>
      </c>
      <c r="AH20" s="13">
        <f>SUMIFS(Flux_detail!$K$2:$K$403,Flux_detail!$O$2:$O$403,"FIN",Flux_detail!$B$2:$B$403,AH$4)</f>
      </c>
      <c r="AI20" s="13">
        <f>SUMIFS(Flux_detail!$K$2:$K$403,Flux_detail!$O$2:$O$403,"FIN",Flux_detail!$B$2:$B$403,AI$4)</f>
      </c>
      <c r="AJ20" s="13">
        <f>SUMIFS(Flux_detail!$K$2:$K$403,Flux_detail!$O$2:$O$403,"FIN",Flux_detail!$B$2:$B$403,AJ$4)</f>
      </c>
      <c r="AK20" s="13">
        <f>SUMIFS(Flux_detail!$K$2:$K$403,Flux_detail!$O$2:$O$403,"FIN",Flux_detail!$B$2:$B$403,AK$4)</f>
      </c>
      <c r="AL20" s="13">
        <f>SUMIFS(Flux_detail!$K$2:$K$403,Flux_detail!$O$2:$O$403,"FIN",Flux_detail!$B$2:$B$403,AL$4)</f>
      </c>
      <c r="AM20" s="13">
        <f>SUMIFS(Flux_detail!$K$2:$K$403,Flux_detail!$O$2:$O$403,"FIN",Flux_detail!$B$2:$B$403,AM$4)</f>
      </c>
      <c r="AN20" s="13">
        <f>SUMIFS(Flux_detail!$K$2:$K$403,Flux_detail!$O$2:$O$403,"FIN",Flux_detail!$B$2:$B$403,AN$4)</f>
      </c>
      <c r="AO20" s="13">
        <f>SUMIFS(Flux_detail!$K$2:$K$403,Flux_detail!$O$2:$O$403,"FIN",Flux_detail!$B$2:$B$403,AO$4)</f>
      </c>
      <c r="AP20" s="13">
        <f>SUMIFS(Flux_detail!$K$2:$K$403,Flux_detail!$O$2:$O$403,"FIN",Flux_detail!$B$2:$B$403,AP$4)</f>
      </c>
      <c r="AQ20" s="13">
        <f>SUMIFS(Flux_detail!$K$2:$K$403,Flux_detail!$O$2:$O$403,"FIN",Flux_detail!$B$2:$B$403,AQ$4)</f>
      </c>
      <c r="AR20" s="13">
        <f>SUMIFS(Flux_detail!$K$2:$K$403,Flux_detail!$O$2:$O$403,"FIN",Flux_detail!$B$2:$B$403,AR$4)</f>
      </c>
      <c r="AS20" s="13">
        <f>SUMIFS(Flux_detail!$K$2:$K$403,Flux_detail!$O$2:$O$403,"FIN",Flux_detail!$B$2:$B$403,AS$4)</f>
      </c>
      <c r="AT20" s="13">
        <f>SUMIFS(Flux_detail!$K$2:$K$403,Flux_detail!$O$2:$O$403,"FIN",Flux_detail!$B$2:$B$403,AT$4)</f>
      </c>
      <c r="AU20" s="13">
        <f>SUMIFS(Flux_detail!$K$2:$K$403,Flux_detail!$O$2:$O$403,"FIN",Flux_detail!$B$2:$B$403,AU$4)</f>
      </c>
      <c r="AV20" s="13">
        <f>SUMIFS(Flux_detail!$K$2:$K$403,Flux_detail!$O$2:$O$403,"FIN",Flux_detail!$B$2:$B$403,AV$4)</f>
      </c>
      <c r="AW20" s="13">
        <f>SUMIFS(Flux_detail!$K$2:$K$403,Flux_detail!$O$2:$O$403,"FIN",Flux_detail!$B$2:$B$403,AW$4)</f>
      </c>
      <c r="AX20" s="13">
        <f>SUMIFS(Flux_detail!$K$2:$K$403,Flux_detail!$O$2:$O$403,"FIN",Flux_detail!$B$2:$B$403,AX$4)</f>
      </c>
      <c r="AY20" s="13">
        <f>SUMIFS(Flux_detail!$K$2:$K$403,Flux_detail!$O$2:$O$403,"FIN",Flux_detail!$B$2:$B$403,AY$4)</f>
      </c>
      <c r="AZ20" s="13">
        <f>SUMIFS(Flux_detail!$K$2:$K$403,Flux_detail!$O$2:$O$403,"FIN",Flux_detail!$B$2:$B$403,AZ$4)</f>
      </c>
      <c r="BA20" s="13">
        <f>SUMIFS(Flux_detail!$K$2:$K$403,Flux_detail!$O$2:$O$403,"FIN",Flux_detail!$B$2:$B$403,BA$4)</f>
      </c>
    </row>
    <row r="22">
      <c r="A22" s="12" t="inlineStr">
        <is>
          <t xml:space="preserve">VARIATION DE TRÉSORERIE</t>
        </is>
      </c>
      <c r="B22" s="14">
        <f>SUMIFS(Flux_detail!$K$2:$K$403,Flux_detail!$B$2:$B$403,B$4)</f>
      </c>
      <c r="C22" s="14">
        <f>SUMIFS(Flux_detail!$K$2:$K$403,Flux_detail!$B$2:$B$403,C$4)</f>
      </c>
      <c r="D22" s="14">
        <f>SUMIFS(Flux_detail!$K$2:$K$403,Flux_detail!$B$2:$B$403,D$4)</f>
      </c>
      <c r="E22" s="14">
        <f>SUMIFS(Flux_detail!$K$2:$K$403,Flux_detail!$B$2:$B$403,E$4)</f>
      </c>
      <c r="F22" s="14">
        <f>SUMIFS(Flux_detail!$K$2:$K$403,Flux_detail!$B$2:$B$403,F$4)</f>
      </c>
      <c r="G22" s="14">
        <f>SUMIFS(Flux_detail!$K$2:$K$403,Flux_detail!$B$2:$B$403,G$4)</f>
      </c>
      <c r="H22" s="14">
        <f>SUMIFS(Flux_detail!$K$2:$K$403,Flux_detail!$B$2:$B$403,H$4)</f>
      </c>
      <c r="I22" s="14">
        <f>SUMIFS(Flux_detail!$K$2:$K$403,Flux_detail!$B$2:$B$403,I$4)</f>
      </c>
      <c r="J22" s="14">
        <f>SUMIFS(Flux_detail!$K$2:$K$403,Flux_detail!$B$2:$B$403,J$4)</f>
      </c>
      <c r="K22" s="14">
        <f>SUMIFS(Flux_detail!$K$2:$K$403,Flux_detail!$B$2:$B$403,K$4)</f>
      </c>
      <c r="L22" s="14">
        <f>SUMIFS(Flux_detail!$K$2:$K$403,Flux_detail!$B$2:$B$403,L$4)</f>
      </c>
      <c r="M22" s="14">
        <f>SUMIFS(Flux_detail!$K$2:$K$403,Flux_detail!$B$2:$B$403,M$4)</f>
      </c>
      <c r="N22" s="14">
        <f>SUMIFS(Flux_detail!$K$2:$K$403,Flux_detail!$B$2:$B$403,N$4)</f>
      </c>
      <c r="O22" s="14">
        <f>SUMIFS(Flux_detail!$K$2:$K$403,Flux_detail!$B$2:$B$403,O$4)</f>
      </c>
      <c r="P22" s="14">
        <f>SUMIFS(Flux_detail!$K$2:$K$403,Flux_detail!$B$2:$B$403,P$4)</f>
      </c>
      <c r="Q22" s="14">
        <f>SUMIFS(Flux_detail!$K$2:$K$403,Flux_detail!$B$2:$B$403,Q$4)</f>
      </c>
      <c r="R22" s="14">
        <f>SUMIFS(Flux_detail!$K$2:$K$403,Flux_detail!$B$2:$B$403,R$4)</f>
      </c>
      <c r="S22" s="14">
        <f>SUMIFS(Flux_detail!$K$2:$K$403,Flux_detail!$B$2:$B$403,S$4)</f>
      </c>
      <c r="T22" s="14">
        <f>SUMIFS(Flux_detail!$K$2:$K$403,Flux_detail!$B$2:$B$403,T$4)</f>
      </c>
      <c r="U22" s="14">
        <f>SUMIFS(Flux_detail!$K$2:$K$403,Flux_detail!$B$2:$B$403,U$4)</f>
      </c>
      <c r="V22" s="14">
        <f>SUMIFS(Flux_detail!$K$2:$K$403,Flux_detail!$B$2:$B$403,V$4)</f>
      </c>
      <c r="W22" s="14">
        <f>SUMIFS(Flux_detail!$K$2:$K$403,Flux_detail!$B$2:$B$403,W$4)</f>
      </c>
      <c r="X22" s="14">
        <f>SUMIFS(Flux_detail!$K$2:$K$403,Flux_detail!$B$2:$B$403,X$4)</f>
      </c>
      <c r="Y22" s="14">
        <f>SUMIFS(Flux_detail!$K$2:$K$403,Flux_detail!$B$2:$B$403,Y$4)</f>
      </c>
      <c r="Z22" s="14">
        <f>SUMIFS(Flux_detail!$K$2:$K$403,Flux_detail!$B$2:$B$403,Z$4)</f>
      </c>
      <c r="AA22" s="14">
        <f>SUMIFS(Flux_detail!$K$2:$K$403,Flux_detail!$B$2:$B$403,AA$4)</f>
      </c>
      <c r="AB22" s="14">
        <f>SUMIFS(Flux_detail!$K$2:$K$403,Flux_detail!$B$2:$B$403,AB$4)</f>
      </c>
      <c r="AC22" s="14">
        <f>SUMIFS(Flux_detail!$K$2:$K$403,Flux_detail!$B$2:$B$403,AC$4)</f>
      </c>
      <c r="AD22" s="14">
        <f>SUMIFS(Flux_detail!$K$2:$K$403,Flux_detail!$B$2:$B$403,AD$4)</f>
      </c>
      <c r="AE22" s="14">
        <f>SUMIFS(Flux_detail!$K$2:$K$403,Flux_detail!$B$2:$B$403,AE$4)</f>
      </c>
      <c r="AF22" s="14">
        <f>SUMIFS(Flux_detail!$K$2:$K$403,Flux_detail!$B$2:$B$403,AF$4)</f>
      </c>
      <c r="AG22" s="14">
        <f>SUMIFS(Flux_detail!$K$2:$K$403,Flux_detail!$B$2:$B$403,AG$4)</f>
      </c>
      <c r="AH22" s="14">
        <f>SUMIFS(Flux_detail!$K$2:$K$403,Flux_detail!$B$2:$B$403,AH$4)</f>
      </c>
      <c r="AI22" s="14">
        <f>SUMIFS(Flux_detail!$K$2:$K$403,Flux_detail!$B$2:$B$403,AI$4)</f>
      </c>
      <c r="AJ22" s="14">
        <f>SUMIFS(Flux_detail!$K$2:$K$403,Flux_detail!$B$2:$B$403,AJ$4)</f>
      </c>
      <c r="AK22" s="14">
        <f>SUMIFS(Flux_detail!$K$2:$K$403,Flux_detail!$B$2:$B$403,AK$4)</f>
      </c>
      <c r="AL22" s="14">
        <f>SUMIFS(Flux_detail!$K$2:$K$403,Flux_detail!$B$2:$B$403,AL$4)</f>
      </c>
      <c r="AM22" s="14">
        <f>SUMIFS(Flux_detail!$K$2:$K$403,Flux_detail!$B$2:$B$403,AM$4)</f>
      </c>
      <c r="AN22" s="14">
        <f>SUMIFS(Flux_detail!$K$2:$K$403,Flux_detail!$B$2:$B$403,AN$4)</f>
      </c>
      <c r="AO22" s="14">
        <f>SUMIFS(Flux_detail!$K$2:$K$403,Flux_detail!$B$2:$B$403,AO$4)</f>
      </c>
      <c r="AP22" s="14">
        <f>SUMIFS(Flux_detail!$K$2:$K$403,Flux_detail!$B$2:$B$403,AP$4)</f>
      </c>
      <c r="AQ22" s="14">
        <f>SUMIFS(Flux_detail!$K$2:$K$403,Flux_detail!$B$2:$B$403,AQ$4)</f>
      </c>
      <c r="AR22" s="14">
        <f>SUMIFS(Flux_detail!$K$2:$K$403,Flux_detail!$B$2:$B$403,AR$4)</f>
      </c>
      <c r="AS22" s="14">
        <f>SUMIFS(Flux_detail!$K$2:$K$403,Flux_detail!$B$2:$B$403,AS$4)</f>
      </c>
      <c r="AT22" s="14">
        <f>SUMIFS(Flux_detail!$K$2:$K$403,Flux_detail!$B$2:$B$403,AT$4)</f>
      </c>
      <c r="AU22" s="14">
        <f>SUMIFS(Flux_detail!$K$2:$K$403,Flux_detail!$B$2:$B$403,AU$4)</f>
      </c>
      <c r="AV22" s="14">
        <f>SUMIFS(Flux_detail!$K$2:$K$403,Flux_detail!$B$2:$B$403,AV$4)</f>
      </c>
      <c r="AW22" s="14">
        <f>SUMIFS(Flux_detail!$K$2:$K$403,Flux_detail!$B$2:$B$403,AW$4)</f>
      </c>
      <c r="AX22" s="14">
        <f>SUMIFS(Flux_detail!$K$2:$K$403,Flux_detail!$B$2:$B$403,AX$4)</f>
      </c>
      <c r="AY22" s="14">
        <f>SUMIFS(Flux_detail!$K$2:$K$403,Flux_detail!$B$2:$B$403,AY$4)</f>
      </c>
      <c r="AZ22" s="14">
        <f>SUMIFS(Flux_detail!$K$2:$K$403,Flux_detail!$B$2:$B$403,AZ$4)</f>
      </c>
      <c r="BA22" s="14">
        <f>SUMIFS(Flux_detail!$K$2:$K$403,Flux_detail!$B$2:$B$403,BA$4)</f>
      </c>
    </row>
    <row r="24">
      <c r="A24" s="15" t="inlineStr">
        <is>
          <t xml:space="preserve">Moyenne hebdomadaire des 13 dernières semaines</t>
        </is>
      </c>
      <c r="B24" s="18">
        <f>AVERAGE(AO22:BA22)</f>
      </c>
    </row>
    <row r="25">
      <c r="A25" s="0" t="inlineStr">
        <is>
          <t xml:space="preserve">Moyenne hebdomadaire des 52 semaines</t>
        </is>
      </c>
      <c r="B25" s="11">
        <f>AVERAGE(B22:BA22)</f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topLeftCell="A5" activePane="bottomLeft" state="frozen"/>
    </sheetView>
  </sheetViews>
  <sheetFormatPr defaultRowHeight="12.75"/>
  <cols>
    <col min="1" max="1" width="11" customWidth="1"/>
    <col min="2" max="2" width="13" customWidth="1"/>
    <col min="3" max="3" width="14" customWidth="1"/>
    <col min="4" max="4" width="9" customWidth="1"/>
    <col min="5" max="5" width="12" customWidth="1"/>
    <col min="6" max="6" width="14" customWidth="1"/>
    <col min="7" max="7" width="14" customWidth="1"/>
    <col min="9" max="9" width="9" customWidth="1"/>
    <col min="10" max="10" width="14" customWidth="1"/>
    <col min="11" max="11" width="13" customWidth="1"/>
    <col min="12" max="12" width="12" customWidth="1"/>
    <col min="13" max="13" width="13" customWidth="1"/>
  </cols>
  <sheetData>
    <row r="1">
      <c r="A1" s="1" t="inlineStr">
        <is>
          <t xml:space="preserve">Solde bancaire quotidien (tous comptes)</t>
        </is>
      </c>
    </row>
    <row r="2">
      <c r="A2" s="2" t="inlineStr">
        <is>
          <t xml:space="preserve">Flux du jour et solde reconstitués depuis le FEC. Le point bas quotidien est la référence pour le besoin de trésorerie, pas le solde de fin de mois.</t>
        </is>
      </c>
    </row>
    <row r="4">
      <c r="A4" s="3" t="inlineStr">
        <is>
          <t xml:space="preserve">Date</t>
        </is>
      </c>
      <c r="B4" s="3" t="inlineStr">
        <is>
          <t xml:space="preserve">Flux du jour</t>
        </is>
      </c>
      <c r="C4" s="3" t="inlineStr">
        <is>
          <t xml:space="preserve">Solde bancaire</t>
        </is>
      </c>
      <c r="D4" s="3" t="inlineStr">
        <is>
          <t xml:space="preserve">Mois</t>
        </is>
      </c>
      <c r="E4" s="3" t="inlineStr">
        <is>
          <t xml:space="preserve">Exercice</t>
        </is>
      </c>
      <c r="F4" s="3" t="inlineStr">
        <is>
          <t xml:space="preserve">Fonds en transit (58)</t>
        </is>
      </c>
      <c r="G4" s="3" t="inlineStr">
        <is>
          <t xml:space="preserve">Solde disponible</t>
        </is>
      </c>
      <c r="I4" s="3" t="inlineStr">
        <is>
          <t xml:space="preserve">Mois</t>
        </is>
      </c>
      <c r="J4" s="3" t="inlineStr">
        <is>
          <t xml:space="preserve">Solde bancaire fin de mois</t>
        </is>
      </c>
      <c r="K4" s="3" t="inlineStr">
        <is>
          <t xml:space="preserve">Point bas (disponible)</t>
        </is>
      </c>
      <c r="L4" s="3" t="inlineStr">
        <is>
          <t xml:space="preserve">Date du point bas</t>
        </is>
      </c>
      <c r="M4" s="3" t="inlineStr">
        <is>
          <t xml:space="preserve">Solde moyen (disponible)</t>
        </is>
      </c>
    </row>
    <row r="5">
      <c r="A5" s="7">
        <v>45292</v>
      </c>
      <c r="B5" s="11">
        <f>SUMIFS(Flux_detail!$K$2:$K$403,Flux_detail!$A$2:$A$403,A5)</f>
      </c>
      <c r="C5" s="18">
        <f>85000+B5</f>
      </c>
      <c r="D5" s="0" t="inlineStr">
        <is>
          <t xml:space="preserve">2024-01</t>
        </is>
      </c>
      <c r="E5" s="0" t="inlineStr">
        <is>
          <t xml:space="preserve">2024</t>
        </is>
      </c>
      <c r="F5" s="17">
        <v>0</v>
      </c>
      <c r="G5" s="18">
        <f>C5+F5</f>
      </c>
      <c r="I5" s="0" t="inlineStr">
        <is>
          <t xml:space="preserve">2024-01</t>
        </is>
      </c>
      <c r="J5" s="11">
        <f>INDEX($C$5:$C$735,MATCH(I5,$D$5:$D$735,1))</f>
      </c>
      <c r="K5" s="18">
        <f>_xlfn.MINIFS($G$5:$G$735,$D$5:$D$735,I5)</f>
      </c>
      <c r="L5" s="7">
        <v>45301</v>
      </c>
      <c r="M5" s="11">
        <f>AVERAGEIFS($G$5:$G$735,$D$5:$D$735,I5)</f>
      </c>
    </row>
    <row r="6">
      <c r="A6" s="7">
        <v>45293</v>
      </c>
      <c r="B6" s="11">
        <f>SUMIFS(Flux_detail!$K$2:$K$403,Flux_detail!$A$2:$A$403,A6)</f>
      </c>
      <c r="C6" s="11">
        <f>C5+B6</f>
      </c>
      <c r="D6" s="0" t="inlineStr">
        <is>
          <t xml:space="preserve">2024-01</t>
        </is>
      </c>
      <c r="E6" s="0" t="inlineStr">
        <is>
          <t xml:space="preserve">2024</t>
        </is>
      </c>
      <c r="F6" s="17">
        <v>0</v>
      </c>
      <c r="G6" s="18">
        <f>C6+F6</f>
      </c>
      <c r="I6" s="0" t="inlineStr">
        <is>
          <t xml:space="preserve">2024-02</t>
        </is>
      </c>
      <c r="J6" s="11">
        <f>INDEX($C$5:$C$735,MATCH(I6,$D$5:$D$735,1))</f>
      </c>
      <c r="K6" s="18">
        <f>_xlfn.MINIFS($G$5:$G$735,$D$5:$D$735,I6)</f>
      </c>
      <c r="L6" s="7">
        <v>45337</v>
      </c>
      <c r="M6" s="11">
        <f>AVERAGEIFS($G$5:$G$735,$D$5:$D$735,I6)</f>
      </c>
    </row>
    <row r="7">
      <c r="A7" s="7">
        <v>45294</v>
      </c>
      <c r="B7" s="11">
        <f>SUMIFS(Flux_detail!$K$2:$K$403,Flux_detail!$A$2:$A$403,A7)</f>
      </c>
      <c r="C7" s="11">
        <f>C6+B7</f>
      </c>
      <c r="D7" s="0" t="inlineStr">
        <is>
          <t xml:space="preserve">2024-01</t>
        </is>
      </c>
      <c r="E7" s="0" t="inlineStr">
        <is>
          <t xml:space="preserve">2024</t>
        </is>
      </c>
      <c r="F7" s="17">
        <v>0</v>
      </c>
      <c r="G7" s="18">
        <f>C7+F7</f>
      </c>
      <c r="I7" s="0" t="inlineStr">
        <is>
          <t xml:space="preserve">2024-03</t>
        </is>
      </c>
      <c r="J7" s="11">
        <f>INDEX($C$5:$C$735,MATCH(I7,$D$5:$D$735,1))</f>
      </c>
      <c r="K7" s="18">
        <f>_xlfn.MINIFS($G$5:$G$735,$D$5:$D$735,I7)</f>
      </c>
      <c r="L7" s="7">
        <v>45382</v>
      </c>
      <c r="M7" s="11">
        <f>AVERAGEIFS($G$5:$G$735,$D$5:$D$735,I7)</f>
      </c>
    </row>
    <row r="8">
      <c r="A8" s="7">
        <v>45295</v>
      </c>
      <c r="B8" s="11">
        <f>SUMIFS(Flux_detail!$K$2:$K$403,Flux_detail!$A$2:$A$403,A8)</f>
      </c>
      <c r="C8" s="11">
        <f>C7+B8</f>
      </c>
      <c r="D8" s="0" t="inlineStr">
        <is>
          <t xml:space="preserve">2024-01</t>
        </is>
      </c>
      <c r="E8" s="0" t="inlineStr">
        <is>
          <t xml:space="preserve">2024</t>
        </is>
      </c>
      <c r="F8" s="17">
        <v>0</v>
      </c>
      <c r="G8" s="18">
        <f>C8+F8</f>
      </c>
      <c r="I8" s="0" t="inlineStr">
        <is>
          <t xml:space="preserve">2024-04</t>
        </is>
      </c>
      <c r="J8" s="11">
        <f>INDEX($C$5:$C$735,MATCH(I8,$D$5:$D$735,1))</f>
      </c>
      <c r="K8" s="18">
        <f>_xlfn.MINIFS($G$5:$G$735,$D$5:$D$735,I8)</f>
      </c>
      <c r="L8" s="7">
        <v>45392</v>
      </c>
      <c r="M8" s="11">
        <f>AVERAGEIFS($G$5:$G$735,$D$5:$D$735,I8)</f>
      </c>
    </row>
    <row r="9">
      <c r="A9" s="7">
        <v>45296</v>
      </c>
      <c r="B9" s="11">
        <f>SUMIFS(Flux_detail!$K$2:$K$403,Flux_detail!$A$2:$A$403,A9)</f>
      </c>
      <c r="C9" s="11">
        <f>C8+B9</f>
      </c>
      <c r="D9" s="0" t="inlineStr">
        <is>
          <t xml:space="preserve">2024-01</t>
        </is>
      </c>
      <c r="E9" s="0" t="inlineStr">
        <is>
          <t xml:space="preserve">2024</t>
        </is>
      </c>
      <c r="F9" s="17">
        <v>0</v>
      </c>
      <c r="G9" s="18">
        <f>C9+F9</f>
      </c>
      <c r="I9" s="0" t="inlineStr">
        <is>
          <t xml:space="preserve">2024-05</t>
        </is>
      </c>
      <c r="J9" s="11">
        <f>INDEX($C$5:$C$735,MATCH(I9,$D$5:$D$735,1))</f>
      </c>
      <c r="K9" s="18">
        <f>_xlfn.MINIFS($G$5:$G$735,$D$5:$D$735,I9)</f>
      </c>
      <c r="L9" s="7">
        <v>45443</v>
      </c>
      <c r="M9" s="11">
        <f>AVERAGEIFS($G$5:$G$735,$D$5:$D$735,I9)</f>
      </c>
    </row>
    <row r="10">
      <c r="A10" s="7">
        <v>45297</v>
      </c>
      <c r="B10" s="11">
        <f>SUMIFS(Flux_detail!$K$2:$K$403,Flux_detail!$A$2:$A$403,A10)</f>
      </c>
      <c r="C10" s="11">
        <f>C9+B10</f>
      </c>
      <c r="D10" s="0" t="inlineStr">
        <is>
          <t xml:space="preserve">2024-01</t>
        </is>
      </c>
      <c r="E10" s="0" t="inlineStr">
        <is>
          <t xml:space="preserve">2024</t>
        </is>
      </c>
      <c r="F10" s="17">
        <v>0</v>
      </c>
      <c r="G10" s="18">
        <f>C10+F10</f>
      </c>
      <c r="I10" s="0" t="inlineStr">
        <is>
          <t xml:space="preserve">2024-06</t>
        </is>
      </c>
      <c r="J10" s="11">
        <f>INDEX($C$5:$C$735,MATCH(I10,$D$5:$D$735,1))</f>
      </c>
      <c r="K10" s="18">
        <f>_xlfn.MINIFS($G$5:$G$735,$D$5:$D$735,I10)</f>
      </c>
      <c r="L10" s="7">
        <v>45444</v>
      </c>
      <c r="M10" s="11">
        <f>AVERAGEIFS($G$5:$G$735,$D$5:$D$735,I10)</f>
      </c>
    </row>
    <row r="11">
      <c r="A11" s="7">
        <v>45298</v>
      </c>
      <c r="B11" s="11">
        <f>SUMIFS(Flux_detail!$K$2:$K$403,Flux_detail!$A$2:$A$403,A11)</f>
      </c>
      <c r="C11" s="11">
        <f>C10+B11</f>
      </c>
      <c r="D11" s="0" t="inlineStr">
        <is>
          <t xml:space="preserve">2024-01</t>
        </is>
      </c>
      <c r="E11" s="0" t="inlineStr">
        <is>
          <t xml:space="preserve">2024</t>
        </is>
      </c>
      <c r="F11" s="17">
        <v>0</v>
      </c>
      <c r="G11" s="18">
        <f>C11+F11</f>
      </c>
      <c r="I11" s="0" t="inlineStr">
        <is>
          <t xml:space="preserve">2024-07</t>
        </is>
      </c>
      <c r="J11" s="11">
        <f>INDEX($C$5:$C$735,MATCH(I11,$D$5:$D$735,1))</f>
      </c>
      <c r="K11" s="18">
        <f>_xlfn.MINIFS($G$5:$G$735,$D$5:$D$735,I11)</f>
      </c>
      <c r="L11" s="7">
        <v>45504</v>
      </c>
      <c r="M11" s="11">
        <f>AVERAGEIFS($G$5:$G$735,$D$5:$D$735,I11)</f>
      </c>
    </row>
    <row r="12">
      <c r="A12" s="7">
        <v>45299</v>
      </c>
      <c r="B12" s="11">
        <f>SUMIFS(Flux_detail!$K$2:$K$403,Flux_detail!$A$2:$A$403,A12)</f>
      </c>
      <c r="C12" s="11">
        <f>C11+B12</f>
      </c>
      <c r="D12" s="0" t="inlineStr">
        <is>
          <t xml:space="preserve">2024-01</t>
        </is>
      </c>
      <c r="E12" s="0" t="inlineStr">
        <is>
          <t xml:space="preserve">2024</t>
        </is>
      </c>
      <c r="F12" s="17">
        <v>0</v>
      </c>
      <c r="G12" s="18">
        <f>C12+F12</f>
      </c>
      <c r="I12" s="0" t="inlineStr">
        <is>
          <t xml:space="preserve">2024-08</t>
        </is>
      </c>
      <c r="J12" s="11">
        <f>INDEX($C$5:$C$735,MATCH(I12,$D$5:$D$735,1))</f>
      </c>
      <c r="K12" s="18">
        <f>_xlfn.MINIFS($G$5:$G$735,$D$5:$D$735,I12)</f>
      </c>
      <c r="L12" s="7">
        <v>45519</v>
      </c>
      <c r="M12" s="11">
        <f>AVERAGEIFS($G$5:$G$735,$D$5:$D$735,I12)</f>
      </c>
    </row>
    <row r="13">
      <c r="A13" s="7">
        <v>45300</v>
      </c>
      <c r="B13" s="11">
        <f>SUMIFS(Flux_detail!$K$2:$K$403,Flux_detail!$A$2:$A$403,A13)</f>
      </c>
      <c r="C13" s="11">
        <f>C12+B13</f>
      </c>
      <c r="D13" s="0" t="inlineStr">
        <is>
          <t xml:space="preserve">2024-01</t>
        </is>
      </c>
      <c r="E13" s="0" t="inlineStr">
        <is>
          <t xml:space="preserve">2024</t>
        </is>
      </c>
      <c r="F13" s="17">
        <v>0</v>
      </c>
      <c r="G13" s="18">
        <f>C13+F13</f>
      </c>
      <c r="I13" s="0" t="inlineStr">
        <is>
          <t xml:space="preserve">2024-09</t>
        </is>
      </c>
      <c r="J13" s="11">
        <f>INDEX($C$5:$C$735,MATCH(I13,$D$5:$D$735,1))</f>
      </c>
      <c r="K13" s="18">
        <f>_xlfn.MINIFS($G$5:$G$735,$D$5:$D$735,I13)</f>
      </c>
      <c r="L13" s="7">
        <v>45565</v>
      </c>
      <c r="M13" s="11">
        <f>AVERAGEIFS($G$5:$G$735,$D$5:$D$735,I13)</f>
      </c>
    </row>
    <row r="14">
      <c r="A14" s="7">
        <v>45301</v>
      </c>
      <c r="B14" s="11">
        <f>SUMIFS(Flux_detail!$K$2:$K$403,Flux_detail!$A$2:$A$403,A14)</f>
      </c>
      <c r="C14" s="11">
        <f>C13+B14</f>
      </c>
      <c r="D14" s="0" t="inlineStr">
        <is>
          <t xml:space="preserve">2024-01</t>
        </is>
      </c>
      <c r="E14" s="0" t="inlineStr">
        <is>
          <t xml:space="preserve">2024</t>
        </is>
      </c>
      <c r="F14" s="17">
        <v>0</v>
      </c>
      <c r="G14" s="18">
        <f>C14+F14</f>
      </c>
      <c r="I14" s="0" t="inlineStr">
        <is>
          <t xml:space="preserve">2024-10</t>
        </is>
      </c>
      <c r="J14" s="11">
        <f>INDEX($C$5:$C$735,MATCH(I14,$D$5:$D$735,1))</f>
      </c>
      <c r="K14" s="18">
        <f>_xlfn.MINIFS($G$5:$G$735,$D$5:$D$735,I14)</f>
      </c>
      <c r="L14" s="7">
        <v>45596</v>
      </c>
      <c r="M14" s="11">
        <f>AVERAGEIFS($G$5:$G$735,$D$5:$D$735,I14)</f>
      </c>
    </row>
    <row r="15">
      <c r="A15" s="7">
        <v>45302</v>
      </c>
      <c r="B15" s="11">
        <f>SUMIFS(Flux_detail!$K$2:$K$403,Flux_detail!$A$2:$A$403,A15)</f>
      </c>
      <c r="C15" s="11">
        <f>C14+B15</f>
      </c>
      <c r="D15" s="0" t="inlineStr">
        <is>
          <t xml:space="preserve">2024-01</t>
        </is>
      </c>
      <c r="E15" s="0" t="inlineStr">
        <is>
          <t xml:space="preserve">2024</t>
        </is>
      </c>
      <c r="F15" s="17">
        <v>0</v>
      </c>
      <c r="G15" s="18">
        <f>C15+F15</f>
      </c>
      <c r="I15" s="0" t="inlineStr">
        <is>
          <t xml:space="preserve">2024-11</t>
        </is>
      </c>
      <c r="J15" s="11">
        <f>INDEX($C$5:$C$735,MATCH(I15,$D$5:$D$735,1))</f>
      </c>
      <c r="K15" s="18">
        <f>_xlfn.MINIFS($G$5:$G$735,$D$5:$D$735,I15)</f>
      </c>
      <c r="L15" s="7">
        <v>45606</v>
      </c>
      <c r="M15" s="11">
        <f>AVERAGEIFS($G$5:$G$735,$D$5:$D$735,I15)</f>
      </c>
    </row>
    <row r="16">
      <c r="A16" s="7">
        <v>45303</v>
      </c>
      <c r="B16" s="11">
        <f>SUMIFS(Flux_detail!$K$2:$K$403,Flux_detail!$A$2:$A$403,A16)</f>
      </c>
      <c r="C16" s="11">
        <f>C15+B16</f>
      </c>
      <c r="D16" s="0" t="inlineStr">
        <is>
          <t xml:space="preserve">2024-01</t>
        </is>
      </c>
      <c r="E16" s="0" t="inlineStr">
        <is>
          <t xml:space="preserve">2024</t>
        </is>
      </c>
      <c r="F16" s="17">
        <v>0</v>
      </c>
      <c r="G16" s="18">
        <f>C16+F16</f>
      </c>
      <c r="I16" s="0" t="inlineStr">
        <is>
          <t xml:space="preserve">2024-12</t>
        </is>
      </c>
      <c r="J16" s="11">
        <f>INDEX($C$5:$C$735,MATCH(I16,$D$5:$D$735,1))</f>
      </c>
      <c r="K16" s="18">
        <f>_xlfn.MINIFS($G$5:$G$735,$D$5:$D$735,I16)</f>
      </c>
      <c r="L16" s="7">
        <v>45657</v>
      </c>
      <c r="M16" s="11">
        <f>AVERAGEIFS($G$5:$G$735,$D$5:$D$735,I16)</f>
      </c>
    </row>
    <row r="17">
      <c r="A17" s="7">
        <v>45304</v>
      </c>
      <c r="B17" s="11">
        <f>SUMIFS(Flux_detail!$K$2:$K$403,Flux_detail!$A$2:$A$403,A17)</f>
      </c>
      <c r="C17" s="11">
        <f>C16+B17</f>
      </c>
      <c r="D17" s="0" t="inlineStr">
        <is>
          <t xml:space="preserve">2024-01</t>
        </is>
      </c>
      <c r="E17" s="0" t="inlineStr">
        <is>
          <t xml:space="preserve">2024</t>
        </is>
      </c>
      <c r="F17" s="17">
        <v>0</v>
      </c>
      <c r="G17" s="18">
        <f>C17+F17</f>
      </c>
      <c r="I17" s="0" t="inlineStr">
        <is>
          <t xml:space="preserve">2025-01</t>
        </is>
      </c>
      <c r="J17" s="11">
        <f>INDEX($C$5:$C$735,MATCH(I17,$D$5:$D$735,1))</f>
      </c>
      <c r="K17" s="18">
        <f>_xlfn.MINIFS($G$5:$G$735,$D$5:$D$735,I17)</f>
      </c>
      <c r="L17" s="7">
        <v>45688</v>
      </c>
      <c r="M17" s="11">
        <f>AVERAGEIFS($G$5:$G$735,$D$5:$D$735,I17)</f>
      </c>
    </row>
    <row r="18">
      <c r="A18" s="7">
        <v>45305</v>
      </c>
      <c r="B18" s="11">
        <f>SUMIFS(Flux_detail!$K$2:$K$403,Flux_detail!$A$2:$A$403,A18)</f>
      </c>
      <c r="C18" s="11">
        <f>C17+B18</f>
      </c>
      <c r="D18" s="0" t="inlineStr">
        <is>
          <t xml:space="preserve">2024-01</t>
        </is>
      </c>
      <c r="E18" s="0" t="inlineStr">
        <is>
          <t xml:space="preserve">2024</t>
        </is>
      </c>
      <c r="F18" s="17">
        <v>0</v>
      </c>
      <c r="G18" s="18">
        <f>C18+F18</f>
      </c>
      <c r="I18" s="0" t="inlineStr">
        <is>
          <t xml:space="preserve">2025-02</t>
        </is>
      </c>
      <c r="J18" s="11">
        <f>INDEX($C$5:$C$735,MATCH(I18,$D$5:$D$735,1))</f>
      </c>
      <c r="K18" s="18">
        <f>_xlfn.MINIFS($G$5:$G$735,$D$5:$D$735,I18)</f>
      </c>
      <c r="L18" s="7">
        <v>45716</v>
      </c>
      <c r="M18" s="11">
        <f>AVERAGEIFS($G$5:$G$735,$D$5:$D$735,I18)</f>
      </c>
    </row>
    <row r="19">
      <c r="A19" s="7">
        <v>45306</v>
      </c>
      <c r="B19" s="11">
        <f>SUMIFS(Flux_detail!$K$2:$K$403,Flux_detail!$A$2:$A$403,A19)</f>
      </c>
      <c r="C19" s="11">
        <f>C18+B19</f>
      </c>
      <c r="D19" s="0" t="inlineStr">
        <is>
          <t xml:space="preserve">2024-01</t>
        </is>
      </c>
      <c r="E19" s="0" t="inlineStr">
        <is>
          <t xml:space="preserve">2024</t>
        </is>
      </c>
      <c r="F19" s="17">
        <v>0</v>
      </c>
      <c r="G19" s="18">
        <f>C19+F19</f>
      </c>
      <c r="I19" s="0" t="inlineStr">
        <is>
          <t xml:space="preserve">2025-03</t>
        </is>
      </c>
      <c r="J19" s="11">
        <f>INDEX($C$5:$C$735,MATCH(I19,$D$5:$D$735,1))</f>
      </c>
      <c r="K19" s="18">
        <f>_xlfn.MINIFS($G$5:$G$735,$D$5:$D$735,I19)</f>
      </c>
      <c r="L19" s="7">
        <v>45740</v>
      </c>
      <c r="M19" s="11">
        <f>AVERAGEIFS($G$5:$G$735,$D$5:$D$735,I19)</f>
      </c>
    </row>
    <row r="20">
      <c r="A20" s="7">
        <v>45307</v>
      </c>
      <c r="B20" s="11">
        <f>SUMIFS(Flux_detail!$K$2:$K$403,Flux_detail!$A$2:$A$403,A20)</f>
      </c>
      <c r="C20" s="11">
        <f>C19+B20</f>
      </c>
      <c r="D20" s="0" t="inlineStr">
        <is>
          <t xml:space="preserve">2024-01</t>
        </is>
      </c>
      <c r="E20" s="0" t="inlineStr">
        <is>
          <t xml:space="preserve">2024</t>
        </is>
      </c>
      <c r="F20" s="17">
        <v>0</v>
      </c>
      <c r="G20" s="18">
        <f>C20+F20</f>
      </c>
      <c r="I20" s="0" t="inlineStr">
        <is>
          <t xml:space="preserve">2025-04</t>
        </is>
      </c>
      <c r="J20" s="11">
        <f>INDEX($C$5:$C$735,MATCH(I20,$D$5:$D$735,1))</f>
      </c>
      <c r="K20" s="18">
        <f>_xlfn.MINIFS($G$5:$G$735,$D$5:$D$735,I20)</f>
      </c>
      <c r="L20" s="7">
        <v>45777</v>
      </c>
      <c r="M20" s="11">
        <f>AVERAGEIFS($G$5:$G$735,$D$5:$D$735,I20)</f>
      </c>
    </row>
    <row r="21">
      <c r="A21" s="7">
        <v>45308</v>
      </c>
      <c r="B21" s="11">
        <f>SUMIFS(Flux_detail!$K$2:$K$403,Flux_detail!$A$2:$A$403,A21)</f>
      </c>
      <c r="C21" s="11">
        <f>C20+B21</f>
      </c>
      <c r="D21" s="0" t="inlineStr">
        <is>
          <t xml:space="preserve">2024-01</t>
        </is>
      </c>
      <c r="E21" s="0" t="inlineStr">
        <is>
          <t xml:space="preserve">2024</t>
        </is>
      </c>
      <c r="F21" s="17">
        <v>0</v>
      </c>
      <c r="G21" s="18">
        <f>C21+F21</f>
      </c>
      <c r="I21" s="0" t="inlineStr">
        <is>
          <t xml:space="preserve">2025-05</t>
        </is>
      </c>
      <c r="J21" s="11">
        <f>INDEX($C$5:$C$735,MATCH(I21,$D$5:$D$735,1))</f>
      </c>
      <c r="K21" s="18">
        <f>_xlfn.MINIFS($G$5:$G$735,$D$5:$D$735,I21)</f>
      </c>
      <c r="L21" s="7">
        <v>45796</v>
      </c>
      <c r="M21" s="11">
        <f>AVERAGEIFS($G$5:$G$735,$D$5:$D$735,I21)</f>
      </c>
    </row>
    <row r="22">
      <c r="A22" s="7">
        <v>45309</v>
      </c>
      <c r="B22" s="11">
        <f>SUMIFS(Flux_detail!$K$2:$K$403,Flux_detail!$A$2:$A$403,A22)</f>
      </c>
      <c r="C22" s="11">
        <f>C21+B22</f>
      </c>
      <c r="D22" s="0" t="inlineStr">
        <is>
          <t xml:space="preserve">2024-01</t>
        </is>
      </c>
      <c r="E22" s="0" t="inlineStr">
        <is>
          <t xml:space="preserve">2024</t>
        </is>
      </c>
      <c r="F22" s="17">
        <v>0</v>
      </c>
      <c r="G22" s="18">
        <f>C22+F22</f>
      </c>
      <c r="I22" s="0" t="inlineStr">
        <is>
          <t xml:space="preserve">2025-06</t>
        </is>
      </c>
      <c r="J22" s="11">
        <f>INDEX($C$5:$C$735,MATCH(I22,$D$5:$D$735,1))</f>
      </c>
      <c r="K22" s="18">
        <f>_xlfn.MINIFS($G$5:$G$735,$D$5:$D$735,I22)</f>
      </c>
      <c r="L22" s="7">
        <v>45809</v>
      </c>
      <c r="M22" s="11">
        <f>AVERAGEIFS($G$5:$G$735,$D$5:$D$735,I22)</f>
      </c>
    </row>
    <row r="23">
      <c r="A23" s="7">
        <v>45310</v>
      </c>
      <c r="B23" s="11">
        <f>SUMIFS(Flux_detail!$K$2:$K$403,Flux_detail!$A$2:$A$403,A23)</f>
      </c>
      <c r="C23" s="11">
        <f>C22+B23</f>
      </c>
      <c r="D23" s="0" t="inlineStr">
        <is>
          <t xml:space="preserve">2024-01</t>
        </is>
      </c>
      <c r="E23" s="0" t="inlineStr">
        <is>
          <t xml:space="preserve">2024</t>
        </is>
      </c>
      <c r="F23" s="17">
        <v>0</v>
      </c>
      <c r="G23" s="18">
        <f>C23+F23</f>
      </c>
      <c r="I23" s="0" t="inlineStr">
        <is>
          <t xml:space="preserve">2025-07</t>
        </is>
      </c>
      <c r="J23" s="11">
        <f>INDEX($C$5:$C$735,MATCH(I23,$D$5:$D$735,1))</f>
      </c>
      <c r="K23" s="18">
        <f>_xlfn.MINIFS($G$5:$G$735,$D$5:$D$735,I23)</f>
      </c>
      <c r="L23" s="7">
        <v>45846</v>
      </c>
      <c r="M23" s="11">
        <f>AVERAGEIFS($G$5:$G$735,$D$5:$D$735,I23)</f>
      </c>
    </row>
    <row r="24">
      <c r="A24" s="7">
        <v>45311</v>
      </c>
      <c r="B24" s="11">
        <f>SUMIFS(Flux_detail!$K$2:$K$403,Flux_detail!$A$2:$A$403,A24)</f>
      </c>
      <c r="C24" s="11">
        <f>C23+B24</f>
      </c>
      <c r="D24" s="0" t="inlineStr">
        <is>
          <t xml:space="preserve">2024-01</t>
        </is>
      </c>
      <c r="E24" s="0" t="inlineStr">
        <is>
          <t xml:space="preserve">2024</t>
        </is>
      </c>
      <c r="F24" s="17">
        <v>0</v>
      </c>
      <c r="G24" s="18">
        <f>C24+F24</f>
      </c>
      <c r="I24" s="0" t="inlineStr">
        <is>
          <t xml:space="preserve">2025-08</t>
        </is>
      </c>
      <c r="J24" s="11">
        <f>INDEX($C$5:$C$735,MATCH(I24,$D$5:$D$735,1))</f>
      </c>
      <c r="K24" s="18">
        <f>_xlfn.MINIFS($G$5:$G$735,$D$5:$D$735,I24)</f>
      </c>
      <c r="L24" s="7">
        <v>45884</v>
      </c>
      <c r="M24" s="11">
        <f>AVERAGEIFS($G$5:$G$735,$D$5:$D$735,I24)</f>
      </c>
    </row>
    <row r="25">
      <c r="A25" s="7">
        <v>45312</v>
      </c>
      <c r="B25" s="11">
        <f>SUMIFS(Flux_detail!$K$2:$K$403,Flux_detail!$A$2:$A$403,A25)</f>
      </c>
      <c r="C25" s="11">
        <f>C24+B25</f>
      </c>
      <c r="D25" s="0" t="inlineStr">
        <is>
          <t xml:space="preserve">2024-01</t>
        </is>
      </c>
      <c r="E25" s="0" t="inlineStr">
        <is>
          <t xml:space="preserve">2024</t>
        </is>
      </c>
      <c r="F25" s="17">
        <v>0</v>
      </c>
      <c r="G25" s="18">
        <f>C25+F25</f>
      </c>
      <c r="I25" s="0" t="inlineStr">
        <is>
          <t xml:space="preserve">2025-09</t>
        </is>
      </c>
      <c r="J25" s="11">
        <f>INDEX($C$5:$C$735,MATCH(I25,$D$5:$D$735,1))</f>
      </c>
      <c r="K25" s="18">
        <f>_xlfn.MINIFS($G$5:$G$735,$D$5:$D$735,I25)</f>
      </c>
      <c r="L25" s="7">
        <v>45930</v>
      </c>
      <c r="M25" s="11">
        <f>AVERAGEIFS($G$5:$G$735,$D$5:$D$735,I25)</f>
      </c>
    </row>
    <row r="26">
      <c r="A26" s="7">
        <v>45313</v>
      </c>
      <c r="B26" s="11">
        <f>SUMIFS(Flux_detail!$K$2:$K$403,Flux_detail!$A$2:$A$403,A26)</f>
      </c>
      <c r="C26" s="11">
        <f>C25+B26</f>
      </c>
      <c r="D26" s="0" t="inlineStr">
        <is>
          <t xml:space="preserve">2024-01</t>
        </is>
      </c>
      <c r="E26" s="0" t="inlineStr">
        <is>
          <t xml:space="preserve">2024</t>
        </is>
      </c>
      <c r="F26" s="17">
        <v>0</v>
      </c>
      <c r="G26" s="18">
        <f>C26+F26</f>
      </c>
      <c r="I26" s="0" t="inlineStr">
        <is>
          <t xml:space="preserve">2025-10</t>
        </is>
      </c>
      <c r="J26" s="11">
        <f>INDEX($C$5:$C$735,MATCH(I26,$D$5:$D$735,1))</f>
      </c>
      <c r="K26" s="18">
        <f>_xlfn.MINIFS($G$5:$G$735,$D$5:$D$735,I26)</f>
      </c>
      <c r="L26" s="7">
        <v>45931</v>
      </c>
      <c r="M26" s="11">
        <f>AVERAGEIFS($G$5:$G$735,$D$5:$D$735,I26)</f>
      </c>
    </row>
    <row r="27">
      <c r="A27" s="7">
        <v>45314</v>
      </c>
      <c r="B27" s="11">
        <f>SUMIFS(Flux_detail!$K$2:$K$403,Flux_detail!$A$2:$A$403,A27)</f>
      </c>
      <c r="C27" s="11">
        <f>C26+B27</f>
      </c>
      <c r="D27" s="0" t="inlineStr">
        <is>
          <t xml:space="preserve">2024-01</t>
        </is>
      </c>
      <c r="E27" s="0" t="inlineStr">
        <is>
          <t xml:space="preserve">2024</t>
        </is>
      </c>
      <c r="F27" s="17">
        <v>0</v>
      </c>
      <c r="G27" s="18">
        <f>C27+F27</f>
      </c>
      <c r="I27" s="0" t="inlineStr">
        <is>
          <t xml:space="preserve">2025-11</t>
        </is>
      </c>
      <c r="J27" s="11">
        <f>INDEX($C$5:$C$735,MATCH(I27,$D$5:$D$735,1))</f>
      </c>
      <c r="K27" s="18">
        <f>_xlfn.MINIFS($G$5:$G$735,$D$5:$D$735,I27)</f>
      </c>
      <c r="L27" s="7">
        <v>45965</v>
      </c>
      <c r="M27" s="11">
        <f>AVERAGEIFS($G$5:$G$735,$D$5:$D$735,I27)</f>
      </c>
    </row>
    <row r="28">
      <c r="A28" s="7">
        <v>45315</v>
      </c>
      <c r="B28" s="11">
        <f>SUMIFS(Flux_detail!$K$2:$K$403,Flux_detail!$A$2:$A$403,A28)</f>
      </c>
      <c r="C28" s="11">
        <f>C27+B28</f>
      </c>
      <c r="D28" s="0" t="inlineStr">
        <is>
          <t xml:space="preserve">2024-01</t>
        </is>
      </c>
      <c r="E28" s="0" t="inlineStr">
        <is>
          <t xml:space="preserve">2024</t>
        </is>
      </c>
      <c r="F28" s="17">
        <v>0</v>
      </c>
      <c r="G28" s="18">
        <f>C28+F28</f>
      </c>
      <c r="I28" s="0" t="inlineStr">
        <is>
          <t xml:space="preserve">2025-12</t>
        </is>
      </c>
      <c r="J28" s="11">
        <f>INDEX($C$5:$C$735,MATCH(I28,$D$5:$D$735,1))</f>
      </c>
      <c r="K28" s="18">
        <f>_xlfn.MINIFS($G$5:$G$735,$D$5:$D$735,I28)</f>
      </c>
      <c r="L28" s="7">
        <v>46022</v>
      </c>
      <c r="M28" s="11">
        <f>AVERAGEIFS($G$5:$G$735,$D$5:$D$735,I28)</f>
      </c>
    </row>
    <row r="29">
      <c r="A29" s="7">
        <v>45316</v>
      </c>
      <c r="B29" s="11">
        <f>SUMIFS(Flux_detail!$K$2:$K$403,Flux_detail!$A$2:$A$403,A29)</f>
      </c>
      <c r="C29" s="11">
        <f>C28+B29</f>
      </c>
      <c r="D29" s="0" t="inlineStr">
        <is>
          <t xml:space="preserve">2024-01</t>
        </is>
      </c>
      <c r="E29" s="0" t="inlineStr">
        <is>
          <t xml:space="preserve">2024</t>
        </is>
      </c>
      <c r="F29" s="17">
        <v>0</v>
      </c>
      <c r="G29" s="18">
        <f>C29+F29</f>
      </c>
    </row>
    <row r="30">
      <c r="A30" s="7">
        <v>45317</v>
      </c>
      <c r="B30" s="11">
        <f>SUMIFS(Flux_detail!$K$2:$K$403,Flux_detail!$A$2:$A$403,A30)</f>
      </c>
      <c r="C30" s="11">
        <f>C29+B30</f>
      </c>
      <c r="D30" s="0" t="inlineStr">
        <is>
          <t xml:space="preserve">2024-01</t>
        </is>
      </c>
      <c r="E30" s="0" t="inlineStr">
        <is>
          <t xml:space="preserve">2024</t>
        </is>
      </c>
      <c r="F30" s="17">
        <v>0</v>
      </c>
      <c r="G30" s="18">
        <f>C30+F30</f>
      </c>
      <c r="I30" s="2" t="inlineStr">
        <is>
          <t xml:space="preserve">Solde disponible = solde bancaire + fonds en transit (virements sortis d'un compte, pas encore arrivés sur l'autre). Le point bas se lit sur le disponible.</t>
        </is>
      </c>
    </row>
    <row r="31">
      <c r="A31" s="7">
        <v>45318</v>
      </c>
      <c r="B31" s="11">
        <f>SUMIFS(Flux_detail!$K$2:$K$403,Flux_detail!$A$2:$A$403,A31)</f>
      </c>
      <c r="C31" s="11">
        <f>C30+B31</f>
      </c>
      <c r="D31" s="0" t="inlineStr">
        <is>
          <t xml:space="preserve">2024-01</t>
        </is>
      </c>
      <c r="E31" s="0" t="inlineStr">
        <is>
          <t xml:space="preserve">2024</t>
        </is>
      </c>
      <c r="F31" s="17">
        <v>0</v>
      </c>
      <c r="G31" s="18">
        <f>C31+F31</f>
      </c>
    </row>
    <row r="32">
      <c r="A32" s="7">
        <v>45319</v>
      </c>
      <c r="B32" s="11">
        <f>SUMIFS(Flux_detail!$K$2:$K$403,Flux_detail!$A$2:$A$403,A32)</f>
      </c>
      <c r="C32" s="11">
        <f>C31+B32</f>
      </c>
      <c r="D32" s="0" t="inlineStr">
        <is>
          <t xml:space="preserve">2024-01</t>
        </is>
      </c>
      <c r="E32" s="0" t="inlineStr">
        <is>
          <t xml:space="preserve">2024</t>
        </is>
      </c>
      <c r="F32" s="17">
        <v>0</v>
      </c>
      <c r="G32" s="18">
        <f>C32+F32</f>
      </c>
    </row>
    <row r="33">
      <c r="A33" s="7">
        <v>45320</v>
      </c>
      <c r="B33" s="11">
        <f>SUMIFS(Flux_detail!$K$2:$K$403,Flux_detail!$A$2:$A$403,A33)</f>
      </c>
      <c r="C33" s="11">
        <f>C32+B33</f>
      </c>
      <c r="D33" s="0" t="inlineStr">
        <is>
          <t xml:space="preserve">2024-01</t>
        </is>
      </c>
      <c r="E33" s="0" t="inlineStr">
        <is>
          <t xml:space="preserve">2024</t>
        </is>
      </c>
      <c r="F33" s="17">
        <v>0</v>
      </c>
      <c r="G33" s="18">
        <f>C33+F33</f>
      </c>
    </row>
    <row r="34">
      <c r="A34" s="7">
        <v>45321</v>
      </c>
      <c r="B34" s="11">
        <f>SUMIFS(Flux_detail!$K$2:$K$403,Flux_detail!$A$2:$A$403,A34)</f>
      </c>
      <c r="C34" s="11">
        <f>C33+B34</f>
      </c>
      <c r="D34" s="0" t="inlineStr">
        <is>
          <t xml:space="preserve">2024-01</t>
        </is>
      </c>
      <c r="E34" s="0" t="inlineStr">
        <is>
          <t xml:space="preserve">2024</t>
        </is>
      </c>
      <c r="F34" s="17">
        <v>0</v>
      </c>
      <c r="G34" s="18">
        <f>C34+F34</f>
      </c>
    </row>
    <row r="35">
      <c r="A35" s="7">
        <v>45322</v>
      </c>
      <c r="B35" s="11">
        <f>SUMIFS(Flux_detail!$K$2:$K$403,Flux_detail!$A$2:$A$403,A35)</f>
      </c>
      <c r="C35" s="11">
        <f>C34+B35</f>
      </c>
      <c r="D35" s="0" t="inlineStr">
        <is>
          <t xml:space="preserve">2024-01</t>
        </is>
      </c>
      <c r="E35" s="0" t="inlineStr">
        <is>
          <t xml:space="preserve">2024</t>
        </is>
      </c>
      <c r="F35" s="17">
        <v>0</v>
      </c>
      <c r="G35" s="18">
        <f>C35+F35</f>
      </c>
    </row>
    <row r="36">
      <c r="A36" s="7">
        <v>45323</v>
      </c>
      <c r="B36" s="11">
        <f>SUMIFS(Flux_detail!$K$2:$K$403,Flux_detail!$A$2:$A$403,A36)</f>
      </c>
      <c r="C36" s="11">
        <f>C35+B36</f>
      </c>
      <c r="D36" s="0" t="inlineStr">
        <is>
          <t xml:space="preserve">2024-02</t>
        </is>
      </c>
      <c r="E36" s="0" t="inlineStr">
        <is>
          <t xml:space="preserve">2024</t>
        </is>
      </c>
      <c r="F36" s="17">
        <v>0</v>
      </c>
      <c r="G36" s="18">
        <f>C36+F36</f>
      </c>
    </row>
    <row r="37">
      <c r="A37" s="7">
        <v>45324</v>
      </c>
      <c r="B37" s="11">
        <f>SUMIFS(Flux_detail!$K$2:$K$403,Flux_detail!$A$2:$A$403,A37)</f>
      </c>
      <c r="C37" s="11">
        <f>C36+B37</f>
      </c>
      <c r="D37" s="0" t="inlineStr">
        <is>
          <t xml:space="preserve">2024-02</t>
        </is>
      </c>
      <c r="E37" s="0" t="inlineStr">
        <is>
          <t xml:space="preserve">2024</t>
        </is>
      </c>
      <c r="F37" s="17">
        <v>0</v>
      </c>
      <c r="G37" s="18">
        <f>C37+F37</f>
      </c>
    </row>
    <row r="38">
      <c r="A38" s="7">
        <v>45325</v>
      </c>
      <c r="B38" s="11">
        <f>SUMIFS(Flux_detail!$K$2:$K$403,Flux_detail!$A$2:$A$403,A38)</f>
      </c>
      <c r="C38" s="11">
        <f>C37+B38</f>
      </c>
      <c r="D38" s="0" t="inlineStr">
        <is>
          <t xml:space="preserve">2024-02</t>
        </is>
      </c>
      <c r="E38" s="0" t="inlineStr">
        <is>
          <t xml:space="preserve">2024</t>
        </is>
      </c>
      <c r="F38" s="17">
        <v>0</v>
      </c>
      <c r="G38" s="18">
        <f>C38+F38</f>
      </c>
    </row>
    <row r="39">
      <c r="A39" s="7">
        <v>45326</v>
      </c>
      <c r="B39" s="11">
        <f>SUMIFS(Flux_detail!$K$2:$K$403,Flux_detail!$A$2:$A$403,A39)</f>
      </c>
      <c r="C39" s="11">
        <f>C38+B39</f>
      </c>
      <c r="D39" s="0" t="inlineStr">
        <is>
          <t xml:space="preserve">2024-02</t>
        </is>
      </c>
      <c r="E39" s="0" t="inlineStr">
        <is>
          <t xml:space="preserve">2024</t>
        </is>
      </c>
      <c r="F39" s="17">
        <v>0</v>
      </c>
      <c r="G39" s="18">
        <f>C39+F39</f>
      </c>
    </row>
    <row r="40">
      <c r="A40" s="7">
        <v>45327</v>
      </c>
      <c r="B40" s="11">
        <f>SUMIFS(Flux_detail!$K$2:$K$403,Flux_detail!$A$2:$A$403,A40)</f>
      </c>
      <c r="C40" s="11">
        <f>C39+B40</f>
      </c>
      <c r="D40" s="0" t="inlineStr">
        <is>
          <t xml:space="preserve">2024-02</t>
        </is>
      </c>
      <c r="E40" s="0" t="inlineStr">
        <is>
          <t xml:space="preserve">2024</t>
        </is>
      </c>
      <c r="F40" s="17">
        <v>0</v>
      </c>
      <c r="G40" s="18">
        <f>C40+F40</f>
      </c>
    </row>
    <row r="41">
      <c r="A41" s="7">
        <v>45328</v>
      </c>
      <c r="B41" s="11">
        <f>SUMIFS(Flux_detail!$K$2:$K$403,Flux_detail!$A$2:$A$403,A41)</f>
      </c>
      <c r="C41" s="11">
        <f>C40+B41</f>
      </c>
      <c r="D41" s="0" t="inlineStr">
        <is>
          <t xml:space="preserve">2024-02</t>
        </is>
      </c>
      <c r="E41" s="0" t="inlineStr">
        <is>
          <t xml:space="preserve">2024</t>
        </is>
      </c>
      <c r="F41" s="17">
        <v>0</v>
      </c>
      <c r="G41" s="18">
        <f>C41+F41</f>
      </c>
    </row>
    <row r="42">
      <c r="A42" s="7">
        <v>45329</v>
      </c>
      <c r="B42" s="11">
        <f>SUMIFS(Flux_detail!$K$2:$K$403,Flux_detail!$A$2:$A$403,A42)</f>
      </c>
      <c r="C42" s="11">
        <f>C41+B42</f>
      </c>
      <c r="D42" s="0" t="inlineStr">
        <is>
          <t xml:space="preserve">2024-02</t>
        </is>
      </c>
      <c r="E42" s="0" t="inlineStr">
        <is>
          <t xml:space="preserve">2024</t>
        </is>
      </c>
      <c r="F42" s="17">
        <v>0</v>
      </c>
      <c r="G42" s="18">
        <f>C42+F42</f>
      </c>
    </row>
    <row r="43">
      <c r="A43" s="7">
        <v>45330</v>
      </c>
      <c r="B43" s="11">
        <f>SUMIFS(Flux_detail!$K$2:$K$403,Flux_detail!$A$2:$A$403,A43)</f>
      </c>
      <c r="C43" s="11">
        <f>C42+B43</f>
      </c>
      <c r="D43" s="0" t="inlineStr">
        <is>
          <t xml:space="preserve">2024-02</t>
        </is>
      </c>
      <c r="E43" s="0" t="inlineStr">
        <is>
          <t xml:space="preserve">2024</t>
        </is>
      </c>
      <c r="F43" s="17">
        <v>0</v>
      </c>
      <c r="G43" s="18">
        <f>C43+F43</f>
      </c>
    </row>
    <row r="44">
      <c r="A44" s="7">
        <v>45331</v>
      </c>
      <c r="B44" s="11">
        <f>SUMIFS(Flux_detail!$K$2:$K$403,Flux_detail!$A$2:$A$403,A44)</f>
      </c>
      <c r="C44" s="11">
        <f>C43+B44</f>
      </c>
      <c r="D44" s="0" t="inlineStr">
        <is>
          <t xml:space="preserve">2024-02</t>
        </is>
      </c>
      <c r="E44" s="0" t="inlineStr">
        <is>
          <t xml:space="preserve">2024</t>
        </is>
      </c>
      <c r="F44" s="17">
        <v>0</v>
      </c>
      <c r="G44" s="18">
        <f>C44+F44</f>
      </c>
    </row>
    <row r="45">
      <c r="A45" s="7">
        <v>45332</v>
      </c>
      <c r="B45" s="11">
        <f>SUMIFS(Flux_detail!$K$2:$K$403,Flux_detail!$A$2:$A$403,A45)</f>
      </c>
      <c r="C45" s="11">
        <f>C44+B45</f>
      </c>
      <c r="D45" s="0" t="inlineStr">
        <is>
          <t xml:space="preserve">2024-02</t>
        </is>
      </c>
      <c r="E45" s="0" t="inlineStr">
        <is>
          <t xml:space="preserve">2024</t>
        </is>
      </c>
      <c r="F45" s="17">
        <v>0</v>
      </c>
      <c r="G45" s="18">
        <f>C45+F45</f>
      </c>
    </row>
    <row r="46">
      <c r="A46" s="7">
        <v>45333</v>
      </c>
      <c r="B46" s="11">
        <f>SUMIFS(Flux_detail!$K$2:$K$403,Flux_detail!$A$2:$A$403,A46)</f>
      </c>
      <c r="C46" s="11">
        <f>C45+B46</f>
      </c>
      <c r="D46" s="0" t="inlineStr">
        <is>
          <t xml:space="preserve">2024-02</t>
        </is>
      </c>
      <c r="E46" s="0" t="inlineStr">
        <is>
          <t xml:space="preserve">2024</t>
        </is>
      </c>
      <c r="F46" s="17">
        <v>0</v>
      </c>
      <c r="G46" s="18">
        <f>C46+F46</f>
      </c>
    </row>
    <row r="47">
      <c r="A47" s="7">
        <v>45334</v>
      </c>
      <c r="B47" s="11">
        <f>SUMIFS(Flux_detail!$K$2:$K$403,Flux_detail!$A$2:$A$403,A47)</f>
      </c>
      <c r="C47" s="11">
        <f>C46+B47</f>
      </c>
      <c r="D47" s="0" t="inlineStr">
        <is>
          <t xml:space="preserve">2024-02</t>
        </is>
      </c>
      <c r="E47" s="0" t="inlineStr">
        <is>
          <t xml:space="preserve">2024</t>
        </is>
      </c>
      <c r="F47" s="17">
        <v>0</v>
      </c>
      <c r="G47" s="18">
        <f>C47+F47</f>
      </c>
    </row>
    <row r="48">
      <c r="A48" s="7">
        <v>45335</v>
      </c>
      <c r="B48" s="11">
        <f>SUMIFS(Flux_detail!$K$2:$K$403,Flux_detail!$A$2:$A$403,A48)</f>
      </c>
      <c r="C48" s="11">
        <f>C47+B48</f>
      </c>
      <c r="D48" s="0" t="inlineStr">
        <is>
          <t xml:space="preserve">2024-02</t>
        </is>
      </c>
      <c r="E48" s="0" t="inlineStr">
        <is>
          <t xml:space="preserve">2024</t>
        </is>
      </c>
      <c r="F48" s="17">
        <v>0</v>
      </c>
      <c r="G48" s="18">
        <f>C48+F48</f>
      </c>
    </row>
    <row r="49">
      <c r="A49" s="7">
        <v>45336</v>
      </c>
      <c r="B49" s="11">
        <f>SUMIFS(Flux_detail!$K$2:$K$403,Flux_detail!$A$2:$A$403,A49)</f>
      </c>
      <c r="C49" s="11">
        <f>C48+B49</f>
      </c>
      <c r="D49" s="0" t="inlineStr">
        <is>
          <t xml:space="preserve">2024-02</t>
        </is>
      </c>
      <c r="E49" s="0" t="inlineStr">
        <is>
          <t xml:space="preserve">2024</t>
        </is>
      </c>
      <c r="F49" s="17">
        <v>0</v>
      </c>
      <c r="G49" s="18">
        <f>C49+F49</f>
      </c>
    </row>
    <row r="50">
      <c r="A50" s="7">
        <v>45337</v>
      </c>
      <c r="B50" s="11">
        <f>SUMIFS(Flux_detail!$K$2:$K$403,Flux_detail!$A$2:$A$403,A50)</f>
      </c>
      <c r="C50" s="11">
        <f>C49+B50</f>
      </c>
      <c r="D50" s="0" t="inlineStr">
        <is>
          <t xml:space="preserve">2024-02</t>
        </is>
      </c>
      <c r="E50" s="0" t="inlineStr">
        <is>
          <t xml:space="preserve">2024</t>
        </is>
      </c>
      <c r="F50" s="17">
        <v>0</v>
      </c>
      <c r="G50" s="18">
        <f>C50+F50</f>
      </c>
    </row>
    <row r="51">
      <c r="A51" s="7">
        <v>45338</v>
      </c>
      <c r="B51" s="11">
        <f>SUMIFS(Flux_detail!$K$2:$K$403,Flux_detail!$A$2:$A$403,A51)</f>
      </c>
      <c r="C51" s="11">
        <f>C50+B51</f>
      </c>
      <c r="D51" s="0" t="inlineStr">
        <is>
          <t xml:space="preserve">2024-02</t>
        </is>
      </c>
      <c r="E51" s="0" t="inlineStr">
        <is>
          <t xml:space="preserve">2024</t>
        </is>
      </c>
      <c r="F51" s="17">
        <v>0</v>
      </c>
      <c r="G51" s="18">
        <f>C51+F51</f>
      </c>
    </row>
    <row r="52">
      <c r="A52" s="7">
        <v>45339</v>
      </c>
      <c r="B52" s="11">
        <f>SUMIFS(Flux_detail!$K$2:$K$403,Flux_detail!$A$2:$A$403,A52)</f>
      </c>
      <c r="C52" s="11">
        <f>C51+B52</f>
      </c>
      <c r="D52" s="0" t="inlineStr">
        <is>
          <t xml:space="preserve">2024-02</t>
        </is>
      </c>
      <c r="E52" s="0" t="inlineStr">
        <is>
          <t xml:space="preserve">2024</t>
        </is>
      </c>
      <c r="F52" s="17">
        <v>0</v>
      </c>
      <c r="G52" s="18">
        <f>C52+F52</f>
      </c>
    </row>
    <row r="53">
      <c r="A53" s="7">
        <v>45340</v>
      </c>
      <c r="B53" s="11">
        <f>SUMIFS(Flux_detail!$K$2:$K$403,Flux_detail!$A$2:$A$403,A53)</f>
      </c>
      <c r="C53" s="11">
        <f>C52+B53</f>
      </c>
      <c r="D53" s="0" t="inlineStr">
        <is>
          <t xml:space="preserve">2024-02</t>
        </is>
      </c>
      <c r="E53" s="0" t="inlineStr">
        <is>
          <t xml:space="preserve">2024</t>
        </is>
      </c>
      <c r="F53" s="17">
        <v>0</v>
      </c>
      <c r="G53" s="18">
        <f>C53+F53</f>
      </c>
    </row>
    <row r="54">
      <c r="A54" s="7">
        <v>45341</v>
      </c>
      <c r="B54" s="11">
        <f>SUMIFS(Flux_detail!$K$2:$K$403,Flux_detail!$A$2:$A$403,A54)</f>
      </c>
      <c r="C54" s="11">
        <f>C53+B54</f>
      </c>
      <c r="D54" s="0" t="inlineStr">
        <is>
          <t xml:space="preserve">2024-02</t>
        </is>
      </c>
      <c r="E54" s="0" t="inlineStr">
        <is>
          <t xml:space="preserve">2024</t>
        </is>
      </c>
      <c r="F54" s="17">
        <v>0</v>
      </c>
      <c r="G54" s="18">
        <f>C54+F54</f>
      </c>
    </row>
    <row r="55">
      <c r="A55" s="7">
        <v>45342</v>
      </c>
      <c r="B55" s="11">
        <f>SUMIFS(Flux_detail!$K$2:$K$403,Flux_detail!$A$2:$A$403,A55)</f>
      </c>
      <c r="C55" s="11">
        <f>C54+B55</f>
      </c>
      <c r="D55" s="0" t="inlineStr">
        <is>
          <t xml:space="preserve">2024-02</t>
        </is>
      </c>
      <c r="E55" s="0" t="inlineStr">
        <is>
          <t xml:space="preserve">2024</t>
        </is>
      </c>
      <c r="F55" s="17">
        <v>0</v>
      </c>
      <c r="G55" s="18">
        <f>C55+F55</f>
      </c>
    </row>
    <row r="56">
      <c r="A56" s="7">
        <v>45343</v>
      </c>
      <c r="B56" s="11">
        <f>SUMIFS(Flux_detail!$K$2:$K$403,Flux_detail!$A$2:$A$403,A56)</f>
      </c>
      <c r="C56" s="11">
        <f>C55+B56</f>
      </c>
      <c r="D56" s="0" t="inlineStr">
        <is>
          <t xml:space="preserve">2024-02</t>
        </is>
      </c>
      <c r="E56" s="0" t="inlineStr">
        <is>
          <t xml:space="preserve">2024</t>
        </is>
      </c>
      <c r="F56" s="17">
        <v>0</v>
      </c>
      <c r="G56" s="18">
        <f>C56+F56</f>
      </c>
    </row>
    <row r="57">
      <c r="A57" s="7">
        <v>45344</v>
      </c>
      <c r="B57" s="11">
        <f>SUMIFS(Flux_detail!$K$2:$K$403,Flux_detail!$A$2:$A$403,A57)</f>
      </c>
      <c r="C57" s="11">
        <f>C56+B57</f>
      </c>
      <c r="D57" s="0" t="inlineStr">
        <is>
          <t xml:space="preserve">2024-02</t>
        </is>
      </c>
      <c r="E57" s="0" t="inlineStr">
        <is>
          <t xml:space="preserve">2024</t>
        </is>
      </c>
      <c r="F57" s="17">
        <v>0</v>
      </c>
      <c r="G57" s="18">
        <f>C57+F57</f>
      </c>
    </row>
    <row r="58">
      <c r="A58" s="7">
        <v>45345</v>
      </c>
      <c r="B58" s="11">
        <f>SUMIFS(Flux_detail!$K$2:$K$403,Flux_detail!$A$2:$A$403,A58)</f>
      </c>
      <c r="C58" s="11">
        <f>C57+B58</f>
      </c>
      <c r="D58" s="0" t="inlineStr">
        <is>
          <t xml:space="preserve">2024-02</t>
        </is>
      </c>
      <c r="E58" s="0" t="inlineStr">
        <is>
          <t xml:space="preserve">2024</t>
        </is>
      </c>
      <c r="F58" s="17">
        <v>0</v>
      </c>
      <c r="G58" s="18">
        <f>C58+F58</f>
      </c>
    </row>
    <row r="59">
      <c r="A59" s="7">
        <v>45346</v>
      </c>
      <c r="B59" s="11">
        <f>SUMIFS(Flux_detail!$K$2:$K$403,Flux_detail!$A$2:$A$403,A59)</f>
      </c>
      <c r="C59" s="11">
        <f>C58+B59</f>
      </c>
      <c r="D59" s="0" t="inlineStr">
        <is>
          <t xml:space="preserve">2024-02</t>
        </is>
      </c>
      <c r="E59" s="0" t="inlineStr">
        <is>
          <t xml:space="preserve">2024</t>
        </is>
      </c>
      <c r="F59" s="17">
        <v>0</v>
      </c>
      <c r="G59" s="18">
        <f>C59+F59</f>
      </c>
    </row>
    <row r="60">
      <c r="A60" s="7">
        <v>45347</v>
      </c>
      <c r="B60" s="11">
        <f>SUMIFS(Flux_detail!$K$2:$K$403,Flux_detail!$A$2:$A$403,A60)</f>
      </c>
      <c r="C60" s="11">
        <f>C59+B60</f>
      </c>
      <c r="D60" s="0" t="inlineStr">
        <is>
          <t xml:space="preserve">2024-02</t>
        </is>
      </c>
      <c r="E60" s="0" t="inlineStr">
        <is>
          <t xml:space="preserve">2024</t>
        </is>
      </c>
      <c r="F60" s="17">
        <v>0</v>
      </c>
      <c r="G60" s="18">
        <f>C60+F60</f>
      </c>
    </row>
    <row r="61">
      <c r="A61" s="7">
        <v>45348</v>
      </c>
      <c r="B61" s="11">
        <f>SUMIFS(Flux_detail!$K$2:$K$403,Flux_detail!$A$2:$A$403,A61)</f>
      </c>
      <c r="C61" s="11">
        <f>C60+B61</f>
      </c>
      <c r="D61" s="0" t="inlineStr">
        <is>
          <t xml:space="preserve">2024-02</t>
        </is>
      </c>
      <c r="E61" s="0" t="inlineStr">
        <is>
          <t xml:space="preserve">2024</t>
        </is>
      </c>
      <c r="F61" s="17">
        <v>0</v>
      </c>
      <c r="G61" s="18">
        <f>C61+F61</f>
      </c>
    </row>
    <row r="62">
      <c r="A62" s="7">
        <v>45349</v>
      </c>
      <c r="B62" s="11">
        <f>SUMIFS(Flux_detail!$K$2:$K$403,Flux_detail!$A$2:$A$403,A62)</f>
      </c>
      <c r="C62" s="11">
        <f>C61+B62</f>
      </c>
      <c r="D62" s="0" t="inlineStr">
        <is>
          <t xml:space="preserve">2024-02</t>
        </is>
      </c>
      <c r="E62" s="0" t="inlineStr">
        <is>
          <t xml:space="preserve">2024</t>
        </is>
      </c>
      <c r="F62" s="17">
        <v>0</v>
      </c>
      <c r="G62" s="18">
        <f>C62+F62</f>
      </c>
    </row>
    <row r="63">
      <c r="A63" s="7">
        <v>45350</v>
      </c>
      <c r="B63" s="11">
        <f>SUMIFS(Flux_detail!$K$2:$K$403,Flux_detail!$A$2:$A$403,A63)</f>
      </c>
      <c r="C63" s="11">
        <f>C62+B63</f>
      </c>
      <c r="D63" s="0" t="inlineStr">
        <is>
          <t xml:space="preserve">2024-02</t>
        </is>
      </c>
      <c r="E63" s="0" t="inlineStr">
        <is>
          <t xml:space="preserve">2024</t>
        </is>
      </c>
      <c r="F63" s="17">
        <v>0</v>
      </c>
      <c r="G63" s="18">
        <f>C63+F63</f>
      </c>
    </row>
    <row r="64">
      <c r="A64" s="7">
        <v>45351</v>
      </c>
      <c r="B64" s="11">
        <f>SUMIFS(Flux_detail!$K$2:$K$403,Flux_detail!$A$2:$A$403,A64)</f>
      </c>
      <c r="C64" s="11">
        <f>C63+B64</f>
      </c>
      <c r="D64" s="0" t="inlineStr">
        <is>
          <t xml:space="preserve">2024-02</t>
        </is>
      </c>
      <c r="E64" s="0" t="inlineStr">
        <is>
          <t xml:space="preserve">2024</t>
        </is>
      </c>
      <c r="F64" s="17">
        <v>0</v>
      </c>
      <c r="G64" s="18">
        <f>C64+F64</f>
      </c>
    </row>
    <row r="65">
      <c r="A65" s="7">
        <v>45352</v>
      </c>
      <c r="B65" s="11">
        <f>SUMIFS(Flux_detail!$K$2:$K$403,Flux_detail!$A$2:$A$403,A65)</f>
      </c>
      <c r="C65" s="11">
        <f>C64+B65</f>
      </c>
      <c r="D65" s="0" t="inlineStr">
        <is>
          <t xml:space="preserve">2024-03</t>
        </is>
      </c>
      <c r="E65" s="0" t="inlineStr">
        <is>
          <t xml:space="preserve">2024</t>
        </is>
      </c>
      <c r="F65" s="17">
        <v>0</v>
      </c>
      <c r="G65" s="18">
        <f>C65+F65</f>
      </c>
    </row>
    <row r="66">
      <c r="A66" s="7">
        <v>45353</v>
      </c>
      <c r="B66" s="11">
        <f>SUMIFS(Flux_detail!$K$2:$K$403,Flux_detail!$A$2:$A$403,A66)</f>
      </c>
      <c r="C66" s="11">
        <f>C65+B66</f>
      </c>
      <c r="D66" s="0" t="inlineStr">
        <is>
          <t xml:space="preserve">2024-03</t>
        </is>
      </c>
      <c r="E66" s="0" t="inlineStr">
        <is>
          <t xml:space="preserve">2024</t>
        </is>
      </c>
      <c r="F66" s="17">
        <v>0</v>
      </c>
      <c r="G66" s="18">
        <f>C66+F66</f>
      </c>
    </row>
    <row r="67">
      <c r="A67" s="7">
        <v>45354</v>
      </c>
      <c r="B67" s="11">
        <f>SUMIFS(Flux_detail!$K$2:$K$403,Flux_detail!$A$2:$A$403,A67)</f>
      </c>
      <c r="C67" s="11">
        <f>C66+B67</f>
      </c>
      <c r="D67" s="0" t="inlineStr">
        <is>
          <t xml:space="preserve">2024-03</t>
        </is>
      </c>
      <c r="E67" s="0" t="inlineStr">
        <is>
          <t xml:space="preserve">2024</t>
        </is>
      </c>
      <c r="F67" s="17">
        <v>0</v>
      </c>
      <c r="G67" s="18">
        <f>C67+F67</f>
      </c>
    </row>
    <row r="68">
      <c r="A68" s="7">
        <v>45355</v>
      </c>
      <c r="B68" s="11">
        <f>SUMIFS(Flux_detail!$K$2:$K$403,Flux_detail!$A$2:$A$403,A68)</f>
      </c>
      <c r="C68" s="11">
        <f>C67+B68</f>
      </c>
      <c r="D68" s="0" t="inlineStr">
        <is>
          <t xml:space="preserve">2024-03</t>
        </is>
      </c>
      <c r="E68" s="0" t="inlineStr">
        <is>
          <t xml:space="preserve">2024</t>
        </is>
      </c>
      <c r="F68" s="17">
        <v>0</v>
      </c>
      <c r="G68" s="18">
        <f>C68+F68</f>
      </c>
    </row>
    <row r="69">
      <c r="A69" s="7">
        <v>45356</v>
      </c>
      <c r="B69" s="11">
        <f>SUMIFS(Flux_detail!$K$2:$K$403,Flux_detail!$A$2:$A$403,A69)</f>
      </c>
      <c r="C69" s="11">
        <f>C68+B69</f>
      </c>
      <c r="D69" s="0" t="inlineStr">
        <is>
          <t xml:space="preserve">2024-03</t>
        </is>
      </c>
      <c r="E69" s="0" t="inlineStr">
        <is>
          <t xml:space="preserve">2024</t>
        </is>
      </c>
      <c r="F69" s="17">
        <v>0</v>
      </c>
      <c r="G69" s="18">
        <f>C69+F69</f>
      </c>
    </row>
    <row r="70">
      <c r="A70" s="7">
        <v>45357</v>
      </c>
      <c r="B70" s="11">
        <f>SUMIFS(Flux_detail!$K$2:$K$403,Flux_detail!$A$2:$A$403,A70)</f>
      </c>
      <c r="C70" s="11">
        <f>C69+B70</f>
      </c>
      <c r="D70" s="0" t="inlineStr">
        <is>
          <t xml:space="preserve">2024-03</t>
        </is>
      </c>
      <c r="E70" s="0" t="inlineStr">
        <is>
          <t xml:space="preserve">2024</t>
        </is>
      </c>
      <c r="F70" s="17">
        <v>0</v>
      </c>
      <c r="G70" s="18">
        <f>C70+F70</f>
      </c>
    </row>
    <row r="71">
      <c r="A71" s="7">
        <v>45358</v>
      </c>
      <c r="B71" s="11">
        <f>SUMIFS(Flux_detail!$K$2:$K$403,Flux_detail!$A$2:$A$403,A71)</f>
      </c>
      <c r="C71" s="11">
        <f>C70+B71</f>
      </c>
      <c r="D71" s="0" t="inlineStr">
        <is>
          <t xml:space="preserve">2024-03</t>
        </is>
      </c>
      <c r="E71" s="0" t="inlineStr">
        <is>
          <t xml:space="preserve">2024</t>
        </is>
      </c>
      <c r="F71" s="17">
        <v>0</v>
      </c>
      <c r="G71" s="18">
        <f>C71+F71</f>
      </c>
    </row>
    <row r="72">
      <c r="A72" s="7">
        <v>45359</v>
      </c>
      <c r="B72" s="11">
        <f>SUMIFS(Flux_detail!$K$2:$K$403,Flux_detail!$A$2:$A$403,A72)</f>
      </c>
      <c r="C72" s="11">
        <f>C71+B72</f>
      </c>
      <c r="D72" s="0" t="inlineStr">
        <is>
          <t xml:space="preserve">2024-03</t>
        </is>
      </c>
      <c r="E72" s="0" t="inlineStr">
        <is>
          <t xml:space="preserve">2024</t>
        </is>
      </c>
      <c r="F72" s="17">
        <v>0</v>
      </c>
      <c r="G72" s="18">
        <f>C72+F72</f>
      </c>
    </row>
    <row r="73">
      <c r="A73" s="7">
        <v>45360</v>
      </c>
      <c r="B73" s="11">
        <f>SUMIFS(Flux_detail!$K$2:$K$403,Flux_detail!$A$2:$A$403,A73)</f>
      </c>
      <c r="C73" s="11">
        <f>C72+B73</f>
      </c>
      <c r="D73" s="0" t="inlineStr">
        <is>
          <t xml:space="preserve">2024-03</t>
        </is>
      </c>
      <c r="E73" s="0" t="inlineStr">
        <is>
          <t xml:space="preserve">2024</t>
        </is>
      </c>
      <c r="F73" s="17">
        <v>0</v>
      </c>
      <c r="G73" s="18">
        <f>C73+F73</f>
      </c>
    </row>
    <row r="74">
      <c r="A74" s="7">
        <v>45361</v>
      </c>
      <c r="B74" s="11">
        <f>SUMIFS(Flux_detail!$K$2:$K$403,Flux_detail!$A$2:$A$403,A74)</f>
      </c>
      <c r="C74" s="11">
        <f>C73+B74</f>
      </c>
      <c r="D74" s="0" t="inlineStr">
        <is>
          <t xml:space="preserve">2024-03</t>
        </is>
      </c>
      <c r="E74" s="0" t="inlineStr">
        <is>
          <t xml:space="preserve">2024</t>
        </is>
      </c>
      <c r="F74" s="17">
        <v>0</v>
      </c>
      <c r="G74" s="18">
        <f>C74+F74</f>
      </c>
    </row>
    <row r="75">
      <c r="A75" s="7">
        <v>45362</v>
      </c>
      <c r="B75" s="11">
        <f>SUMIFS(Flux_detail!$K$2:$K$403,Flux_detail!$A$2:$A$403,A75)</f>
      </c>
      <c r="C75" s="11">
        <f>C74+B75</f>
      </c>
      <c r="D75" s="0" t="inlineStr">
        <is>
          <t xml:space="preserve">2024-03</t>
        </is>
      </c>
      <c r="E75" s="0" t="inlineStr">
        <is>
          <t xml:space="preserve">2024</t>
        </is>
      </c>
      <c r="F75" s="17">
        <v>0</v>
      </c>
      <c r="G75" s="18">
        <f>C75+F75</f>
      </c>
    </row>
    <row r="76">
      <c r="A76" s="7">
        <v>45363</v>
      </c>
      <c r="B76" s="11">
        <f>SUMIFS(Flux_detail!$K$2:$K$403,Flux_detail!$A$2:$A$403,A76)</f>
      </c>
      <c r="C76" s="11">
        <f>C75+B76</f>
      </c>
      <c r="D76" s="0" t="inlineStr">
        <is>
          <t xml:space="preserve">2024-03</t>
        </is>
      </c>
      <c r="E76" s="0" t="inlineStr">
        <is>
          <t xml:space="preserve">2024</t>
        </is>
      </c>
      <c r="F76" s="17">
        <v>0</v>
      </c>
      <c r="G76" s="18">
        <f>C76+F76</f>
      </c>
    </row>
    <row r="77">
      <c r="A77" s="7">
        <v>45364</v>
      </c>
      <c r="B77" s="11">
        <f>SUMIFS(Flux_detail!$K$2:$K$403,Flux_detail!$A$2:$A$403,A77)</f>
      </c>
      <c r="C77" s="11">
        <f>C76+B77</f>
      </c>
      <c r="D77" s="0" t="inlineStr">
        <is>
          <t xml:space="preserve">2024-03</t>
        </is>
      </c>
      <c r="E77" s="0" t="inlineStr">
        <is>
          <t xml:space="preserve">2024</t>
        </is>
      </c>
      <c r="F77" s="17">
        <v>0</v>
      </c>
      <c r="G77" s="18">
        <f>C77+F77</f>
      </c>
    </row>
    <row r="78">
      <c r="A78" s="7">
        <v>45365</v>
      </c>
      <c r="B78" s="11">
        <f>SUMIFS(Flux_detail!$K$2:$K$403,Flux_detail!$A$2:$A$403,A78)</f>
      </c>
      <c r="C78" s="11">
        <f>C77+B78</f>
      </c>
      <c r="D78" s="0" t="inlineStr">
        <is>
          <t xml:space="preserve">2024-03</t>
        </is>
      </c>
      <c r="E78" s="0" t="inlineStr">
        <is>
          <t xml:space="preserve">2024</t>
        </is>
      </c>
      <c r="F78" s="17">
        <v>0</v>
      </c>
      <c r="G78" s="18">
        <f>C78+F78</f>
      </c>
    </row>
    <row r="79">
      <c r="A79" s="7">
        <v>45366</v>
      </c>
      <c r="B79" s="11">
        <f>SUMIFS(Flux_detail!$K$2:$K$403,Flux_detail!$A$2:$A$403,A79)</f>
      </c>
      <c r="C79" s="11">
        <f>C78+B79</f>
      </c>
      <c r="D79" s="0" t="inlineStr">
        <is>
          <t xml:space="preserve">2024-03</t>
        </is>
      </c>
      <c r="E79" s="0" t="inlineStr">
        <is>
          <t xml:space="preserve">2024</t>
        </is>
      </c>
      <c r="F79" s="17">
        <v>0</v>
      </c>
      <c r="G79" s="18">
        <f>C79+F79</f>
      </c>
    </row>
    <row r="80">
      <c r="A80" s="7">
        <v>45367</v>
      </c>
      <c r="B80" s="11">
        <f>SUMIFS(Flux_detail!$K$2:$K$403,Flux_detail!$A$2:$A$403,A80)</f>
      </c>
      <c r="C80" s="11">
        <f>C79+B80</f>
      </c>
      <c r="D80" s="0" t="inlineStr">
        <is>
          <t xml:space="preserve">2024-03</t>
        </is>
      </c>
      <c r="E80" s="0" t="inlineStr">
        <is>
          <t xml:space="preserve">2024</t>
        </is>
      </c>
      <c r="F80" s="17">
        <v>0</v>
      </c>
      <c r="G80" s="18">
        <f>C80+F80</f>
      </c>
    </row>
    <row r="81">
      <c r="A81" s="7">
        <v>45368</v>
      </c>
      <c r="B81" s="11">
        <f>SUMIFS(Flux_detail!$K$2:$K$403,Flux_detail!$A$2:$A$403,A81)</f>
      </c>
      <c r="C81" s="11">
        <f>C80+B81</f>
      </c>
      <c r="D81" s="0" t="inlineStr">
        <is>
          <t xml:space="preserve">2024-03</t>
        </is>
      </c>
      <c r="E81" s="0" t="inlineStr">
        <is>
          <t xml:space="preserve">2024</t>
        </is>
      </c>
      <c r="F81" s="17">
        <v>0</v>
      </c>
      <c r="G81" s="18">
        <f>C81+F81</f>
      </c>
    </row>
    <row r="82">
      <c r="A82" s="7">
        <v>45369</v>
      </c>
      <c r="B82" s="11">
        <f>SUMIFS(Flux_detail!$K$2:$K$403,Flux_detail!$A$2:$A$403,A82)</f>
      </c>
      <c r="C82" s="11">
        <f>C81+B82</f>
      </c>
      <c r="D82" s="0" t="inlineStr">
        <is>
          <t xml:space="preserve">2024-03</t>
        </is>
      </c>
      <c r="E82" s="0" t="inlineStr">
        <is>
          <t xml:space="preserve">2024</t>
        </is>
      </c>
      <c r="F82" s="17">
        <v>0</v>
      </c>
      <c r="G82" s="18">
        <f>C82+F82</f>
      </c>
    </row>
    <row r="83">
      <c r="A83" s="7">
        <v>45370</v>
      </c>
      <c r="B83" s="11">
        <f>SUMIFS(Flux_detail!$K$2:$K$403,Flux_detail!$A$2:$A$403,A83)</f>
      </c>
      <c r="C83" s="11">
        <f>C82+B83</f>
      </c>
      <c r="D83" s="0" t="inlineStr">
        <is>
          <t xml:space="preserve">2024-03</t>
        </is>
      </c>
      <c r="E83" s="0" t="inlineStr">
        <is>
          <t xml:space="preserve">2024</t>
        </is>
      </c>
      <c r="F83" s="17">
        <v>0</v>
      </c>
      <c r="G83" s="18">
        <f>C83+F83</f>
      </c>
    </row>
    <row r="84">
      <c r="A84" s="7">
        <v>45371</v>
      </c>
      <c r="B84" s="11">
        <f>SUMIFS(Flux_detail!$K$2:$K$403,Flux_detail!$A$2:$A$403,A84)</f>
      </c>
      <c r="C84" s="11">
        <f>C83+B84</f>
      </c>
      <c r="D84" s="0" t="inlineStr">
        <is>
          <t xml:space="preserve">2024-03</t>
        </is>
      </c>
      <c r="E84" s="0" t="inlineStr">
        <is>
          <t xml:space="preserve">2024</t>
        </is>
      </c>
      <c r="F84" s="17">
        <v>0</v>
      </c>
      <c r="G84" s="18">
        <f>C84+F84</f>
      </c>
    </row>
    <row r="85">
      <c r="A85" s="7">
        <v>45372</v>
      </c>
      <c r="B85" s="11">
        <f>SUMIFS(Flux_detail!$K$2:$K$403,Flux_detail!$A$2:$A$403,A85)</f>
      </c>
      <c r="C85" s="11">
        <f>C84+B85</f>
      </c>
      <c r="D85" s="0" t="inlineStr">
        <is>
          <t xml:space="preserve">2024-03</t>
        </is>
      </c>
      <c r="E85" s="0" t="inlineStr">
        <is>
          <t xml:space="preserve">2024</t>
        </is>
      </c>
      <c r="F85" s="17">
        <v>0</v>
      </c>
      <c r="G85" s="18">
        <f>C85+F85</f>
      </c>
    </row>
    <row r="86">
      <c r="A86" s="7">
        <v>45373</v>
      </c>
      <c r="B86" s="11">
        <f>SUMIFS(Flux_detail!$K$2:$K$403,Flux_detail!$A$2:$A$403,A86)</f>
      </c>
      <c r="C86" s="11">
        <f>C85+B86</f>
      </c>
      <c r="D86" s="0" t="inlineStr">
        <is>
          <t xml:space="preserve">2024-03</t>
        </is>
      </c>
      <c r="E86" s="0" t="inlineStr">
        <is>
          <t xml:space="preserve">2024</t>
        </is>
      </c>
      <c r="F86" s="17">
        <v>0</v>
      </c>
      <c r="G86" s="18">
        <f>C86+F86</f>
      </c>
    </row>
    <row r="87">
      <c r="A87" s="7">
        <v>45374</v>
      </c>
      <c r="B87" s="11">
        <f>SUMIFS(Flux_detail!$K$2:$K$403,Flux_detail!$A$2:$A$403,A87)</f>
      </c>
      <c r="C87" s="11">
        <f>C86+B87</f>
      </c>
      <c r="D87" s="0" t="inlineStr">
        <is>
          <t xml:space="preserve">2024-03</t>
        </is>
      </c>
      <c r="E87" s="0" t="inlineStr">
        <is>
          <t xml:space="preserve">2024</t>
        </is>
      </c>
      <c r="F87" s="17">
        <v>0</v>
      </c>
      <c r="G87" s="18">
        <f>C87+F87</f>
      </c>
    </row>
    <row r="88">
      <c r="A88" s="7">
        <v>45375</v>
      </c>
      <c r="B88" s="11">
        <f>SUMIFS(Flux_detail!$K$2:$K$403,Flux_detail!$A$2:$A$403,A88)</f>
      </c>
      <c r="C88" s="11">
        <f>C87+B88</f>
      </c>
      <c r="D88" s="0" t="inlineStr">
        <is>
          <t xml:space="preserve">2024-03</t>
        </is>
      </c>
      <c r="E88" s="0" t="inlineStr">
        <is>
          <t xml:space="preserve">2024</t>
        </is>
      </c>
      <c r="F88" s="17">
        <v>0</v>
      </c>
      <c r="G88" s="18">
        <f>C88+F88</f>
      </c>
    </row>
    <row r="89">
      <c r="A89" s="7">
        <v>45376</v>
      </c>
      <c r="B89" s="11">
        <f>SUMIFS(Flux_detail!$K$2:$K$403,Flux_detail!$A$2:$A$403,A89)</f>
      </c>
      <c r="C89" s="11">
        <f>C88+B89</f>
      </c>
      <c r="D89" s="0" t="inlineStr">
        <is>
          <t xml:space="preserve">2024-03</t>
        </is>
      </c>
      <c r="E89" s="0" t="inlineStr">
        <is>
          <t xml:space="preserve">2024</t>
        </is>
      </c>
      <c r="F89" s="17">
        <v>0</v>
      </c>
      <c r="G89" s="18">
        <f>C89+F89</f>
      </c>
    </row>
    <row r="90">
      <c r="A90" s="7">
        <v>45377</v>
      </c>
      <c r="B90" s="11">
        <f>SUMIFS(Flux_detail!$K$2:$K$403,Flux_detail!$A$2:$A$403,A90)</f>
      </c>
      <c r="C90" s="11">
        <f>C89+B90</f>
      </c>
      <c r="D90" s="0" t="inlineStr">
        <is>
          <t xml:space="preserve">2024-03</t>
        </is>
      </c>
      <c r="E90" s="0" t="inlineStr">
        <is>
          <t xml:space="preserve">2024</t>
        </is>
      </c>
      <c r="F90" s="17">
        <v>0</v>
      </c>
      <c r="G90" s="18">
        <f>C90+F90</f>
      </c>
    </row>
    <row r="91">
      <c r="A91" s="7">
        <v>45378</v>
      </c>
      <c r="B91" s="11">
        <f>SUMIFS(Flux_detail!$K$2:$K$403,Flux_detail!$A$2:$A$403,A91)</f>
      </c>
      <c r="C91" s="11">
        <f>C90+B91</f>
      </c>
      <c r="D91" s="0" t="inlineStr">
        <is>
          <t xml:space="preserve">2024-03</t>
        </is>
      </c>
      <c r="E91" s="0" t="inlineStr">
        <is>
          <t xml:space="preserve">2024</t>
        </is>
      </c>
      <c r="F91" s="17">
        <v>0</v>
      </c>
      <c r="G91" s="18">
        <f>C91+F91</f>
      </c>
    </row>
    <row r="92">
      <c r="A92" s="7">
        <v>45379</v>
      </c>
      <c r="B92" s="11">
        <f>SUMIFS(Flux_detail!$K$2:$K$403,Flux_detail!$A$2:$A$403,A92)</f>
      </c>
      <c r="C92" s="11">
        <f>C91+B92</f>
      </c>
      <c r="D92" s="0" t="inlineStr">
        <is>
          <t xml:space="preserve">2024-03</t>
        </is>
      </c>
      <c r="E92" s="0" t="inlineStr">
        <is>
          <t xml:space="preserve">2024</t>
        </is>
      </c>
      <c r="F92" s="17">
        <v>0</v>
      </c>
      <c r="G92" s="18">
        <f>C92+F92</f>
      </c>
    </row>
    <row r="93">
      <c r="A93" s="7">
        <v>45380</v>
      </c>
      <c r="B93" s="11">
        <f>SUMIFS(Flux_detail!$K$2:$K$403,Flux_detail!$A$2:$A$403,A93)</f>
      </c>
      <c r="C93" s="11">
        <f>C92+B93</f>
      </c>
      <c r="D93" s="0" t="inlineStr">
        <is>
          <t xml:space="preserve">2024-03</t>
        </is>
      </c>
      <c r="E93" s="0" t="inlineStr">
        <is>
          <t xml:space="preserve">2024</t>
        </is>
      </c>
      <c r="F93" s="17">
        <v>0</v>
      </c>
      <c r="G93" s="18">
        <f>C93+F93</f>
      </c>
    </row>
    <row r="94">
      <c r="A94" s="7">
        <v>45381</v>
      </c>
      <c r="B94" s="11">
        <f>SUMIFS(Flux_detail!$K$2:$K$403,Flux_detail!$A$2:$A$403,A94)</f>
      </c>
      <c r="C94" s="11">
        <f>C93+B94</f>
      </c>
      <c r="D94" s="0" t="inlineStr">
        <is>
          <t xml:space="preserve">2024-03</t>
        </is>
      </c>
      <c r="E94" s="0" t="inlineStr">
        <is>
          <t xml:space="preserve">2024</t>
        </is>
      </c>
      <c r="F94" s="17">
        <v>0</v>
      </c>
      <c r="G94" s="18">
        <f>C94+F94</f>
      </c>
    </row>
    <row r="95">
      <c r="A95" s="7">
        <v>45382</v>
      </c>
      <c r="B95" s="11">
        <f>SUMIFS(Flux_detail!$K$2:$K$403,Flux_detail!$A$2:$A$403,A95)</f>
      </c>
      <c r="C95" s="11">
        <f>C94+B95</f>
      </c>
      <c r="D95" s="0" t="inlineStr">
        <is>
          <t xml:space="preserve">2024-03</t>
        </is>
      </c>
      <c r="E95" s="0" t="inlineStr">
        <is>
          <t xml:space="preserve">2024</t>
        </is>
      </c>
      <c r="F95" s="17">
        <v>0</v>
      </c>
      <c r="G95" s="18">
        <f>C95+F95</f>
      </c>
    </row>
    <row r="96">
      <c r="A96" s="7">
        <v>45383</v>
      </c>
      <c r="B96" s="11">
        <f>SUMIFS(Flux_detail!$K$2:$K$403,Flux_detail!$A$2:$A$403,A96)</f>
      </c>
      <c r="C96" s="11">
        <f>C95+B96</f>
      </c>
      <c r="D96" s="0" t="inlineStr">
        <is>
          <t xml:space="preserve">2024-04</t>
        </is>
      </c>
      <c r="E96" s="0" t="inlineStr">
        <is>
          <t xml:space="preserve">2024</t>
        </is>
      </c>
      <c r="F96" s="17">
        <v>0</v>
      </c>
      <c r="G96" s="18">
        <f>C96+F96</f>
      </c>
    </row>
    <row r="97">
      <c r="A97" s="7">
        <v>45384</v>
      </c>
      <c r="B97" s="11">
        <f>SUMIFS(Flux_detail!$K$2:$K$403,Flux_detail!$A$2:$A$403,A97)</f>
      </c>
      <c r="C97" s="11">
        <f>C96+B97</f>
      </c>
      <c r="D97" s="0" t="inlineStr">
        <is>
          <t xml:space="preserve">2024-04</t>
        </is>
      </c>
      <c r="E97" s="0" t="inlineStr">
        <is>
          <t xml:space="preserve">2024</t>
        </is>
      </c>
      <c r="F97" s="17">
        <v>0</v>
      </c>
      <c r="G97" s="18">
        <f>C97+F97</f>
      </c>
    </row>
    <row r="98">
      <c r="A98" s="7">
        <v>45385</v>
      </c>
      <c r="B98" s="11">
        <f>SUMIFS(Flux_detail!$K$2:$K$403,Flux_detail!$A$2:$A$403,A98)</f>
      </c>
      <c r="C98" s="11">
        <f>C97+B98</f>
      </c>
      <c r="D98" s="0" t="inlineStr">
        <is>
          <t xml:space="preserve">2024-04</t>
        </is>
      </c>
      <c r="E98" s="0" t="inlineStr">
        <is>
          <t xml:space="preserve">2024</t>
        </is>
      </c>
      <c r="F98" s="17">
        <v>0</v>
      </c>
      <c r="G98" s="18">
        <f>C98+F98</f>
      </c>
    </row>
    <row r="99">
      <c r="A99" s="7">
        <v>45386</v>
      </c>
      <c r="B99" s="11">
        <f>SUMIFS(Flux_detail!$K$2:$K$403,Flux_detail!$A$2:$A$403,A99)</f>
      </c>
      <c r="C99" s="11">
        <f>C98+B99</f>
      </c>
      <c r="D99" s="0" t="inlineStr">
        <is>
          <t xml:space="preserve">2024-04</t>
        </is>
      </c>
      <c r="E99" s="0" t="inlineStr">
        <is>
          <t xml:space="preserve">2024</t>
        </is>
      </c>
      <c r="F99" s="17">
        <v>0</v>
      </c>
      <c r="G99" s="18">
        <f>C99+F99</f>
      </c>
    </row>
    <row r="100">
      <c r="A100" s="7">
        <v>45387</v>
      </c>
      <c r="B100" s="11">
        <f>SUMIFS(Flux_detail!$K$2:$K$403,Flux_detail!$A$2:$A$403,A100)</f>
      </c>
      <c r="C100" s="11">
        <f>C99+B100</f>
      </c>
      <c r="D100" s="0" t="inlineStr">
        <is>
          <t xml:space="preserve">2024-04</t>
        </is>
      </c>
      <c r="E100" s="0" t="inlineStr">
        <is>
          <t xml:space="preserve">2024</t>
        </is>
      </c>
      <c r="F100" s="17">
        <v>0</v>
      </c>
      <c r="G100" s="18">
        <f>C100+F100</f>
      </c>
    </row>
    <row r="101">
      <c r="A101" s="7">
        <v>45388</v>
      </c>
      <c r="B101" s="11">
        <f>SUMIFS(Flux_detail!$K$2:$K$403,Flux_detail!$A$2:$A$403,A101)</f>
      </c>
      <c r="C101" s="11">
        <f>C100+B101</f>
      </c>
      <c r="D101" s="0" t="inlineStr">
        <is>
          <t xml:space="preserve">2024-04</t>
        </is>
      </c>
      <c r="E101" s="0" t="inlineStr">
        <is>
          <t xml:space="preserve">2024</t>
        </is>
      </c>
      <c r="F101" s="17">
        <v>0</v>
      </c>
      <c r="G101" s="18">
        <f>C101+F101</f>
      </c>
    </row>
    <row r="102">
      <c r="A102" s="7">
        <v>45389</v>
      </c>
      <c r="B102" s="11">
        <f>SUMIFS(Flux_detail!$K$2:$K$403,Flux_detail!$A$2:$A$403,A102)</f>
      </c>
      <c r="C102" s="11">
        <f>C101+B102</f>
      </c>
      <c r="D102" s="0" t="inlineStr">
        <is>
          <t xml:space="preserve">2024-04</t>
        </is>
      </c>
      <c r="E102" s="0" t="inlineStr">
        <is>
          <t xml:space="preserve">2024</t>
        </is>
      </c>
      <c r="F102" s="17">
        <v>0</v>
      </c>
      <c r="G102" s="18">
        <f>C102+F102</f>
      </c>
    </row>
    <row r="103">
      <c r="A103" s="7">
        <v>45390</v>
      </c>
      <c r="B103" s="11">
        <f>SUMIFS(Flux_detail!$K$2:$K$403,Flux_detail!$A$2:$A$403,A103)</f>
      </c>
      <c r="C103" s="11">
        <f>C102+B103</f>
      </c>
      <c r="D103" s="0" t="inlineStr">
        <is>
          <t xml:space="preserve">2024-04</t>
        </is>
      </c>
      <c r="E103" s="0" t="inlineStr">
        <is>
          <t xml:space="preserve">2024</t>
        </is>
      </c>
      <c r="F103" s="17">
        <v>0</v>
      </c>
      <c r="G103" s="18">
        <f>C103+F103</f>
      </c>
    </row>
    <row r="104">
      <c r="A104" s="7">
        <v>45391</v>
      </c>
      <c r="B104" s="11">
        <f>SUMIFS(Flux_detail!$K$2:$K$403,Flux_detail!$A$2:$A$403,A104)</f>
      </c>
      <c r="C104" s="11">
        <f>C103+B104</f>
      </c>
      <c r="D104" s="0" t="inlineStr">
        <is>
          <t xml:space="preserve">2024-04</t>
        </is>
      </c>
      <c r="E104" s="0" t="inlineStr">
        <is>
          <t xml:space="preserve">2024</t>
        </is>
      </c>
      <c r="F104" s="17">
        <v>0</v>
      </c>
      <c r="G104" s="18">
        <f>C104+F104</f>
      </c>
    </row>
    <row r="105">
      <c r="A105" s="7">
        <v>45392</v>
      </c>
      <c r="B105" s="11">
        <f>SUMIFS(Flux_detail!$K$2:$K$403,Flux_detail!$A$2:$A$403,A105)</f>
      </c>
      <c r="C105" s="11">
        <f>C104+B105</f>
      </c>
      <c r="D105" s="0" t="inlineStr">
        <is>
          <t xml:space="preserve">2024-04</t>
        </is>
      </c>
      <c r="E105" s="0" t="inlineStr">
        <is>
          <t xml:space="preserve">2024</t>
        </is>
      </c>
      <c r="F105" s="17">
        <v>0</v>
      </c>
      <c r="G105" s="18">
        <f>C105+F105</f>
      </c>
    </row>
    <row r="106">
      <c r="A106" s="7">
        <v>45393</v>
      </c>
      <c r="B106" s="11">
        <f>SUMIFS(Flux_detail!$K$2:$K$403,Flux_detail!$A$2:$A$403,A106)</f>
      </c>
      <c r="C106" s="11">
        <f>C105+B106</f>
      </c>
      <c r="D106" s="0" t="inlineStr">
        <is>
          <t xml:space="preserve">2024-04</t>
        </is>
      </c>
      <c r="E106" s="0" t="inlineStr">
        <is>
          <t xml:space="preserve">2024</t>
        </is>
      </c>
      <c r="F106" s="17">
        <v>0</v>
      </c>
      <c r="G106" s="18">
        <f>C106+F106</f>
      </c>
    </row>
    <row r="107">
      <c r="A107" s="7">
        <v>45394</v>
      </c>
      <c r="B107" s="11">
        <f>SUMIFS(Flux_detail!$K$2:$K$403,Flux_detail!$A$2:$A$403,A107)</f>
      </c>
      <c r="C107" s="11">
        <f>C106+B107</f>
      </c>
      <c r="D107" s="0" t="inlineStr">
        <is>
          <t xml:space="preserve">2024-04</t>
        </is>
      </c>
      <c r="E107" s="0" t="inlineStr">
        <is>
          <t xml:space="preserve">2024</t>
        </is>
      </c>
      <c r="F107" s="17">
        <v>0</v>
      </c>
      <c r="G107" s="18">
        <f>C107+F107</f>
      </c>
    </row>
    <row r="108">
      <c r="A108" s="7">
        <v>45395</v>
      </c>
      <c r="B108" s="11">
        <f>SUMIFS(Flux_detail!$K$2:$K$403,Flux_detail!$A$2:$A$403,A108)</f>
      </c>
      <c r="C108" s="11">
        <f>C107+B108</f>
      </c>
      <c r="D108" s="0" t="inlineStr">
        <is>
          <t xml:space="preserve">2024-04</t>
        </is>
      </c>
      <c r="E108" s="0" t="inlineStr">
        <is>
          <t xml:space="preserve">2024</t>
        </is>
      </c>
      <c r="F108" s="17">
        <v>0</v>
      </c>
      <c r="G108" s="18">
        <f>C108+F108</f>
      </c>
    </row>
    <row r="109">
      <c r="A109" s="7">
        <v>45396</v>
      </c>
      <c r="B109" s="11">
        <f>SUMIFS(Flux_detail!$K$2:$K$403,Flux_detail!$A$2:$A$403,A109)</f>
      </c>
      <c r="C109" s="11">
        <f>C108+B109</f>
      </c>
      <c r="D109" s="0" t="inlineStr">
        <is>
          <t xml:space="preserve">2024-04</t>
        </is>
      </c>
      <c r="E109" s="0" t="inlineStr">
        <is>
          <t xml:space="preserve">2024</t>
        </is>
      </c>
      <c r="F109" s="17">
        <v>0</v>
      </c>
      <c r="G109" s="18">
        <f>C109+F109</f>
      </c>
    </row>
    <row r="110">
      <c r="A110" s="7">
        <v>45397</v>
      </c>
      <c r="B110" s="11">
        <f>SUMIFS(Flux_detail!$K$2:$K$403,Flux_detail!$A$2:$A$403,A110)</f>
      </c>
      <c r="C110" s="11">
        <f>C109+B110</f>
      </c>
      <c r="D110" s="0" t="inlineStr">
        <is>
          <t xml:space="preserve">2024-04</t>
        </is>
      </c>
      <c r="E110" s="0" t="inlineStr">
        <is>
          <t xml:space="preserve">2024</t>
        </is>
      </c>
      <c r="F110" s="17">
        <v>0</v>
      </c>
      <c r="G110" s="18">
        <f>C110+F110</f>
      </c>
    </row>
    <row r="111">
      <c r="A111" s="7">
        <v>45398</v>
      </c>
      <c r="B111" s="11">
        <f>SUMIFS(Flux_detail!$K$2:$K$403,Flux_detail!$A$2:$A$403,A111)</f>
      </c>
      <c r="C111" s="11">
        <f>C110+B111</f>
      </c>
      <c r="D111" s="0" t="inlineStr">
        <is>
          <t xml:space="preserve">2024-04</t>
        </is>
      </c>
      <c r="E111" s="0" t="inlineStr">
        <is>
          <t xml:space="preserve">2024</t>
        </is>
      </c>
      <c r="F111" s="17">
        <v>0</v>
      </c>
      <c r="G111" s="18">
        <f>C111+F111</f>
      </c>
    </row>
    <row r="112">
      <c r="A112" s="7">
        <v>45399</v>
      </c>
      <c r="B112" s="11">
        <f>SUMIFS(Flux_detail!$K$2:$K$403,Flux_detail!$A$2:$A$403,A112)</f>
      </c>
      <c r="C112" s="11">
        <f>C111+B112</f>
      </c>
      <c r="D112" s="0" t="inlineStr">
        <is>
          <t xml:space="preserve">2024-04</t>
        </is>
      </c>
      <c r="E112" s="0" t="inlineStr">
        <is>
          <t xml:space="preserve">2024</t>
        </is>
      </c>
      <c r="F112" s="17">
        <v>0</v>
      </c>
      <c r="G112" s="18">
        <f>C112+F112</f>
      </c>
    </row>
    <row r="113">
      <c r="A113" s="7">
        <v>45400</v>
      </c>
      <c r="B113" s="11">
        <f>SUMIFS(Flux_detail!$K$2:$K$403,Flux_detail!$A$2:$A$403,A113)</f>
      </c>
      <c r="C113" s="11">
        <f>C112+B113</f>
      </c>
      <c r="D113" s="0" t="inlineStr">
        <is>
          <t xml:space="preserve">2024-04</t>
        </is>
      </c>
      <c r="E113" s="0" t="inlineStr">
        <is>
          <t xml:space="preserve">2024</t>
        </is>
      </c>
      <c r="F113" s="17">
        <v>0</v>
      </c>
      <c r="G113" s="18">
        <f>C113+F113</f>
      </c>
    </row>
    <row r="114">
      <c r="A114" s="7">
        <v>45401</v>
      </c>
      <c r="B114" s="11">
        <f>SUMIFS(Flux_detail!$K$2:$K$403,Flux_detail!$A$2:$A$403,A114)</f>
      </c>
      <c r="C114" s="11">
        <f>C113+B114</f>
      </c>
      <c r="D114" s="0" t="inlineStr">
        <is>
          <t xml:space="preserve">2024-04</t>
        </is>
      </c>
      <c r="E114" s="0" t="inlineStr">
        <is>
          <t xml:space="preserve">2024</t>
        </is>
      </c>
      <c r="F114" s="17">
        <v>0</v>
      </c>
      <c r="G114" s="18">
        <f>C114+F114</f>
      </c>
    </row>
    <row r="115">
      <c r="A115" s="7">
        <v>45402</v>
      </c>
      <c r="B115" s="11">
        <f>SUMIFS(Flux_detail!$K$2:$K$403,Flux_detail!$A$2:$A$403,A115)</f>
      </c>
      <c r="C115" s="11">
        <f>C114+B115</f>
      </c>
      <c r="D115" s="0" t="inlineStr">
        <is>
          <t xml:space="preserve">2024-04</t>
        </is>
      </c>
      <c r="E115" s="0" t="inlineStr">
        <is>
          <t xml:space="preserve">2024</t>
        </is>
      </c>
      <c r="F115" s="17">
        <v>0</v>
      </c>
      <c r="G115" s="18">
        <f>C115+F115</f>
      </c>
    </row>
    <row r="116">
      <c r="A116" s="7">
        <v>45403</v>
      </c>
      <c r="B116" s="11">
        <f>SUMIFS(Flux_detail!$K$2:$K$403,Flux_detail!$A$2:$A$403,A116)</f>
      </c>
      <c r="C116" s="11">
        <f>C115+B116</f>
      </c>
      <c r="D116" s="0" t="inlineStr">
        <is>
          <t xml:space="preserve">2024-04</t>
        </is>
      </c>
      <c r="E116" s="0" t="inlineStr">
        <is>
          <t xml:space="preserve">2024</t>
        </is>
      </c>
      <c r="F116" s="17">
        <v>0</v>
      </c>
      <c r="G116" s="18">
        <f>C116+F116</f>
      </c>
    </row>
    <row r="117">
      <c r="A117" s="7">
        <v>45404</v>
      </c>
      <c r="B117" s="11">
        <f>SUMIFS(Flux_detail!$K$2:$K$403,Flux_detail!$A$2:$A$403,A117)</f>
      </c>
      <c r="C117" s="11">
        <f>C116+B117</f>
      </c>
      <c r="D117" s="0" t="inlineStr">
        <is>
          <t xml:space="preserve">2024-04</t>
        </is>
      </c>
      <c r="E117" s="0" t="inlineStr">
        <is>
          <t xml:space="preserve">2024</t>
        </is>
      </c>
      <c r="F117" s="17">
        <v>0</v>
      </c>
      <c r="G117" s="18">
        <f>C117+F117</f>
      </c>
    </row>
    <row r="118">
      <c r="A118" s="7">
        <v>45405</v>
      </c>
      <c r="B118" s="11">
        <f>SUMIFS(Flux_detail!$K$2:$K$403,Flux_detail!$A$2:$A$403,A118)</f>
      </c>
      <c r="C118" s="11">
        <f>C117+B118</f>
      </c>
      <c r="D118" s="0" t="inlineStr">
        <is>
          <t xml:space="preserve">2024-04</t>
        </is>
      </c>
      <c r="E118" s="0" t="inlineStr">
        <is>
          <t xml:space="preserve">2024</t>
        </is>
      </c>
      <c r="F118" s="17">
        <v>0</v>
      </c>
      <c r="G118" s="18">
        <f>C118+F118</f>
      </c>
    </row>
    <row r="119">
      <c r="A119" s="7">
        <v>45406</v>
      </c>
      <c r="B119" s="11">
        <f>SUMIFS(Flux_detail!$K$2:$K$403,Flux_detail!$A$2:$A$403,A119)</f>
      </c>
      <c r="C119" s="11">
        <f>C118+B119</f>
      </c>
      <c r="D119" s="0" t="inlineStr">
        <is>
          <t xml:space="preserve">2024-04</t>
        </is>
      </c>
      <c r="E119" s="0" t="inlineStr">
        <is>
          <t xml:space="preserve">2024</t>
        </is>
      </c>
      <c r="F119" s="17">
        <v>0</v>
      </c>
      <c r="G119" s="18">
        <f>C119+F119</f>
      </c>
    </row>
    <row r="120">
      <c r="A120" s="7">
        <v>45407</v>
      </c>
      <c r="B120" s="11">
        <f>SUMIFS(Flux_detail!$K$2:$K$403,Flux_detail!$A$2:$A$403,A120)</f>
      </c>
      <c r="C120" s="11">
        <f>C119+B120</f>
      </c>
      <c r="D120" s="0" t="inlineStr">
        <is>
          <t xml:space="preserve">2024-04</t>
        </is>
      </c>
      <c r="E120" s="0" t="inlineStr">
        <is>
          <t xml:space="preserve">2024</t>
        </is>
      </c>
      <c r="F120" s="17">
        <v>0</v>
      </c>
      <c r="G120" s="18">
        <f>C120+F120</f>
      </c>
    </row>
    <row r="121">
      <c r="A121" s="7">
        <v>45408</v>
      </c>
      <c r="B121" s="11">
        <f>SUMIFS(Flux_detail!$K$2:$K$403,Flux_detail!$A$2:$A$403,A121)</f>
      </c>
      <c r="C121" s="11">
        <f>C120+B121</f>
      </c>
      <c r="D121" s="0" t="inlineStr">
        <is>
          <t xml:space="preserve">2024-04</t>
        </is>
      </c>
      <c r="E121" s="0" t="inlineStr">
        <is>
          <t xml:space="preserve">2024</t>
        </is>
      </c>
      <c r="F121" s="17">
        <v>0</v>
      </c>
      <c r="G121" s="18">
        <f>C121+F121</f>
      </c>
    </row>
    <row r="122">
      <c r="A122" s="7">
        <v>45409</v>
      </c>
      <c r="B122" s="11">
        <f>SUMIFS(Flux_detail!$K$2:$K$403,Flux_detail!$A$2:$A$403,A122)</f>
      </c>
      <c r="C122" s="11">
        <f>C121+B122</f>
      </c>
      <c r="D122" s="0" t="inlineStr">
        <is>
          <t xml:space="preserve">2024-04</t>
        </is>
      </c>
      <c r="E122" s="0" t="inlineStr">
        <is>
          <t xml:space="preserve">2024</t>
        </is>
      </c>
      <c r="F122" s="17">
        <v>0</v>
      </c>
      <c r="G122" s="18">
        <f>C122+F122</f>
      </c>
    </row>
    <row r="123">
      <c r="A123" s="7">
        <v>45410</v>
      </c>
      <c r="B123" s="11">
        <f>SUMIFS(Flux_detail!$K$2:$K$403,Flux_detail!$A$2:$A$403,A123)</f>
      </c>
      <c r="C123" s="11">
        <f>C122+B123</f>
      </c>
      <c r="D123" s="0" t="inlineStr">
        <is>
          <t xml:space="preserve">2024-04</t>
        </is>
      </c>
      <c r="E123" s="0" t="inlineStr">
        <is>
          <t xml:space="preserve">2024</t>
        </is>
      </c>
      <c r="F123" s="17">
        <v>0</v>
      </c>
      <c r="G123" s="18">
        <f>C123+F123</f>
      </c>
    </row>
    <row r="124">
      <c r="A124" s="7">
        <v>45411</v>
      </c>
      <c r="B124" s="11">
        <f>SUMIFS(Flux_detail!$K$2:$K$403,Flux_detail!$A$2:$A$403,A124)</f>
      </c>
      <c r="C124" s="11">
        <f>C123+B124</f>
      </c>
      <c r="D124" s="0" t="inlineStr">
        <is>
          <t xml:space="preserve">2024-04</t>
        </is>
      </c>
      <c r="E124" s="0" t="inlineStr">
        <is>
          <t xml:space="preserve">2024</t>
        </is>
      </c>
      <c r="F124" s="17">
        <v>0</v>
      </c>
      <c r="G124" s="18">
        <f>C124+F124</f>
      </c>
    </row>
    <row r="125">
      <c r="A125" s="7">
        <v>45412</v>
      </c>
      <c r="B125" s="11">
        <f>SUMIFS(Flux_detail!$K$2:$K$403,Flux_detail!$A$2:$A$403,A125)</f>
      </c>
      <c r="C125" s="11">
        <f>C124+B125</f>
      </c>
      <c r="D125" s="0" t="inlineStr">
        <is>
          <t xml:space="preserve">2024-04</t>
        </is>
      </c>
      <c r="E125" s="0" t="inlineStr">
        <is>
          <t xml:space="preserve">2024</t>
        </is>
      </c>
      <c r="F125" s="17">
        <v>0</v>
      </c>
      <c r="G125" s="18">
        <f>C125+F125</f>
      </c>
    </row>
    <row r="126">
      <c r="A126" s="7">
        <v>45413</v>
      </c>
      <c r="B126" s="11">
        <f>SUMIFS(Flux_detail!$K$2:$K$403,Flux_detail!$A$2:$A$403,A126)</f>
      </c>
      <c r="C126" s="11">
        <f>C125+B126</f>
      </c>
      <c r="D126" s="0" t="inlineStr">
        <is>
          <t xml:space="preserve">2024-05</t>
        </is>
      </c>
      <c r="E126" s="0" t="inlineStr">
        <is>
          <t xml:space="preserve">2024</t>
        </is>
      </c>
      <c r="F126" s="17">
        <v>0</v>
      </c>
      <c r="G126" s="18">
        <f>C126+F126</f>
      </c>
    </row>
    <row r="127">
      <c r="A127" s="7">
        <v>45414</v>
      </c>
      <c r="B127" s="11">
        <f>SUMIFS(Flux_detail!$K$2:$K$403,Flux_detail!$A$2:$A$403,A127)</f>
      </c>
      <c r="C127" s="11">
        <f>C126+B127</f>
      </c>
      <c r="D127" s="0" t="inlineStr">
        <is>
          <t xml:space="preserve">2024-05</t>
        </is>
      </c>
      <c r="E127" s="0" t="inlineStr">
        <is>
          <t xml:space="preserve">2024</t>
        </is>
      </c>
      <c r="F127" s="17">
        <v>0</v>
      </c>
      <c r="G127" s="18">
        <f>C127+F127</f>
      </c>
    </row>
    <row r="128">
      <c r="A128" s="7">
        <v>45415</v>
      </c>
      <c r="B128" s="11">
        <f>SUMIFS(Flux_detail!$K$2:$K$403,Flux_detail!$A$2:$A$403,A128)</f>
      </c>
      <c r="C128" s="11">
        <f>C127+B128</f>
      </c>
      <c r="D128" s="0" t="inlineStr">
        <is>
          <t xml:space="preserve">2024-05</t>
        </is>
      </c>
      <c r="E128" s="0" t="inlineStr">
        <is>
          <t xml:space="preserve">2024</t>
        </is>
      </c>
      <c r="F128" s="17">
        <v>0</v>
      </c>
      <c r="G128" s="18">
        <f>C128+F128</f>
      </c>
    </row>
    <row r="129">
      <c r="A129" s="7">
        <v>45416</v>
      </c>
      <c r="B129" s="11">
        <f>SUMIFS(Flux_detail!$K$2:$K$403,Flux_detail!$A$2:$A$403,A129)</f>
      </c>
      <c r="C129" s="11">
        <f>C128+B129</f>
      </c>
      <c r="D129" s="0" t="inlineStr">
        <is>
          <t xml:space="preserve">2024-05</t>
        </is>
      </c>
      <c r="E129" s="0" t="inlineStr">
        <is>
          <t xml:space="preserve">2024</t>
        </is>
      </c>
      <c r="F129" s="17">
        <v>0</v>
      </c>
      <c r="G129" s="18">
        <f>C129+F129</f>
      </c>
    </row>
    <row r="130">
      <c r="A130" s="7">
        <v>45417</v>
      </c>
      <c r="B130" s="11">
        <f>SUMIFS(Flux_detail!$K$2:$K$403,Flux_detail!$A$2:$A$403,A130)</f>
      </c>
      <c r="C130" s="11">
        <f>C129+B130</f>
      </c>
      <c r="D130" s="0" t="inlineStr">
        <is>
          <t xml:space="preserve">2024-05</t>
        </is>
      </c>
      <c r="E130" s="0" t="inlineStr">
        <is>
          <t xml:space="preserve">2024</t>
        </is>
      </c>
      <c r="F130" s="17">
        <v>0</v>
      </c>
      <c r="G130" s="18">
        <f>C130+F130</f>
      </c>
    </row>
    <row r="131">
      <c r="A131" s="7">
        <v>45418</v>
      </c>
      <c r="B131" s="11">
        <f>SUMIFS(Flux_detail!$K$2:$K$403,Flux_detail!$A$2:$A$403,A131)</f>
      </c>
      <c r="C131" s="11">
        <f>C130+B131</f>
      </c>
      <c r="D131" s="0" t="inlineStr">
        <is>
          <t xml:space="preserve">2024-05</t>
        </is>
      </c>
      <c r="E131" s="0" t="inlineStr">
        <is>
          <t xml:space="preserve">2024</t>
        </is>
      </c>
      <c r="F131" s="17">
        <v>0</v>
      </c>
      <c r="G131" s="18">
        <f>C131+F131</f>
      </c>
    </row>
    <row r="132">
      <c r="A132" s="7">
        <v>45419</v>
      </c>
      <c r="B132" s="11">
        <f>SUMIFS(Flux_detail!$K$2:$K$403,Flux_detail!$A$2:$A$403,A132)</f>
      </c>
      <c r="C132" s="11">
        <f>C131+B132</f>
      </c>
      <c r="D132" s="0" t="inlineStr">
        <is>
          <t xml:space="preserve">2024-05</t>
        </is>
      </c>
      <c r="E132" s="0" t="inlineStr">
        <is>
          <t xml:space="preserve">2024</t>
        </is>
      </c>
      <c r="F132" s="17">
        <v>0</v>
      </c>
      <c r="G132" s="18">
        <f>C132+F132</f>
      </c>
    </row>
    <row r="133">
      <c r="A133" s="7">
        <v>45420</v>
      </c>
      <c r="B133" s="11">
        <f>SUMIFS(Flux_detail!$K$2:$K$403,Flux_detail!$A$2:$A$403,A133)</f>
      </c>
      <c r="C133" s="11">
        <f>C132+B133</f>
      </c>
      <c r="D133" s="0" t="inlineStr">
        <is>
          <t xml:space="preserve">2024-05</t>
        </is>
      </c>
      <c r="E133" s="0" t="inlineStr">
        <is>
          <t xml:space="preserve">2024</t>
        </is>
      </c>
      <c r="F133" s="17">
        <v>0</v>
      </c>
      <c r="G133" s="18">
        <f>C133+F133</f>
      </c>
    </row>
    <row r="134">
      <c r="A134" s="7">
        <v>45421</v>
      </c>
      <c r="B134" s="11">
        <f>SUMIFS(Flux_detail!$K$2:$K$403,Flux_detail!$A$2:$A$403,A134)</f>
      </c>
      <c r="C134" s="11">
        <f>C133+B134</f>
      </c>
      <c r="D134" s="0" t="inlineStr">
        <is>
          <t xml:space="preserve">2024-05</t>
        </is>
      </c>
      <c r="E134" s="0" t="inlineStr">
        <is>
          <t xml:space="preserve">2024</t>
        </is>
      </c>
      <c r="F134" s="17">
        <v>0</v>
      </c>
      <c r="G134" s="18">
        <f>C134+F134</f>
      </c>
    </row>
    <row r="135">
      <c r="A135" s="7">
        <v>45422</v>
      </c>
      <c r="B135" s="11">
        <f>SUMIFS(Flux_detail!$K$2:$K$403,Flux_detail!$A$2:$A$403,A135)</f>
      </c>
      <c r="C135" s="11">
        <f>C134+B135</f>
      </c>
      <c r="D135" s="0" t="inlineStr">
        <is>
          <t xml:space="preserve">2024-05</t>
        </is>
      </c>
      <c r="E135" s="0" t="inlineStr">
        <is>
          <t xml:space="preserve">2024</t>
        </is>
      </c>
      <c r="F135" s="17">
        <v>0</v>
      </c>
      <c r="G135" s="18">
        <f>C135+F135</f>
      </c>
    </row>
    <row r="136">
      <c r="A136" s="7">
        <v>45423</v>
      </c>
      <c r="B136" s="11">
        <f>SUMIFS(Flux_detail!$K$2:$K$403,Flux_detail!$A$2:$A$403,A136)</f>
      </c>
      <c r="C136" s="11">
        <f>C135+B136</f>
      </c>
      <c r="D136" s="0" t="inlineStr">
        <is>
          <t xml:space="preserve">2024-05</t>
        </is>
      </c>
      <c r="E136" s="0" t="inlineStr">
        <is>
          <t xml:space="preserve">2024</t>
        </is>
      </c>
      <c r="F136" s="17">
        <v>0</v>
      </c>
      <c r="G136" s="18">
        <f>C136+F136</f>
      </c>
    </row>
    <row r="137">
      <c r="A137" s="7">
        <v>45424</v>
      </c>
      <c r="B137" s="11">
        <f>SUMIFS(Flux_detail!$K$2:$K$403,Flux_detail!$A$2:$A$403,A137)</f>
      </c>
      <c r="C137" s="11">
        <f>C136+B137</f>
      </c>
      <c r="D137" s="0" t="inlineStr">
        <is>
          <t xml:space="preserve">2024-05</t>
        </is>
      </c>
      <c r="E137" s="0" t="inlineStr">
        <is>
          <t xml:space="preserve">2024</t>
        </is>
      </c>
      <c r="F137" s="17">
        <v>0</v>
      </c>
      <c r="G137" s="18">
        <f>C137+F137</f>
      </c>
    </row>
    <row r="138">
      <c r="A138" s="7">
        <v>45425</v>
      </c>
      <c r="B138" s="11">
        <f>SUMIFS(Flux_detail!$K$2:$K$403,Flux_detail!$A$2:$A$403,A138)</f>
      </c>
      <c r="C138" s="11">
        <f>C137+B138</f>
      </c>
      <c r="D138" s="0" t="inlineStr">
        <is>
          <t xml:space="preserve">2024-05</t>
        </is>
      </c>
      <c r="E138" s="0" t="inlineStr">
        <is>
          <t xml:space="preserve">2024</t>
        </is>
      </c>
      <c r="F138" s="17">
        <v>0</v>
      </c>
      <c r="G138" s="18">
        <f>C138+F138</f>
      </c>
    </row>
    <row r="139">
      <c r="A139" s="7">
        <v>45426</v>
      </c>
      <c r="B139" s="11">
        <f>SUMIFS(Flux_detail!$K$2:$K$403,Flux_detail!$A$2:$A$403,A139)</f>
      </c>
      <c r="C139" s="11">
        <f>C138+B139</f>
      </c>
      <c r="D139" s="0" t="inlineStr">
        <is>
          <t xml:space="preserve">2024-05</t>
        </is>
      </c>
      <c r="E139" s="0" t="inlineStr">
        <is>
          <t xml:space="preserve">2024</t>
        </is>
      </c>
      <c r="F139" s="17">
        <v>0</v>
      </c>
      <c r="G139" s="18">
        <f>C139+F139</f>
      </c>
    </row>
    <row r="140">
      <c r="A140" s="7">
        <v>45427</v>
      </c>
      <c r="B140" s="11">
        <f>SUMIFS(Flux_detail!$K$2:$K$403,Flux_detail!$A$2:$A$403,A140)</f>
      </c>
      <c r="C140" s="11">
        <f>C139+B140</f>
      </c>
      <c r="D140" s="0" t="inlineStr">
        <is>
          <t xml:space="preserve">2024-05</t>
        </is>
      </c>
      <c r="E140" s="0" t="inlineStr">
        <is>
          <t xml:space="preserve">2024</t>
        </is>
      </c>
      <c r="F140" s="17">
        <v>0</v>
      </c>
      <c r="G140" s="18">
        <f>C140+F140</f>
      </c>
    </row>
    <row r="141">
      <c r="A141" s="7">
        <v>45428</v>
      </c>
      <c r="B141" s="11">
        <f>SUMIFS(Flux_detail!$K$2:$K$403,Flux_detail!$A$2:$A$403,A141)</f>
      </c>
      <c r="C141" s="11">
        <f>C140+B141</f>
      </c>
      <c r="D141" s="0" t="inlineStr">
        <is>
          <t xml:space="preserve">2024-05</t>
        </is>
      </c>
      <c r="E141" s="0" t="inlineStr">
        <is>
          <t xml:space="preserve">2024</t>
        </is>
      </c>
      <c r="F141" s="17">
        <v>0</v>
      </c>
      <c r="G141" s="18">
        <f>C141+F141</f>
      </c>
    </row>
    <row r="142">
      <c r="A142" s="7">
        <v>45429</v>
      </c>
      <c r="B142" s="11">
        <f>SUMIFS(Flux_detail!$K$2:$K$403,Flux_detail!$A$2:$A$403,A142)</f>
      </c>
      <c r="C142" s="11">
        <f>C141+B142</f>
      </c>
      <c r="D142" s="0" t="inlineStr">
        <is>
          <t xml:space="preserve">2024-05</t>
        </is>
      </c>
      <c r="E142" s="0" t="inlineStr">
        <is>
          <t xml:space="preserve">2024</t>
        </is>
      </c>
      <c r="F142" s="17">
        <v>0</v>
      </c>
      <c r="G142" s="18">
        <f>C142+F142</f>
      </c>
    </row>
    <row r="143">
      <c r="A143" s="7">
        <v>45430</v>
      </c>
      <c r="B143" s="11">
        <f>SUMIFS(Flux_detail!$K$2:$K$403,Flux_detail!$A$2:$A$403,A143)</f>
      </c>
      <c r="C143" s="11">
        <f>C142+B143</f>
      </c>
      <c r="D143" s="0" t="inlineStr">
        <is>
          <t xml:space="preserve">2024-05</t>
        </is>
      </c>
      <c r="E143" s="0" t="inlineStr">
        <is>
          <t xml:space="preserve">2024</t>
        </is>
      </c>
      <c r="F143" s="17">
        <v>0</v>
      </c>
      <c r="G143" s="18">
        <f>C143+F143</f>
      </c>
    </row>
    <row r="144">
      <c r="A144" s="7">
        <v>45431</v>
      </c>
      <c r="B144" s="11">
        <f>SUMIFS(Flux_detail!$K$2:$K$403,Flux_detail!$A$2:$A$403,A144)</f>
      </c>
      <c r="C144" s="11">
        <f>C143+B144</f>
      </c>
      <c r="D144" s="0" t="inlineStr">
        <is>
          <t xml:space="preserve">2024-05</t>
        </is>
      </c>
      <c r="E144" s="0" t="inlineStr">
        <is>
          <t xml:space="preserve">2024</t>
        </is>
      </c>
      <c r="F144" s="17">
        <v>0</v>
      </c>
      <c r="G144" s="18">
        <f>C144+F144</f>
      </c>
    </row>
    <row r="145">
      <c r="A145" s="7">
        <v>45432</v>
      </c>
      <c r="B145" s="11">
        <f>SUMIFS(Flux_detail!$K$2:$K$403,Flux_detail!$A$2:$A$403,A145)</f>
      </c>
      <c r="C145" s="11">
        <f>C144+B145</f>
      </c>
      <c r="D145" s="0" t="inlineStr">
        <is>
          <t xml:space="preserve">2024-05</t>
        </is>
      </c>
      <c r="E145" s="0" t="inlineStr">
        <is>
          <t xml:space="preserve">2024</t>
        </is>
      </c>
      <c r="F145" s="17">
        <v>0</v>
      </c>
      <c r="G145" s="18">
        <f>C145+F145</f>
      </c>
    </row>
    <row r="146">
      <c r="A146" s="7">
        <v>45433</v>
      </c>
      <c r="B146" s="11">
        <f>SUMIFS(Flux_detail!$K$2:$K$403,Flux_detail!$A$2:$A$403,A146)</f>
      </c>
      <c r="C146" s="11">
        <f>C145+B146</f>
      </c>
      <c r="D146" s="0" t="inlineStr">
        <is>
          <t xml:space="preserve">2024-05</t>
        </is>
      </c>
      <c r="E146" s="0" t="inlineStr">
        <is>
          <t xml:space="preserve">2024</t>
        </is>
      </c>
      <c r="F146" s="17">
        <v>0</v>
      </c>
      <c r="G146" s="18">
        <f>C146+F146</f>
      </c>
    </row>
    <row r="147">
      <c r="A147" s="7">
        <v>45434</v>
      </c>
      <c r="B147" s="11">
        <f>SUMIFS(Flux_detail!$K$2:$K$403,Flux_detail!$A$2:$A$403,A147)</f>
      </c>
      <c r="C147" s="11">
        <f>C146+B147</f>
      </c>
      <c r="D147" s="0" t="inlineStr">
        <is>
          <t xml:space="preserve">2024-05</t>
        </is>
      </c>
      <c r="E147" s="0" t="inlineStr">
        <is>
          <t xml:space="preserve">2024</t>
        </is>
      </c>
      <c r="F147" s="17">
        <v>0</v>
      </c>
      <c r="G147" s="18">
        <f>C147+F147</f>
      </c>
    </row>
    <row r="148">
      <c r="A148" s="7">
        <v>45435</v>
      </c>
      <c r="B148" s="11">
        <f>SUMIFS(Flux_detail!$K$2:$K$403,Flux_detail!$A$2:$A$403,A148)</f>
      </c>
      <c r="C148" s="11">
        <f>C147+B148</f>
      </c>
      <c r="D148" s="0" t="inlineStr">
        <is>
          <t xml:space="preserve">2024-05</t>
        </is>
      </c>
      <c r="E148" s="0" t="inlineStr">
        <is>
          <t xml:space="preserve">2024</t>
        </is>
      </c>
      <c r="F148" s="17">
        <v>0</v>
      </c>
      <c r="G148" s="18">
        <f>C148+F148</f>
      </c>
    </row>
    <row r="149">
      <c r="A149" s="7">
        <v>45436</v>
      </c>
      <c r="B149" s="11">
        <f>SUMIFS(Flux_detail!$K$2:$K$403,Flux_detail!$A$2:$A$403,A149)</f>
      </c>
      <c r="C149" s="11">
        <f>C148+B149</f>
      </c>
      <c r="D149" s="0" t="inlineStr">
        <is>
          <t xml:space="preserve">2024-05</t>
        </is>
      </c>
      <c r="E149" s="0" t="inlineStr">
        <is>
          <t xml:space="preserve">2024</t>
        </is>
      </c>
      <c r="F149" s="17">
        <v>0</v>
      </c>
      <c r="G149" s="18">
        <f>C149+F149</f>
      </c>
    </row>
    <row r="150">
      <c r="A150" s="7">
        <v>45437</v>
      </c>
      <c r="B150" s="11">
        <f>SUMIFS(Flux_detail!$K$2:$K$403,Flux_detail!$A$2:$A$403,A150)</f>
      </c>
      <c r="C150" s="11">
        <f>C149+B150</f>
      </c>
      <c r="D150" s="0" t="inlineStr">
        <is>
          <t xml:space="preserve">2024-05</t>
        </is>
      </c>
      <c r="E150" s="0" t="inlineStr">
        <is>
          <t xml:space="preserve">2024</t>
        </is>
      </c>
      <c r="F150" s="17">
        <v>0</v>
      </c>
      <c r="G150" s="18">
        <f>C150+F150</f>
      </c>
    </row>
    <row r="151">
      <c r="A151" s="7">
        <v>45438</v>
      </c>
      <c r="B151" s="11">
        <f>SUMIFS(Flux_detail!$K$2:$K$403,Flux_detail!$A$2:$A$403,A151)</f>
      </c>
      <c r="C151" s="11">
        <f>C150+B151</f>
      </c>
      <c r="D151" s="0" t="inlineStr">
        <is>
          <t xml:space="preserve">2024-05</t>
        </is>
      </c>
      <c r="E151" s="0" t="inlineStr">
        <is>
          <t xml:space="preserve">2024</t>
        </is>
      </c>
      <c r="F151" s="17">
        <v>0</v>
      </c>
      <c r="G151" s="18">
        <f>C151+F151</f>
      </c>
    </row>
    <row r="152">
      <c r="A152" s="7">
        <v>45439</v>
      </c>
      <c r="B152" s="11">
        <f>SUMIFS(Flux_detail!$K$2:$K$403,Flux_detail!$A$2:$A$403,A152)</f>
      </c>
      <c r="C152" s="11">
        <f>C151+B152</f>
      </c>
      <c r="D152" s="0" t="inlineStr">
        <is>
          <t xml:space="preserve">2024-05</t>
        </is>
      </c>
      <c r="E152" s="0" t="inlineStr">
        <is>
          <t xml:space="preserve">2024</t>
        </is>
      </c>
      <c r="F152" s="17">
        <v>0</v>
      </c>
      <c r="G152" s="18">
        <f>C152+F152</f>
      </c>
    </row>
    <row r="153">
      <c r="A153" s="7">
        <v>45440</v>
      </c>
      <c r="B153" s="11">
        <f>SUMIFS(Flux_detail!$K$2:$K$403,Flux_detail!$A$2:$A$403,A153)</f>
      </c>
      <c r="C153" s="11">
        <f>C152+B153</f>
      </c>
      <c r="D153" s="0" t="inlineStr">
        <is>
          <t xml:space="preserve">2024-05</t>
        </is>
      </c>
      <c r="E153" s="0" t="inlineStr">
        <is>
          <t xml:space="preserve">2024</t>
        </is>
      </c>
      <c r="F153" s="17">
        <v>0</v>
      </c>
      <c r="G153" s="18">
        <f>C153+F153</f>
      </c>
    </row>
    <row r="154">
      <c r="A154" s="7">
        <v>45441</v>
      </c>
      <c r="B154" s="11">
        <f>SUMIFS(Flux_detail!$K$2:$K$403,Flux_detail!$A$2:$A$403,A154)</f>
      </c>
      <c r="C154" s="11">
        <f>C153+B154</f>
      </c>
      <c r="D154" s="0" t="inlineStr">
        <is>
          <t xml:space="preserve">2024-05</t>
        </is>
      </c>
      <c r="E154" s="0" t="inlineStr">
        <is>
          <t xml:space="preserve">2024</t>
        </is>
      </c>
      <c r="F154" s="17">
        <v>0</v>
      </c>
      <c r="G154" s="18">
        <f>C154+F154</f>
      </c>
    </row>
    <row r="155">
      <c r="A155" s="7">
        <v>45442</v>
      </c>
      <c r="B155" s="11">
        <f>SUMIFS(Flux_detail!$K$2:$K$403,Flux_detail!$A$2:$A$403,A155)</f>
      </c>
      <c r="C155" s="11">
        <f>C154+B155</f>
      </c>
      <c r="D155" s="0" t="inlineStr">
        <is>
          <t xml:space="preserve">2024-05</t>
        </is>
      </c>
      <c r="E155" s="0" t="inlineStr">
        <is>
          <t xml:space="preserve">2024</t>
        </is>
      </c>
      <c r="F155" s="17">
        <v>0</v>
      </c>
      <c r="G155" s="18">
        <f>C155+F155</f>
      </c>
    </row>
    <row r="156">
      <c r="A156" s="7">
        <v>45443</v>
      </c>
      <c r="B156" s="11">
        <f>SUMIFS(Flux_detail!$K$2:$K$403,Flux_detail!$A$2:$A$403,A156)</f>
      </c>
      <c r="C156" s="11">
        <f>C155+B156</f>
      </c>
      <c r="D156" s="0" t="inlineStr">
        <is>
          <t xml:space="preserve">2024-05</t>
        </is>
      </c>
      <c r="E156" s="0" t="inlineStr">
        <is>
          <t xml:space="preserve">2024</t>
        </is>
      </c>
      <c r="F156" s="17">
        <v>0</v>
      </c>
      <c r="G156" s="18">
        <f>C156+F156</f>
      </c>
    </row>
    <row r="157">
      <c r="A157" s="7">
        <v>45444</v>
      </c>
      <c r="B157" s="11">
        <f>SUMIFS(Flux_detail!$K$2:$K$403,Flux_detail!$A$2:$A$403,A157)</f>
      </c>
      <c r="C157" s="11">
        <f>C156+B157</f>
      </c>
      <c r="D157" s="0" t="inlineStr">
        <is>
          <t xml:space="preserve">2024-06</t>
        </is>
      </c>
      <c r="E157" s="0" t="inlineStr">
        <is>
          <t xml:space="preserve">2024</t>
        </is>
      </c>
      <c r="F157" s="17">
        <v>0</v>
      </c>
      <c r="G157" s="18">
        <f>C157+F157</f>
      </c>
    </row>
    <row r="158">
      <c r="A158" s="7">
        <v>45445</v>
      </c>
      <c r="B158" s="11">
        <f>SUMIFS(Flux_detail!$K$2:$K$403,Flux_detail!$A$2:$A$403,A158)</f>
      </c>
      <c r="C158" s="11">
        <f>C157+B158</f>
      </c>
      <c r="D158" s="0" t="inlineStr">
        <is>
          <t xml:space="preserve">2024-06</t>
        </is>
      </c>
      <c r="E158" s="0" t="inlineStr">
        <is>
          <t xml:space="preserve">2024</t>
        </is>
      </c>
      <c r="F158" s="17">
        <v>0</v>
      </c>
      <c r="G158" s="18">
        <f>C158+F158</f>
      </c>
    </row>
    <row r="159">
      <c r="A159" s="7">
        <v>45446</v>
      </c>
      <c r="B159" s="11">
        <f>SUMIFS(Flux_detail!$K$2:$K$403,Flux_detail!$A$2:$A$403,A159)</f>
      </c>
      <c r="C159" s="11">
        <f>C158+B159</f>
      </c>
      <c r="D159" s="0" t="inlineStr">
        <is>
          <t xml:space="preserve">2024-06</t>
        </is>
      </c>
      <c r="E159" s="0" t="inlineStr">
        <is>
          <t xml:space="preserve">2024</t>
        </is>
      </c>
      <c r="F159" s="17">
        <v>0</v>
      </c>
      <c r="G159" s="18">
        <f>C159+F159</f>
      </c>
    </row>
    <row r="160">
      <c r="A160" s="7">
        <v>45447</v>
      </c>
      <c r="B160" s="11">
        <f>SUMIFS(Flux_detail!$K$2:$K$403,Flux_detail!$A$2:$A$403,A160)</f>
      </c>
      <c r="C160" s="11">
        <f>C159+B160</f>
      </c>
      <c r="D160" s="0" t="inlineStr">
        <is>
          <t xml:space="preserve">2024-06</t>
        </is>
      </c>
      <c r="E160" s="0" t="inlineStr">
        <is>
          <t xml:space="preserve">2024</t>
        </is>
      </c>
      <c r="F160" s="17">
        <v>0</v>
      </c>
      <c r="G160" s="18">
        <f>C160+F160</f>
      </c>
    </row>
    <row r="161">
      <c r="A161" s="7">
        <v>45448</v>
      </c>
      <c r="B161" s="11">
        <f>SUMIFS(Flux_detail!$K$2:$K$403,Flux_detail!$A$2:$A$403,A161)</f>
      </c>
      <c r="C161" s="11">
        <f>C160+B161</f>
      </c>
      <c r="D161" s="0" t="inlineStr">
        <is>
          <t xml:space="preserve">2024-06</t>
        </is>
      </c>
      <c r="E161" s="0" t="inlineStr">
        <is>
          <t xml:space="preserve">2024</t>
        </is>
      </c>
      <c r="F161" s="17">
        <v>0</v>
      </c>
      <c r="G161" s="18">
        <f>C161+F161</f>
      </c>
    </row>
    <row r="162">
      <c r="A162" s="7">
        <v>45449</v>
      </c>
      <c r="B162" s="11">
        <f>SUMIFS(Flux_detail!$K$2:$K$403,Flux_detail!$A$2:$A$403,A162)</f>
      </c>
      <c r="C162" s="11">
        <f>C161+B162</f>
      </c>
      <c r="D162" s="0" t="inlineStr">
        <is>
          <t xml:space="preserve">2024-06</t>
        </is>
      </c>
      <c r="E162" s="0" t="inlineStr">
        <is>
          <t xml:space="preserve">2024</t>
        </is>
      </c>
      <c r="F162" s="17">
        <v>0</v>
      </c>
      <c r="G162" s="18">
        <f>C162+F162</f>
      </c>
    </row>
    <row r="163">
      <c r="A163" s="7">
        <v>45450</v>
      </c>
      <c r="B163" s="11">
        <f>SUMIFS(Flux_detail!$K$2:$K$403,Flux_detail!$A$2:$A$403,A163)</f>
      </c>
      <c r="C163" s="11">
        <f>C162+B163</f>
      </c>
      <c r="D163" s="0" t="inlineStr">
        <is>
          <t xml:space="preserve">2024-06</t>
        </is>
      </c>
      <c r="E163" s="0" t="inlineStr">
        <is>
          <t xml:space="preserve">2024</t>
        </is>
      </c>
      <c r="F163" s="17">
        <v>0</v>
      </c>
      <c r="G163" s="18">
        <f>C163+F163</f>
      </c>
    </row>
    <row r="164">
      <c r="A164" s="7">
        <v>45451</v>
      </c>
      <c r="B164" s="11">
        <f>SUMIFS(Flux_detail!$K$2:$K$403,Flux_detail!$A$2:$A$403,A164)</f>
      </c>
      <c r="C164" s="11">
        <f>C163+B164</f>
      </c>
      <c r="D164" s="0" t="inlineStr">
        <is>
          <t xml:space="preserve">2024-06</t>
        </is>
      </c>
      <c r="E164" s="0" t="inlineStr">
        <is>
          <t xml:space="preserve">2024</t>
        </is>
      </c>
      <c r="F164" s="17">
        <v>0</v>
      </c>
      <c r="G164" s="18">
        <f>C164+F164</f>
      </c>
    </row>
    <row r="165">
      <c r="A165" s="7">
        <v>45452</v>
      </c>
      <c r="B165" s="11">
        <f>SUMIFS(Flux_detail!$K$2:$K$403,Flux_detail!$A$2:$A$403,A165)</f>
      </c>
      <c r="C165" s="11">
        <f>C164+B165</f>
      </c>
      <c r="D165" s="0" t="inlineStr">
        <is>
          <t xml:space="preserve">2024-06</t>
        </is>
      </c>
      <c r="E165" s="0" t="inlineStr">
        <is>
          <t xml:space="preserve">2024</t>
        </is>
      </c>
      <c r="F165" s="17">
        <v>0</v>
      </c>
      <c r="G165" s="18">
        <f>C165+F165</f>
      </c>
    </row>
    <row r="166">
      <c r="A166" s="7">
        <v>45453</v>
      </c>
      <c r="B166" s="11">
        <f>SUMIFS(Flux_detail!$K$2:$K$403,Flux_detail!$A$2:$A$403,A166)</f>
      </c>
      <c r="C166" s="11">
        <f>C165+B166</f>
      </c>
      <c r="D166" s="0" t="inlineStr">
        <is>
          <t xml:space="preserve">2024-06</t>
        </is>
      </c>
      <c r="E166" s="0" t="inlineStr">
        <is>
          <t xml:space="preserve">2024</t>
        </is>
      </c>
      <c r="F166" s="17">
        <v>0</v>
      </c>
      <c r="G166" s="18">
        <f>C166+F166</f>
      </c>
    </row>
    <row r="167">
      <c r="A167" s="7">
        <v>45454</v>
      </c>
      <c r="B167" s="11">
        <f>SUMIFS(Flux_detail!$K$2:$K$403,Flux_detail!$A$2:$A$403,A167)</f>
      </c>
      <c r="C167" s="11">
        <f>C166+B167</f>
      </c>
      <c r="D167" s="0" t="inlineStr">
        <is>
          <t xml:space="preserve">2024-06</t>
        </is>
      </c>
      <c r="E167" s="0" t="inlineStr">
        <is>
          <t xml:space="preserve">2024</t>
        </is>
      </c>
      <c r="F167" s="17">
        <v>0</v>
      </c>
      <c r="G167" s="18">
        <f>C167+F167</f>
      </c>
    </row>
    <row r="168">
      <c r="A168" s="7">
        <v>45455</v>
      </c>
      <c r="B168" s="11">
        <f>SUMIFS(Flux_detail!$K$2:$K$403,Flux_detail!$A$2:$A$403,A168)</f>
      </c>
      <c r="C168" s="11">
        <f>C167+B168</f>
      </c>
      <c r="D168" s="0" t="inlineStr">
        <is>
          <t xml:space="preserve">2024-06</t>
        </is>
      </c>
      <c r="E168" s="0" t="inlineStr">
        <is>
          <t xml:space="preserve">2024</t>
        </is>
      </c>
      <c r="F168" s="17">
        <v>0</v>
      </c>
      <c r="G168" s="18">
        <f>C168+F168</f>
      </c>
    </row>
    <row r="169">
      <c r="A169" s="7">
        <v>45456</v>
      </c>
      <c r="B169" s="11">
        <f>SUMIFS(Flux_detail!$K$2:$K$403,Flux_detail!$A$2:$A$403,A169)</f>
      </c>
      <c r="C169" s="11">
        <f>C168+B169</f>
      </c>
      <c r="D169" s="0" t="inlineStr">
        <is>
          <t xml:space="preserve">2024-06</t>
        </is>
      </c>
      <c r="E169" s="0" t="inlineStr">
        <is>
          <t xml:space="preserve">2024</t>
        </is>
      </c>
      <c r="F169" s="17">
        <v>0</v>
      </c>
      <c r="G169" s="18">
        <f>C169+F169</f>
      </c>
    </row>
    <row r="170">
      <c r="A170" s="7">
        <v>45457</v>
      </c>
      <c r="B170" s="11">
        <f>SUMIFS(Flux_detail!$K$2:$K$403,Flux_detail!$A$2:$A$403,A170)</f>
      </c>
      <c r="C170" s="11">
        <f>C169+B170</f>
      </c>
      <c r="D170" s="0" t="inlineStr">
        <is>
          <t xml:space="preserve">2024-06</t>
        </is>
      </c>
      <c r="E170" s="0" t="inlineStr">
        <is>
          <t xml:space="preserve">2024</t>
        </is>
      </c>
      <c r="F170" s="17">
        <v>0</v>
      </c>
      <c r="G170" s="18">
        <f>C170+F170</f>
      </c>
    </row>
    <row r="171">
      <c r="A171" s="7">
        <v>45458</v>
      </c>
      <c r="B171" s="11">
        <f>SUMIFS(Flux_detail!$K$2:$K$403,Flux_detail!$A$2:$A$403,A171)</f>
      </c>
      <c r="C171" s="11">
        <f>C170+B171</f>
      </c>
      <c r="D171" s="0" t="inlineStr">
        <is>
          <t xml:space="preserve">2024-06</t>
        </is>
      </c>
      <c r="E171" s="0" t="inlineStr">
        <is>
          <t xml:space="preserve">2024</t>
        </is>
      </c>
      <c r="F171" s="17">
        <v>0</v>
      </c>
      <c r="G171" s="18">
        <f>C171+F171</f>
      </c>
    </row>
    <row r="172">
      <c r="A172" s="7">
        <v>45459</v>
      </c>
      <c r="B172" s="11">
        <f>SUMIFS(Flux_detail!$K$2:$K$403,Flux_detail!$A$2:$A$403,A172)</f>
      </c>
      <c r="C172" s="11">
        <f>C171+B172</f>
      </c>
      <c r="D172" s="0" t="inlineStr">
        <is>
          <t xml:space="preserve">2024-06</t>
        </is>
      </c>
      <c r="E172" s="0" t="inlineStr">
        <is>
          <t xml:space="preserve">2024</t>
        </is>
      </c>
      <c r="F172" s="17">
        <v>0</v>
      </c>
      <c r="G172" s="18">
        <f>C172+F172</f>
      </c>
    </row>
    <row r="173">
      <c r="A173" s="7">
        <v>45460</v>
      </c>
      <c r="B173" s="11">
        <f>SUMIFS(Flux_detail!$K$2:$K$403,Flux_detail!$A$2:$A$403,A173)</f>
      </c>
      <c r="C173" s="11">
        <f>C172+B173</f>
      </c>
      <c r="D173" s="0" t="inlineStr">
        <is>
          <t xml:space="preserve">2024-06</t>
        </is>
      </c>
      <c r="E173" s="0" t="inlineStr">
        <is>
          <t xml:space="preserve">2024</t>
        </is>
      </c>
      <c r="F173" s="17">
        <v>0</v>
      </c>
      <c r="G173" s="18">
        <f>C173+F173</f>
      </c>
    </row>
    <row r="174">
      <c r="A174" s="7">
        <v>45461</v>
      </c>
      <c r="B174" s="11">
        <f>SUMIFS(Flux_detail!$K$2:$K$403,Flux_detail!$A$2:$A$403,A174)</f>
      </c>
      <c r="C174" s="11">
        <f>C173+B174</f>
      </c>
      <c r="D174" s="0" t="inlineStr">
        <is>
          <t xml:space="preserve">2024-06</t>
        </is>
      </c>
      <c r="E174" s="0" t="inlineStr">
        <is>
          <t xml:space="preserve">2024</t>
        </is>
      </c>
      <c r="F174" s="17">
        <v>0</v>
      </c>
      <c r="G174" s="18">
        <f>C174+F174</f>
      </c>
    </row>
    <row r="175">
      <c r="A175" s="7">
        <v>45462</v>
      </c>
      <c r="B175" s="11">
        <f>SUMIFS(Flux_detail!$K$2:$K$403,Flux_detail!$A$2:$A$403,A175)</f>
      </c>
      <c r="C175" s="11">
        <f>C174+B175</f>
      </c>
      <c r="D175" s="0" t="inlineStr">
        <is>
          <t xml:space="preserve">2024-06</t>
        </is>
      </c>
      <c r="E175" s="0" t="inlineStr">
        <is>
          <t xml:space="preserve">2024</t>
        </is>
      </c>
      <c r="F175" s="17">
        <v>0</v>
      </c>
      <c r="G175" s="18">
        <f>C175+F175</f>
      </c>
    </row>
    <row r="176">
      <c r="A176" s="7">
        <v>45463</v>
      </c>
      <c r="B176" s="11">
        <f>SUMIFS(Flux_detail!$K$2:$K$403,Flux_detail!$A$2:$A$403,A176)</f>
      </c>
      <c r="C176" s="11">
        <f>C175+B176</f>
      </c>
      <c r="D176" s="0" t="inlineStr">
        <is>
          <t xml:space="preserve">2024-06</t>
        </is>
      </c>
      <c r="E176" s="0" t="inlineStr">
        <is>
          <t xml:space="preserve">2024</t>
        </is>
      </c>
      <c r="F176" s="17">
        <v>0</v>
      </c>
      <c r="G176" s="18">
        <f>C176+F176</f>
      </c>
    </row>
    <row r="177">
      <c r="A177" s="7">
        <v>45464</v>
      </c>
      <c r="B177" s="11">
        <f>SUMIFS(Flux_detail!$K$2:$K$403,Flux_detail!$A$2:$A$403,A177)</f>
      </c>
      <c r="C177" s="11">
        <f>C176+B177</f>
      </c>
      <c r="D177" s="0" t="inlineStr">
        <is>
          <t xml:space="preserve">2024-06</t>
        </is>
      </c>
      <c r="E177" s="0" t="inlineStr">
        <is>
          <t xml:space="preserve">2024</t>
        </is>
      </c>
      <c r="F177" s="17">
        <v>0</v>
      </c>
      <c r="G177" s="18">
        <f>C177+F177</f>
      </c>
    </row>
    <row r="178">
      <c r="A178" s="7">
        <v>45465</v>
      </c>
      <c r="B178" s="11">
        <f>SUMIFS(Flux_detail!$K$2:$K$403,Flux_detail!$A$2:$A$403,A178)</f>
      </c>
      <c r="C178" s="11">
        <f>C177+B178</f>
      </c>
      <c r="D178" s="0" t="inlineStr">
        <is>
          <t xml:space="preserve">2024-06</t>
        </is>
      </c>
      <c r="E178" s="0" t="inlineStr">
        <is>
          <t xml:space="preserve">2024</t>
        </is>
      </c>
      <c r="F178" s="17">
        <v>0</v>
      </c>
      <c r="G178" s="18">
        <f>C178+F178</f>
      </c>
    </row>
    <row r="179">
      <c r="A179" s="7">
        <v>45466</v>
      </c>
      <c r="B179" s="11">
        <f>SUMIFS(Flux_detail!$K$2:$K$403,Flux_detail!$A$2:$A$403,A179)</f>
      </c>
      <c r="C179" s="11">
        <f>C178+B179</f>
      </c>
      <c r="D179" s="0" t="inlineStr">
        <is>
          <t xml:space="preserve">2024-06</t>
        </is>
      </c>
      <c r="E179" s="0" t="inlineStr">
        <is>
          <t xml:space="preserve">2024</t>
        </is>
      </c>
      <c r="F179" s="17">
        <v>0</v>
      </c>
      <c r="G179" s="18">
        <f>C179+F179</f>
      </c>
    </row>
    <row r="180">
      <c r="A180" s="7">
        <v>45467</v>
      </c>
      <c r="B180" s="11">
        <f>SUMIFS(Flux_detail!$K$2:$K$403,Flux_detail!$A$2:$A$403,A180)</f>
      </c>
      <c r="C180" s="11">
        <f>C179+B180</f>
      </c>
      <c r="D180" s="0" t="inlineStr">
        <is>
          <t xml:space="preserve">2024-06</t>
        </is>
      </c>
      <c r="E180" s="0" t="inlineStr">
        <is>
          <t xml:space="preserve">2024</t>
        </is>
      </c>
      <c r="F180" s="17">
        <v>0</v>
      </c>
      <c r="G180" s="18">
        <f>C180+F180</f>
      </c>
    </row>
    <row r="181">
      <c r="A181" s="7">
        <v>45468</v>
      </c>
      <c r="B181" s="11">
        <f>SUMIFS(Flux_detail!$K$2:$K$403,Flux_detail!$A$2:$A$403,A181)</f>
      </c>
      <c r="C181" s="11">
        <f>C180+B181</f>
      </c>
      <c r="D181" s="0" t="inlineStr">
        <is>
          <t xml:space="preserve">2024-06</t>
        </is>
      </c>
      <c r="E181" s="0" t="inlineStr">
        <is>
          <t xml:space="preserve">2024</t>
        </is>
      </c>
      <c r="F181" s="17">
        <v>0</v>
      </c>
      <c r="G181" s="18">
        <f>C181+F181</f>
      </c>
    </row>
    <row r="182">
      <c r="A182" s="7">
        <v>45469</v>
      </c>
      <c r="B182" s="11">
        <f>SUMIFS(Flux_detail!$K$2:$K$403,Flux_detail!$A$2:$A$403,A182)</f>
      </c>
      <c r="C182" s="11">
        <f>C181+B182</f>
      </c>
      <c r="D182" s="0" t="inlineStr">
        <is>
          <t xml:space="preserve">2024-06</t>
        </is>
      </c>
      <c r="E182" s="0" t="inlineStr">
        <is>
          <t xml:space="preserve">2024</t>
        </is>
      </c>
      <c r="F182" s="17">
        <v>0</v>
      </c>
      <c r="G182" s="18">
        <f>C182+F182</f>
      </c>
    </row>
    <row r="183">
      <c r="A183" s="7">
        <v>45470</v>
      </c>
      <c r="B183" s="11">
        <f>SUMIFS(Flux_detail!$K$2:$K$403,Flux_detail!$A$2:$A$403,A183)</f>
      </c>
      <c r="C183" s="11">
        <f>C182+B183</f>
      </c>
      <c r="D183" s="0" t="inlineStr">
        <is>
          <t xml:space="preserve">2024-06</t>
        </is>
      </c>
      <c r="E183" s="0" t="inlineStr">
        <is>
          <t xml:space="preserve">2024</t>
        </is>
      </c>
      <c r="F183" s="17">
        <v>0</v>
      </c>
      <c r="G183" s="18">
        <f>C183+F183</f>
      </c>
    </row>
    <row r="184">
      <c r="A184" s="7">
        <v>45471</v>
      </c>
      <c r="B184" s="11">
        <f>SUMIFS(Flux_detail!$K$2:$K$403,Flux_detail!$A$2:$A$403,A184)</f>
      </c>
      <c r="C184" s="11">
        <f>C183+B184</f>
      </c>
      <c r="D184" s="0" t="inlineStr">
        <is>
          <t xml:space="preserve">2024-06</t>
        </is>
      </c>
      <c r="E184" s="0" t="inlineStr">
        <is>
          <t xml:space="preserve">2024</t>
        </is>
      </c>
      <c r="F184" s="17">
        <v>0</v>
      </c>
      <c r="G184" s="18">
        <f>C184+F184</f>
      </c>
    </row>
    <row r="185">
      <c r="A185" s="7">
        <v>45472</v>
      </c>
      <c r="B185" s="11">
        <f>SUMIFS(Flux_detail!$K$2:$K$403,Flux_detail!$A$2:$A$403,A185)</f>
      </c>
      <c r="C185" s="11">
        <f>C184+B185</f>
      </c>
      <c r="D185" s="0" t="inlineStr">
        <is>
          <t xml:space="preserve">2024-06</t>
        </is>
      </c>
      <c r="E185" s="0" t="inlineStr">
        <is>
          <t xml:space="preserve">2024</t>
        </is>
      </c>
      <c r="F185" s="17">
        <v>0</v>
      </c>
      <c r="G185" s="18">
        <f>C185+F185</f>
      </c>
    </row>
    <row r="186">
      <c r="A186" s="7">
        <v>45473</v>
      </c>
      <c r="B186" s="11">
        <f>SUMIFS(Flux_detail!$K$2:$K$403,Flux_detail!$A$2:$A$403,A186)</f>
      </c>
      <c r="C186" s="11">
        <f>C185+B186</f>
      </c>
      <c r="D186" s="0" t="inlineStr">
        <is>
          <t xml:space="preserve">2024-06</t>
        </is>
      </c>
      <c r="E186" s="0" t="inlineStr">
        <is>
          <t xml:space="preserve">2024</t>
        </is>
      </c>
      <c r="F186" s="17">
        <v>0</v>
      </c>
      <c r="G186" s="18">
        <f>C186+F186</f>
      </c>
    </row>
    <row r="187">
      <c r="A187" s="7">
        <v>45474</v>
      </c>
      <c r="B187" s="11">
        <f>SUMIFS(Flux_detail!$K$2:$K$403,Flux_detail!$A$2:$A$403,A187)</f>
      </c>
      <c r="C187" s="11">
        <f>C186+B187</f>
      </c>
      <c r="D187" s="0" t="inlineStr">
        <is>
          <t xml:space="preserve">2024-07</t>
        </is>
      </c>
      <c r="E187" s="0" t="inlineStr">
        <is>
          <t xml:space="preserve">2024</t>
        </is>
      </c>
      <c r="F187" s="17">
        <v>0</v>
      </c>
      <c r="G187" s="18">
        <f>C187+F187</f>
      </c>
    </row>
    <row r="188">
      <c r="A188" s="7">
        <v>45475</v>
      </c>
      <c r="B188" s="11">
        <f>SUMIFS(Flux_detail!$K$2:$K$403,Flux_detail!$A$2:$A$403,A188)</f>
      </c>
      <c r="C188" s="11">
        <f>C187+B188</f>
      </c>
      <c r="D188" s="0" t="inlineStr">
        <is>
          <t xml:space="preserve">2024-07</t>
        </is>
      </c>
      <c r="E188" s="0" t="inlineStr">
        <is>
          <t xml:space="preserve">2024</t>
        </is>
      </c>
      <c r="F188" s="17">
        <v>0</v>
      </c>
      <c r="G188" s="18">
        <f>C188+F188</f>
      </c>
    </row>
    <row r="189">
      <c r="A189" s="7">
        <v>45476</v>
      </c>
      <c r="B189" s="11">
        <f>SUMIFS(Flux_detail!$K$2:$K$403,Flux_detail!$A$2:$A$403,A189)</f>
      </c>
      <c r="C189" s="11">
        <f>C188+B189</f>
      </c>
      <c r="D189" s="0" t="inlineStr">
        <is>
          <t xml:space="preserve">2024-07</t>
        </is>
      </c>
      <c r="E189" s="0" t="inlineStr">
        <is>
          <t xml:space="preserve">2024</t>
        </is>
      </c>
      <c r="F189" s="17">
        <v>0</v>
      </c>
      <c r="G189" s="18">
        <f>C189+F189</f>
      </c>
    </row>
    <row r="190">
      <c r="A190" s="7">
        <v>45477</v>
      </c>
      <c r="B190" s="11">
        <f>SUMIFS(Flux_detail!$K$2:$K$403,Flux_detail!$A$2:$A$403,A190)</f>
      </c>
      <c r="C190" s="11">
        <f>C189+B190</f>
      </c>
      <c r="D190" s="0" t="inlineStr">
        <is>
          <t xml:space="preserve">2024-07</t>
        </is>
      </c>
      <c r="E190" s="0" t="inlineStr">
        <is>
          <t xml:space="preserve">2024</t>
        </is>
      </c>
      <c r="F190" s="17">
        <v>0</v>
      </c>
      <c r="G190" s="18">
        <f>C190+F190</f>
      </c>
    </row>
    <row r="191">
      <c r="A191" s="7">
        <v>45478</v>
      </c>
      <c r="B191" s="11">
        <f>SUMIFS(Flux_detail!$K$2:$K$403,Flux_detail!$A$2:$A$403,A191)</f>
      </c>
      <c r="C191" s="11">
        <f>C190+B191</f>
      </c>
      <c r="D191" s="0" t="inlineStr">
        <is>
          <t xml:space="preserve">2024-07</t>
        </is>
      </c>
      <c r="E191" s="0" t="inlineStr">
        <is>
          <t xml:space="preserve">2024</t>
        </is>
      </c>
      <c r="F191" s="17">
        <v>0</v>
      </c>
      <c r="G191" s="18">
        <f>C191+F191</f>
      </c>
    </row>
    <row r="192">
      <c r="A192" s="7">
        <v>45479</v>
      </c>
      <c r="B192" s="11">
        <f>SUMIFS(Flux_detail!$K$2:$K$403,Flux_detail!$A$2:$A$403,A192)</f>
      </c>
      <c r="C192" s="11">
        <f>C191+B192</f>
      </c>
      <c r="D192" s="0" t="inlineStr">
        <is>
          <t xml:space="preserve">2024-07</t>
        </is>
      </c>
      <c r="E192" s="0" t="inlineStr">
        <is>
          <t xml:space="preserve">2024</t>
        </is>
      </c>
      <c r="F192" s="17">
        <v>0</v>
      </c>
      <c r="G192" s="18">
        <f>C192+F192</f>
      </c>
    </row>
    <row r="193">
      <c r="A193" s="7">
        <v>45480</v>
      </c>
      <c r="B193" s="11">
        <f>SUMIFS(Flux_detail!$K$2:$K$403,Flux_detail!$A$2:$A$403,A193)</f>
      </c>
      <c r="C193" s="11">
        <f>C192+B193</f>
      </c>
      <c r="D193" s="0" t="inlineStr">
        <is>
          <t xml:space="preserve">2024-07</t>
        </is>
      </c>
      <c r="E193" s="0" t="inlineStr">
        <is>
          <t xml:space="preserve">2024</t>
        </is>
      </c>
      <c r="F193" s="17">
        <v>0</v>
      </c>
      <c r="G193" s="18">
        <f>C193+F193</f>
      </c>
    </row>
    <row r="194">
      <c r="A194" s="7">
        <v>45481</v>
      </c>
      <c r="B194" s="11">
        <f>SUMIFS(Flux_detail!$K$2:$K$403,Flux_detail!$A$2:$A$403,A194)</f>
      </c>
      <c r="C194" s="11">
        <f>C193+B194</f>
      </c>
      <c r="D194" s="0" t="inlineStr">
        <is>
          <t xml:space="preserve">2024-07</t>
        </is>
      </c>
      <c r="E194" s="0" t="inlineStr">
        <is>
          <t xml:space="preserve">2024</t>
        </is>
      </c>
      <c r="F194" s="17">
        <v>0</v>
      </c>
      <c r="G194" s="18">
        <f>C194+F194</f>
      </c>
    </row>
    <row r="195">
      <c r="A195" s="7">
        <v>45482</v>
      </c>
      <c r="B195" s="11">
        <f>SUMIFS(Flux_detail!$K$2:$K$403,Flux_detail!$A$2:$A$403,A195)</f>
      </c>
      <c r="C195" s="11">
        <f>C194+B195</f>
      </c>
      <c r="D195" s="0" t="inlineStr">
        <is>
          <t xml:space="preserve">2024-07</t>
        </is>
      </c>
      <c r="E195" s="0" t="inlineStr">
        <is>
          <t xml:space="preserve">2024</t>
        </is>
      </c>
      <c r="F195" s="17">
        <v>0</v>
      </c>
      <c r="G195" s="18">
        <f>C195+F195</f>
      </c>
    </row>
    <row r="196">
      <c r="A196" s="7">
        <v>45483</v>
      </c>
      <c r="B196" s="11">
        <f>SUMIFS(Flux_detail!$K$2:$K$403,Flux_detail!$A$2:$A$403,A196)</f>
      </c>
      <c r="C196" s="11">
        <f>C195+B196</f>
      </c>
      <c r="D196" s="0" t="inlineStr">
        <is>
          <t xml:space="preserve">2024-07</t>
        </is>
      </c>
      <c r="E196" s="0" t="inlineStr">
        <is>
          <t xml:space="preserve">2024</t>
        </is>
      </c>
      <c r="F196" s="17">
        <v>0</v>
      </c>
      <c r="G196" s="18">
        <f>C196+F196</f>
      </c>
    </row>
    <row r="197">
      <c r="A197" s="7">
        <v>45484</v>
      </c>
      <c r="B197" s="11">
        <f>SUMIFS(Flux_detail!$K$2:$K$403,Flux_detail!$A$2:$A$403,A197)</f>
      </c>
      <c r="C197" s="11">
        <f>C196+B197</f>
      </c>
      <c r="D197" s="0" t="inlineStr">
        <is>
          <t xml:space="preserve">2024-07</t>
        </is>
      </c>
      <c r="E197" s="0" t="inlineStr">
        <is>
          <t xml:space="preserve">2024</t>
        </is>
      </c>
      <c r="F197" s="17">
        <v>0</v>
      </c>
      <c r="G197" s="18">
        <f>C197+F197</f>
      </c>
    </row>
    <row r="198">
      <c r="A198" s="7">
        <v>45485</v>
      </c>
      <c r="B198" s="11">
        <f>SUMIFS(Flux_detail!$K$2:$K$403,Flux_detail!$A$2:$A$403,A198)</f>
      </c>
      <c r="C198" s="11">
        <f>C197+B198</f>
      </c>
      <c r="D198" s="0" t="inlineStr">
        <is>
          <t xml:space="preserve">2024-07</t>
        </is>
      </c>
      <c r="E198" s="0" t="inlineStr">
        <is>
          <t xml:space="preserve">2024</t>
        </is>
      </c>
      <c r="F198" s="17">
        <v>0</v>
      </c>
      <c r="G198" s="18">
        <f>C198+F198</f>
      </c>
    </row>
    <row r="199">
      <c r="A199" s="7">
        <v>45486</v>
      </c>
      <c r="B199" s="11">
        <f>SUMIFS(Flux_detail!$K$2:$K$403,Flux_detail!$A$2:$A$403,A199)</f>
      </c>
      <c r="C199" s="11">
        <f>C198+B199</f>
      </c>
      <c r="D199" s="0" t="inlineStr">
        <is>
          <t xml:space="preserve">2024-07</t>
        </is>
      </c>
      <c r="E199" s="0" t="inlineStr">
        <is>
          <t xml:space="preserve">2024</t>
        </is>
      </c>
      <c r="F199" s="17">
        <v>0</v>
      </c>
      <c r="G199" s="18">
        <f>C199+F199</f>
      </c>
    </row>
    <row r="200">
      <c r="A200" s="7">
        <v>45487</v>
      </c>
      <c r="B200" s="11">
        <f>SUMIFS(Flux_detail!$K$2:$K$403,Flux_detail!$A$2:$A$403,A200)</f>
      </c>
      <c r="C200" s="11">
        <f>C199+B200</f>
      </c>
      <c r="D200" s="0" t="inlineStr">
        <is>
          <t xml:space="preserve">2024-07</t>
        </is>
      </c>
      <c r="E200" s="0" t="inlineStr">
        <is>
          <t xml:space="preserve">2024</t>
        </is>
      </c>
      <c r="F200" s="17">
        <v>0</v>
      </c>
      <c r="G200" s="18">
        <f>C200+F200</f>
      </c>
    </row>
    <row r="201">
      <c r="A201" s="7">
        <v>45488</v>
      </c>
      <c r="B201" s="11">
        <f>SUMIFS(Flux_detail!$K$2:$K$403,Flux_detail!$A$2:$A$403,A201)</f>
      </c>
      <c r="C201" s="11">
        <f>C200+B201</f>
      </c>
      <c r="D201" s="0" t="inlineStr">
        <is>
          <t xml:space="preserve">2024-07</t>
        </is>
      </c>
      <c r="E201" s="0" t="inlineStr">
        <is>
          <t xml:space="preserve">2024</t>
        </is>
      </c>
      <c r="F201" s="17">
        <v>0</v>
      </c>
      <c r="G201" s="18">
        <f>C201+F201</f>
      </c>
    </row>
    <row r="202">
      <c r="A202" s="7">
        <v>45489</v>
      </c>
      <c r="B202" s="11">
        <f>SUMIFS(Flux_detail!$K$2:$K$403,Flux_detail!$A$2:$A$403,A202)</f>
      </c>
      <c r="C202" s="11">
        <f>C201+B202</f>
      </c>
      <c r="D202" s="0" t="inlineStr">
        <is>
          <t xml:space="preserve">2024-07</t>
        </is>
      </c>
      <c r="E202" s="0" t="inlineStr">
        <is>
          <t xml:space="preserve">2024</t>
        </is>
      </c>
      <c r="F202" s="17">
        <v>0</v>
      </c>
      <c r="G202" s="18">
        <f>C202+F202</f>
      </c>
    </row>
    <row r="203">
      <c r="A203" s="7">
        <v>45490</v>
      </c>
      <c r="B203" s="11">
        <f>SUMIFS(Flux_detail!$K$2:$K$403,Flux_detail!$A$2:$A$403,A203)</f>
      </c>
      <c r="C203" s="11">
        <f>C202+B203</f>
      </c>
      <c r="D203" s="0" t="inlineStr">
        <is>
          <t xml:space="preserve">2024-07</t>
        </is>
      </c>
      <c r="E203" s="0" t="inlineStr">
        <is>
          <t xml:space="preserve">2024</t>
        </is>
      </c>
      <c r="F203" s="17">
        <v>0</v>
      </c>
      <c r="G203" s="18">
        <f>C203+F203</f>
      </c>
    </row>
    <row r="204">
      <c r="A204" s="7">
        <v>45491</v>
      </c>
      <c r="B204" s="11">
        <f>SUMIFS(Flux_detail!$K$2:$K$403,Flux_detail!$A$2:$A$403,A204)</f>
      </c>
      <c r="C204" s="11">
        <f>C203+B204</f>
      </c>
      <c r="D204" s="0" t="inlineStr">
        <is>
          <t xml:space="preserve">2024-07</t>
        </is>
      </c>
      <c r="E204" s="0" t="inlineStr">
        <is>
          <t xml:space="preserve">2024</t>
        </is>
      </c>
      <c r="F204" s="17">
        <v>0</v>
      </c>
      <c r="G204" s="18">
        <f>C204+F204</f>
      </c>
    </row>
    <row r="205">
      <c r="A205" s="7">
        <v>45492</v>
      </c>
      <c r="B205" s="11">
        <f>SUMIFS(Flux_detail!$K$2:$K$403,Flux_detail!$A$2:$A$403,A205)</f>
      </c>
      <c r="C205" s="11">
        <f>C204+B205</f>
      </c>
      <c r="D205" s="0" t="inlineStr">
        <is>
          <t xml:space="preserve">2024-07</t>
        </is>
      </c>
      <c r="E205" s="0" t="inlineStr">
        <is>
          <t xml:space="preserve">2024</t>
        </is>
      </c>
      <c r="F205" s="17">
        <v>0</v>
      </c>
      <c r="G205" s="18">
        <f>C205+F205</f>
      </c>
    </row>
    <row r="206">
      <c r="A206" s="7">
        <v>45493</v>
      </c>
      <c r="B206" s="11">
        <f>SUMIFS(Flux_detail!$K$2:$K$403,Flux_detail!$A$2:$A$403,A206)</f>
      </c>
      <c r="C206" s="11">
        <f>C205+B206</f>
      </c>
      <c r="D206" s="0" t="inlineStr">
        <is>
          <t xml:space="preserve">2024-07</t>
        </is>
      </c>
      <c r="E206" s="0" t="inlineStr">
        <is>
          <t xml:space="preserve">2024</t>
        </is>
      </c>
      <c r="F206" s="17">
        <v>0</v>
      </c>
      <c r="G206" s="18">
        <f>C206+F206</f>
      </c>
    </row>
    <row r="207">
      <c r="A207" s="7">
        <v>45494</v>
      </c>
      <c r="B207" s="11">
        <f>SUMIFS(Flux_detail!$K$2:$K$403,Flux_detail!$A$2:$A$403,A207)</f>
      </c>
      <c r="C207" s="11">
        <f>C206+B207</f>
      </c>
      <c r="D207" s="0" t="inlineStr">
        <is>
          <t xml:space="preserve">2024-07</t>
        </is>
      </c>
      <c r="E207" s="0" t="inlineStr">
        <is>
          <t xml:space="preserve">2024</t>
        </is>
      </c>
      <c r="F207" s="17">
        <v>0</v>
      </c>
      <c r="G207" s="18">
        <f>C207+F207</f>
      </c>
    </row>
    <row r="208">
      <c r="A208" s="7">
        <v>45495</v>
      </c>
      <c r="B208" s="11">
        <f>SUMIFS(Flux_detail!$K$2:$K$403,Flux_detail!$A$2:$A$403,A208)</f>
      </c>
      <c r="C208" s="11">
        <f>C207+B208</f>
      </c>
      <c r="D208" s="0" t="inlineStr">
        <is>
          <t xml:space="preserve">2024-07</t>
        </is>
      </c>
      <c r="E208" s="0" t="inlineStr">
        <is>
          <t xml:space="preserve">2024</t>
        </is>
      </c>
      <c r="F208" s="17">
        <v>0</v>
      </c>
      <c r="G208" s="18">
        <f>C208+F208</f>
      </c>
    </row>
    <row r="209">
      <c r="A209" s="7">
        <v>45496</v>
      </c>
      <c r="B209" s="11">
        <f>SUMIFS(Flux_detail!$K$2:$K$403,Flux_detail!$A$2:$A$403,A209)</f>
      </c>
      <c r="C209" s="11">
        <f>C208+B209</f>
      </c>
      <c r="D209" s="0" t="inlineStr">
        <is>
          <t xml:space="preserve">2024-07</t>
        </is>
      </c>
      <c r="E209" s="0" t="inlineStr">
        <is>
          <t xml:space="preserve">2024</t>
        </is>
      </c>
      <c r="F209" s="17">
        <v>0</v>
      </c>
      <c r="G209" s="18">
        <f>C209+F209</f>
      </c>
    </row>
    <row r="210">
      <c r="A210" s="7">
        <v>45497</v>
      </c>
      <c r="B210" s="11">
        <f>SUMIFS(Flux_detail!$K$2:$K$403,Flux_detail!$A$2:$A$403,A210)</f>
      </c>
      <c r="C210" s="11">
        <f>C209+B210</f>
      </c>
      <c r="D210" s="0" t="inlineStr">
        <is>
          <t xml:space="preserve">2024-07</t>
        </is>
      </c>
      <c r="E210" s="0" t="inlineStr">
        <is>
          <t xml:space="preserve">2024</t>
        </is>
      </c>
      <c r="F210" s="17">
        <v>0</v>
      </c>
      <c r="G210" s="18">
        <f>C210+F210</f>
      </c>
    </row>
    <row r="211">
      <c r="A211" s="7">
        <v>45498</v>
      </c>
      <c r="B211" s="11">
        <f>SUMIFS(Flux_detail!$K$2:$K$403,Flux_detail!$A$2:$A$403,A211)</f>
      </c>
      <c r="C211" s="11">
        <f>C210+B211</f>
      </c>
      <c r="D211" s="0" t="inlineStr">
        <is>
          <t xml:space="preserve">2024-07</t>
        </is>
      </c>
      <c r="E211" s="0" t="inlineStr">
        <is>
          <t xml:space="preserve">2024</t>
        </is>
      </c>
      <c r="F211" s="17">
        <v>0</v>
      </c>
      <c r="G211" s="18">
        <f>C211+F211</f>
      </c>
    </row>
    <row r="212">
      <c r="A212" s="7">
        <v>45499</v>
      </c>
      <c r="B212" s="11">
        <f>SUMIFS(Flux_detail!$K$2:$K$403,Flux_detail!$A$2:$A$403,A212)</f>
      </c>
      <c r="C212" s="11">
        <f>C211+B212</f>
      </c>
      <c r="D212" s="0" t="inlineStr">
        <is>
          <t xml:space="preserve">2024-07</t>
        </is>
      </c>
      <c r="E212" s="0" t="inlineStr">
        <is>
          <t xml:space="preserve">2024</t>
        </is>
      </c>
      <c r="F212" s="17">
        <v>0</v>
      </c>
      <c r="G212" s="18">
        <f>C212+F212</f>
      </c>
    </row>
    <row r="213">
      <c r="A213" s="7">
        <v>45500</v>
      </c>
      <c r="B213" s="11">
        <f>SUMIFS(Flux_detail!$K$2:$K$403,Flux_detail!$A$2:$A$403,A213)</f>
      </c>
      <c r="C213" s="11">
        <f>C212+B213</f>
      </c>
      <c r="D213" s="0" t="inlineStr">
        <is>
          <t xml:space="preserve">2024-07</t>
        </is>
      </c>
      <c r="E213" s="0" t="inlineStr">
        <is>
          <t xml:space="preserve">2024</t>
        </is>
      </c>
      <c r="F213" s="17">
        <v>0</v>
      </c>
      <c r="G213" s="18">
        <f>C213+F213</f>
      </c>
    </row>
    <row r="214">
      <c r="A214" s="7">
        <v>45501</v>
      </c>
      <c r="B214" s="11">
        <f>SUMIFS(Flux_detail!$K$2:$K$403,Flux_detail!$A$2:$A$403,A214)</f>
      </c>
      <c r="C214" s="11">
        <f>C213+B214</f>
      </c>
      <c r="D214" s="0" t="inlineStr">
        <is>
          <t xml:space="preserve">2024-07</t>
        </is>
      </c>
      <c r="E214" s="0" t="inlineStr">
        <is>
          <t xml:space="preserve">2024</t>
        </is>
      </c>
      <c r="F214" s="17">
        <v>0</v>
      </c>
      <c r="G214" s="18">
        <f>C214+F214</f>
      </c>
    </row>
    <row r="215">
      <c r="A215" s="7">
        <v>45502</v>
      </c>
      <c r="B215" s="11">
        <f>SUMIFS(Flux_detail!$K$2:$K$403,Flux_detail!$A$2:$A$403,A215)</f>
      </c>
      <c r="C215" s="11">
        <f>C214+B215</f>
      </c>
      <c r="D215" s="0" t="inlineStr">
        <is>
          <t xml:space="preserve">2024-07</t>
        </is>
      </c>
      <c r="E215" s="0" t="inlineStr">
        <is>
          <t xml:space="preserve">2024</t>
        </is>
      </c>
      <c r="F215" s="17">
        <v>0</v>
      </c>
      <c r="G215" s="18">
        <f>C215+F215</f>
      </c>
    </row>
    <row r="216">
      <c r="A216" s="7">
        <v>45503</v>
      </c>
      <c r="B216" s="11">
        <f>SUMIFS(Flux_detail!$K$2:$K$403,Flux_detail!$A$2:$A$403,A216)</f>
      </c>
      <c r="C216" s="11">
        <f>C215+B216</f>
      </c>
      <c r="D216" s="0" t="inlineStr">
        <is>
          <t xml:space="preserve">2024-07</t>
        </is>
      </c>
      <c r="E216" s="0" t="inlineStr">
        <is>
          <t xml:space="preserve">2024</t>
        </is>
      </c>
      <c r="F216" s="17">
        <v>0</v>
      </c>
      <c r="G216" s="18">
        <f>C216+F216</f>
      </c>
    </row>
    <row r="217">
      <c r="A217" s="7">
        <v>45504</v>
      </c>
      <c r="B217" s="11">
        <f>SUMIFS(Flux_detail!$K$2:$K$403,Flux_detail!$A$2:$A$403,A217)</f>
      </c>
      <c r="C217" s="11">
        <f>C216+B217</f>
      </c>
      <c r="D217" s="0" t="inlineStr">
        <is>
          <t xml:space="preserve">2024-07</t>
        </is>
      </c>
      <c r="E217" s="0" t="inlineStr">
        <is>
          <t xml:space="preserve">2024</t>
        </is>
      </c>
      <c r="F217" s="17">
        <v>0</v>
      </c>
      <c r="G217" s="18">
        <f>C217+F217</f>
      </c>
    </row>
    <row r="218">
      <c r="A218" s="7">
        <v>45505</v>
      </c>
      <c r="B218" s="11">
        <f>SUMIFS(Flux_detail!$K$2:$K$403,Flux_detail!$A$2:$A$403,A218)</f>
      </c>
      <c r="C218" s="11">
        <f>C217+B218</f>
      </c>
      <c r="D218" s="0" t="inlineStr">
        <is>
          <t xml:space="preserve">2024-08</t>
        </is>
      </c>
      <c r="E218" s="0" t="inlineStr">
        <is>
          <t xml:space="preserve">2024</t>
        </is>
      </c>
      <c r="F218" s="17">
        <v>0</v>
      </c>
      <c r="G218" s="18">
        <f>C218+F218</f>
      </c>
    </row>
    <row r="219">
      <c r="A219" s="7">
        <v>45506</v>
      </c>
      <c r="B219" s="11">
        <f>SUMIFS(Flux_detail!$K$2:$K$403,Flux_detail!$A$2:$A$403,A219)</f>
      </c>
      <c r="C219" s="11">
        <f>C218+B219</f>
      </c>
      <c r="D219" s="0" t="inlineStr">
        <is>
          <t xml:space="preserve">2024-08</t>
        </is>
      </c>
      <c r="E219" s="0" t="inlineStr">
        <is>
          <t xml:space="preserve">2024</t>
        </is>
      </c>
      <c r="F219" s="17">
        <v>0</v>
      </c>
      <c r="G219" s="18">
        <f>C219+F219</f>
      </c>
    </row>
    <row r="220">
      <c r="A220" s="7">
        <v>45507</v>
      </c>
      <c r="B220" s="11">
        <f>SUMIFS(Flux_detail!$K$2:$K$403,Flux_detail!$A$2:$A$403,A220)</f>
      </c>
      <c r="C220" s="11">
        <f>C219+B220</f>
      </c>
      <c r="D220" s="0" t="inlineStr">
        <is>
          <t xml:space="preserve">2024-08</t>
        </is>
      </c>
      <c r="E220" s="0" t="inlineStr">
        <is>
          <t xml:space="preserve">2024</t>
        </is>
      </c>
      <c r="F220" s="17">
        <v>0</v>
      </c>
      <c r="G220" s="18">
        <f>C220+F220</f>
      </c>
    </row>
    <row r="221">
      <c r="A221" s="7">
        <v>45508</v>
      </c>
      <c r="B221" s="11">
        <f>SUMIFS(Flux_detail!$K$2:$K$403,Flux_detail!$A$2:$A$403,A221)</f>
      </c>
      <c r="C221" s="11">
        <f>C220+B221</f>
      </c>
      <c r="D221" s="0" t="inlineStr">
        <is>
          <t xml:space="preserve">2024-08</t>
        </is>
      </c>
      <c r="E221" s="0" t="inlineStr">
        <is>
          <t xml:space="preserve">2024</t>
        </is>
      </c>
      <c r="F221" s="17">
        <v>0</v>
      </c>
      <c r="G221" s="18">
        <f>C221+F221</f>
      </c>
    </row>
    <row r="222">
      <c r="A222" s="7">
        <v>45509</v>
      </c>
      <c r="B222" s="11">
        <f>SUMIFS(Flux_detail!$K$2:$K$403,Flux_detail!$A$2:$A$403,A222)</f>
      </c>
      <c r="C222" s="11">
        <f>C221+B222</f>
      </c>
      <c r="D222" s="0" t="inlineStr">
        <is>
          <t xml:space="preserve">2024-08</t>
        </is>
      </c>
      <c r="E222" s="0" t="inlineStr">
        <is>
          <t xml:space="preserve">2024</t>
        </is>
      </c>
      <c r="F222" s="17">
        <v>0</v>
      </c>
      <c r="G222" s="18">
        <f>C222+F222</f>
      </c>
    </row>
    <row r="223">
      <c r="A223" s="7">
        <v>45510</v>
      </c>
      <c r="B223" s="11">
        <f>SUMIFS(Flux_detail!$K$2:$K$403,Flux_detail!$A$2:$A$403,A223)</f>
      </c>
      <c r="C223" s="11">
        <f>C222+B223</f>
      </c>
      <c r="D223" s="0" t="inlineStr">
        <is>
          <t xml:space="preserve">2024-08</t>
        </is>
      </c>
      <c r="E223" s="0" t="inlineStr">
        <is>
          <t xml:space="preserve">2024</t>
        </is>
      </c>
      <c r="F223" s="17">
        <v>0</v>
      </c>
      <c r="G223" s="18">
        <f>C223+F223</f>
      </c>
    </row>
    <row r="224">
      <c r="A224" s="7">
        <v>45511</v>
      </c>
      <c r="B224" s="11">
        <f>SUMIFS(Flux_detail!$K$2:$K$403,Flux_detail!$A$2:$A$403,A224)</f>
      </c>
      <c r="C224" s="11">
        <f>C223+B224</f>
      </c>
      <c r="D224" s="0" t="inlineStr">
        <is>
          <t xml:space="preserve">2024-08</t>
        </is>
      </c>
      <c r="E224" s="0" t="inlineStr">
        <is>
          <t xml:space="preserve">2024</t>
        </is>
      </c>
      <c r="F224" s="17">
        <v>0</v>
      </c>
      <c r="G224" s="18">
        <f>C224+F224</f>
      </c>
    </row>
    <row r="225">
      <c r="A225" s="7">
        <v>45512</v>
      </c>
      <c r="B225" s="11">
        <f>SUMIFS(Flux_detail!$K$2:$K$403,Flux_detail!$A$2:$A$403,A225)</f>
      </c>
      <c r="C225" s="11">
        <f>C224+B225</f>
      </c>
      <c r="D225" s="0" t="inlineStr">
        <is>
          <t xml:space="preserve">2024-08</t>
        </is>
      </c>
      <c r="E225" s="0" t="inlineStr">
        <is>
          <t xml:space="preserve">2024</t>
        </is>
      </c>
      <c r="F225" s="17">
        <v>0</v>
      </c>
      <c r="G225" s="18">
        <f>C225+F225</f>
      </c>
    </row>
    <row r="226">
      <c r="A226" s="7">
        <v>45513</v>
      </c>
      <c r="B226" s="11">
        <f>SUMIFS(Flux_detail!$K$2:$K$403,Flux_detail!$A$2:$A$403,A226)</f>
      </c>
      <c r="C226" s="11">
        <f>C225+B226</f>
      </c>
      <c r="D226" s="0" t="inlineStr">
        <is>
          <t xml:space="preserve">2024-08</t>
        </is>
      </c>
      <c r="E226" s="0" t="inlineStr">
        <is>
          <t xml:space="preserve">2024</t>
        </is>
      </c>
      <c r="F226" s="17">
        <v>0</v>
      </c>
      <c r="G226" s="18">
        <f>C226+F226</f>
      </c>
    </row>
    <row r="227">
      <c r="A227" s="7">
        <v>45514</v>
      </c>
      <c r="B227" s="11">
        <f>SUMIFS(Flux_detail!$K$2:$K$403,Flux_detail!$A$2:$A$403,A227)</f>
      </c>
      <c r="C227" s="11">
        <f>C226+B227</f>
      </c>
      <c r="D227" s="0" t="inlineStr">
        <is>
          <t xml:space="preserve">2024-08</t>
        </is>
      </c>
      <c r="E227" s="0" t="inlineStr">
        <is>
          <t xml:space="preserve">2024</t>
        </is>
      </c>
      <c r="F227" s="17">
        <v>0</v>
      </c>
      <c r="G227" s="18">
        <f>C227+F227</f>
      </c>
    </row>
    <row r="228">
      <c r="A228" s="7">
        <v>45515</v>
      </c>
      <c r="B228" s="11">
        <f>SUMIFS(Flux_detail!$K$2:$K$403,Flux_detail!$A$2:$A$403,A228)</f>
      </c>
      <c r="C228" s="11">
        <f>C227+B228</f>
      </c>
      <c r="D228" s="0" t="inlineStr">
        <is>
          <t xml:space="preserve">2024-08</t>
        </is>
      </c>
      <c r="E228" s="0" t="inlineStr">
        <is>
          <t xml:space="preserve">2024</t>
        </is>
      </c>
      <c r="F228" s="17">
        <v>0</v>
      </c>
      <c r="G228" s="18">
        <f>C228+F228</f>
      </c>
    </row>
    <row r="229">
      <c r="A229" s="7">
        <v>45516</v>
      </c>
      <c r="B229" s="11">
        <f>SUMIFS(Flux_detail!$K$2:$K$403,Flux_detail!$A$2:$A$403,A229)</f>
      </c>
      <c r="C229" s="11">
        <f>C228+B229</f>
      </c>
      <c r="D229" s="0" t="inlineStr">
        <is>
          <t xml:space="preserve">2024-08</t>
        </is>
      </c>
      <c r="E229" s="0" t="inlineStr">
        <is>
          <t xml:space="preserve">2024</t>
        </is>
      </c>
      <c r="F229" s="17">
        <v>0</v>
      </c>
      <c r="G229" s="18">
        <f>C229+F229</f>
      </c>
    </row>
    <row r="230">
      <c r="A230" s="7">
        <v>45517</v>
      </c>
      <c r="B230" s="11">
        <f>SUMIFS(Flux_detail!$K$2:$K$403,Flux_detail!$A$2:$A$403,A230)</f>
      </c>
      <c r="C230" s="11">
        <f>C229+B230</f>
      </c>
      <c r="D230" s="0" t="inlineStr">
        <is>
          <t xml:space="preserve">2024-08</t>
        </is>
      </c>
      <c r="E230" s="0" t="inlineStr">
        <is>
          <t xml:space="preserve">2024</t>
        </is>
      </c>
      <c r="F230" s="17">
        <v>0</v>
      </c>
      <c r="G230" s="18">
        <f>C230+F230</f>
      </c>
    </row>
    <row r="231">
      <c r="A231" s="7">
        <v>45518</v>
      </c>
      <c r="B231" s="11">
        <f>SUMIFS(Flux_detail!$K$2:$K$403,Flux_detail!$A$2:$A$403,A231)</f>
      </c>
      <c r="C231" s="11">
        <f>C230+B231</f>
      </c>
      <c r="D231" s="0" t="inlineStr">
        <is>
          <t xml:space="preserve">2024-08</t>
        </is>
      </c>
      <c r="E231" s="0" t="inlineStr">
        <is>
          <t xml:space="preserve">2024</t>
        </is>
      </c>
      <c r="F231" s="17">
        <v>0</v>
      </c>
      <c r="G231" s="18">
        <f>C231+F231</f>
      </c>
    </row>
    <row r="232">
      <c r="A232" s="7">
        <v>45519</v>
      </c>
      <c r="B232" s="11">
        <f>SUMIFS(Flux_detail!$K$2:$K$403,Flux_detail!$A$2:$A$403,A232)</f>
      </c>
      <c r="C232" s="11">
        <f>C231+B232</f>
      </c>
      <c r="D232" s="0" t="inlineStr">
        <is>
          <t xml:space="preserve">2024-08</t>
        </is>
      </c>
      <c r="E232" s="0" t="inlineStr">
        <is>
          <t xml:space="preserve">2024</t>
        </is>
      </c>
      <c r="F232" s="17">
        <v>0</v>
      </c>
      <c r="G232" s="18">
        <f>C232+F232</f>
      </c>
    </row>
    <row r="233">
      <c r="A233" s="7">
        <v>45520</v>
      </c>
      <c r="B233" s="11">
        <f>SUMIFS(Flux_detail!$K$2:$K$403,Flux_detail!$A$2:$A$403,A233)</f>
      </c>
      <c r="C233" s="11">
        <f>C232+B233</f>
      </c>
      <c r="D233" s="0" t="inlineStr">
        <is>
          <t xml:space="preserve">2024-08</t>
        </is>
      </c>
      <c r="E233" s="0" t="inlineStr">
        <is>
          <t xml:space="preserve">2024</t>
        </is>
      </c>
      <c r="F233" s="17">
        <v>0</v>
      </c>
      <c r="G233" s="18">
        <f>C233+F233</f>
      </c>
    </row>
    <row r="234">
      <c r="A234" s="7">
        <v>45521</v>
      </c>
      <c r="B234" s="11">
        <f>SUMIFS(Flux_detail!$K$2:$K$403,Flux_detail!$A$2:$A$403,A234)</f>
      </c>
      <c r="C234" s="11">
        <f>C233+B234</f>
      </c>
      <c r="D234" s="0" t="inlineStr">
        <is>
          <t xml:space="preserve">2024-08</t>
        </is>
      </c>
      <c r="E234" s="0" t="inlineStr">
        <is>
          <t xml:space="preserve">2024</t>
        </is>
      </c>
      <c r="F234" s="17">
        <v>0</v>
      </c>
      <c r="G234" s="18">
        <f>C234+F234</f>
      </c>
    </row>
    <row r="235">
      <c r="A235" s="7">
        <v>45522</v>
      </c>
      <c r="B235" s="11">
        <f>SUMIFS(Flux_detail!$K$2:$K$403,Flux_detail!$A$2:$A$403,A235)</f>
      </c>
      <c r="C235" s="11">
        <f>C234+B235</f>
      </c>
      <c r="D235" s="0" t="inlineStr">
        <is>
          <t xml:space="preserve">2024-08</t>
        </is>
      </c>
      <c r="E235" s="0" t="inlineStr">
        <is>
          <t xml:space="preserve">2024</t>
        </is>
      </c>
      <c r="F235" s="17">
        <v>0</v>
      </c>
      <c r="G235" s="18">
        <f>C235+F235</f>
      </c>
    </row>
    <row r="236">
      <c r="A236" s="7">
        <v>45523</v>
      </c>
      <c r="B236" s="11">
        <f>SUMIFS(Flux_detail!$K$2:$K$403,Flux_detail!$A$2:$A$403,A236)</f>
      </c>
      <c r="C236" s="11">
        <f>C235+B236</f>
      </c>
      <c r="D236" s="0" t="inlineStr">
        <is>
          <t xml:space="preserve">2024-08</t>
        </is>
      </c>
      <c r="E236" s="0" t="inlineStr">
        <is>
          <t xml:space="preserve">2024</t>
        </is>
      </c>
      <c r="F236" s="17">
        <v>0</v>
      </c>
      <c r="G236" s="18">
        <f>C236+F236</f>
      </c>
    </row>
    <row r="237">
      <c r="A237" s="7">
        <v>45524</v>
      </c>
      <c r="B237" s="11">
        <f>SUMIFS(Flux_detail!$K$2:$K$403,Flux_detail!$A$2:$A$403,A237)</f>
      </c>
      <c r="C237" s="11">
        <f>C236+B237</f>
      </c>
      <c r="D237" s="0" t="inlineStr">
        <is>
          <t xml:space="preserve">2024-08</t>
        </is>
      </c>
      <c r="E237" s="0" t="inlineStr">
        <is>
          <t xml:space="preserve">2024</t>
        </is>
      </c>
      <c r="F237" s="17">
        <v>0</v>
      </c>
      <c r="G237" s="18">
        <f>C237+F237</f>
      </c>
    </row>
    <row r="238">
      <c r="A238" s="7">
        <v>45525</v>
      </c>
      <c r="B238" s="11">
        <f>SUMIFS(Flux_detail!$K$2:$K$403,Flux_detail!$A$2:$A$403,A238)</f>
      </c>
      <c r="C238" s="11">
        <f>C237+B238</f>
      </c>
      <c r="D238" s="0" t="inlineStr">
        <is>
          <t xml:space="preserve">2024-08</t>
        </is>
      </c>
      <c r="E238" s="0" t="inlineStr">
        <is>
          <t xml:space="preserve">2024</t>
        </is>
      </c>
      <c r="F238" s="17">
        <v>0</v>
      </c>
      <c r="G238" s="18">
        <f>C238+F238</f>
      </c>
    </row>
    <row r="239">
      <c r="A239" s="7">
        <v>45526</v>
      </c>
      <c r="B239" s="11">
        <f>SUMIFS(Flux_detail!$K$2:$K$403,Flux_detail!$A$2:$A$403,A239)</f>
      </c>
      <c r="C239" s="11">
        <f>C238+B239</f>
      </c>
      <c r="D239" s="0" t="inlineStr">
        <is>
          <t xml:space="preserve">2024-08</t>
        </is>
      </c>
      <c r="E239" s="0" t="inlineStr">
        <is>
          <t xml:space="preserve">2024</t>
        </is>
      </c>
      <c r="F239" s="17">
        <v>0</v>
      </c>
      <c r="G239" s="18">
        <f>C239+F239</f>
      </c>
    </row>
    <row r="240">
      <c r="A240" s="7">
        <v>45527</v>
      </c>
      <c r="B240" s="11">
        <f>SUMIFS(Flux_detail!$K$2:$K$403,Flux_detail!$A$2:$A$403,A240)</f>
      </c>
      <c r="C240" s="11">
        <f>C239+B240</f>
      </c>
      <c r="D240" s="0" t="inlineStr">
        <is>
          <t xml:space="preserve">2024-08</t>
        </is>
      </c>
      <c r="E240" s="0" t="inlineStr">
        <is>
          <t xml:space="preserve">2024</t>
        </is>
      </c>
      <c r="F240" s="17">
        <v>0</v>
      </c>
      <c r="G240" s="18">
        <f>C240+F240</f>
      </c>
    </row>
    <row r="241">
      <c r="A241" s="7">
        <v>45528</v>
      </c>
      <c r="B241" s="11">
        <f>SUMIFS(Flux_detail!$K$2:$K$403,Flux_detail!$A$2:$A$403,A241)</f>
      </c>
      <c r="C241" s="11">
        <f>C240+B241</f>
      </c>
      <c r="D241" s="0" t="inlineStr">
        <is>
          <t xml:space="preserve">2024-08</t>
        </is>
      </c>
      <c r="E241" s="0" t="inlineStr">
        <is>
          <t xml:space="preserve">2024</t>
        </is>
      </c>
      <c r="F241" s="17">
        <v>0</v>
      </c>
      <c r="G241" s="18">
        <f>C241+F241</f>
      </c>
    </row>
    <row r="242">
      <c r="A242" s="7">
        <v>45529</v>
      </c>
      <c r="B242" s="11">
        <f>SUMIFS(Flux_detail!$K$2:$K$403,Flux_detail!$A$2:$A$403,A242)</f>
      </c>
      <c r="C242" s="11">
        <f>C241+B242</f>
      </c>
      <c r="D242" s="0" t="inlineStr">
        <is>
          <t xml:space="preserve">2024-08</t>
        </is>
      </c>
      <c r="E242" s="0" t="inlineStr">
        <is>
          <t xml:space="preserve">2024</t>
        </is>
      </c>
      <c r="F242" s="17">
        <v>0</v>
      </c>
      <c r="G242" s="18">
        <f>C242+F242</f>
      </c>
    </row>
    <row r="243">
      <c r="A243" s="7">
        <v>45530</v>
      </c>
      <c r="B243" s="11">
        <f>SUMIFS(Flux_detail!$K$2:$K$403,Flux_detail!$A$2:$A$403,A243)</f>
      </c>
      <c r="C243" s="11">
        <f>C242+B243</f>
      </c>
      <c r="D243" s="0" t="inlineStr">
        <is>
          <t xml:space="preserve">2024-08</t>
        </is>
      </c>
      <c r="E243" s="0" t="inlineStr">
        <is>
          <t xml:space="preserve">2024</t>
        </is>
      </c>
      <c r="F243" s="17">
        <v>0</v>
      </c>
      <c r="G243" s="18">
        <f>C243+F243</f>
      </c>
    </row>
    <row r="244">
      <c r="A244" s="7">
        <v>45531</v>
      </c>
      <c r="B244" s="11">
        <f>SUMIFS(Flux_detail!$K$2:$K$403,Flux_detail!$A$2:$A$403,A244)</f>
      </c>
      <c r="C244" s="11">
        <f>C243+B244</f>
      </c>
      <c r="D244" s="0" t="inlineStr">
        <is>
          <t xml:space="preserve">2024-08</t>
        </is>
      </c>
      <c r="E244" s="0" t="inlineStr">
        <is>
          <t xml:space="preserve">2024</t>
        </is>
      </c>
      <c r="F244" s="17">
        <v>0</v>
      </c>
      <c r="G244" s="18">
        <f>C244+F244</f>
      </c>
    </row>
    <row r="245">
      <c r="A245" s="7">
        <v>45532</v>
      </c>
      <c r="B245" s="11">
        <f>SUMIFS(Flux_detail!$K$2:$K$403,Flux_detail!$A$2:$A$403,A245)</f>
      </c>
      <c r="C245" s="11">
        <f>C244+B245</f>
      </c>
      <c r="D245" s="0" t="inlineStr">
        <is>
          <t xml:space="preserve">2024-08</t>
        </is>
      </c>
      <c r="E245" s="0" t="inlineStr">
        <is>
          <t xml:space="preserve">2024</t>
        </is>
      </c>
      <c r="F245" s="17">
        <v>0</v>
      </c>
      <c r="G245" s="18">
        <f>C245+F245</f>
      </c>
    </row>
    <row r="246">
      <c r="A246" s="7">
        <v>45533</v>
      </c>
      <c r="B246" s="11">
        <f>SUMIFS(Flux_detail!$K$2:$K$403,Flux_detail!$A$2:$A$403,A246)</f>
      </c>
      <c r="C246" s="11">
        <f>C245+B246</f>
      </c>
      <c r="D246" s="0" t="inlineStr">
        <is>
          <t xml:space="preserve">2024-08</t>
        </is>
      </c>
      <c r="E246" s="0" t="inlineStr">
        <is>
          <t xml:space="preserve">2024</t>
        </is>
      </c>
      <c r="F246" s="17">
        <v>0</v>
      </c>
      <c r="G246" s="18">
        <f>C246+F246</f>
      </c>
    </row>
    <row r="247">
      <c r="A247" s="7">
        <v>45534</v>
      </c>
      <c r="B247" s="11">
        <f>SUMIFS(Flux_detail!$K$2:$K$403,Flux_detail!$A$2:$A$403,A247)</f>
      </c>
      <c r="C247" s="11">
        <f>C246+B247</f>
      </c>
      <c r="D247" s="0" t="inlineStr">
        <is>
          <t xml:space="preserve">2024-08</t>
        </is>
      </c>
      <c r="E247" s="0" t="inlineStr">
        <is>
          <t xml:space="preserve">2024</t>
        </is>
      </c>
      <c r="F247" s="17">
        <v>0</v>
      </c>
      <c r="G247" s="18">
        <f>C247+F247</f>
      </c>
    </row>
    <row r="248">
      <c r="A248" s="7">
        <v>45535</v>
      </c>
      <c r="B248" s="11">
        <f>SUMIFS(Flux_detail!$K$2:$K$403,Flux_detail!$A$2:$A$403,A248)</f>
      </c>
      <c r="C248" s="11">
        <f>C247+B248</f>
      </c>
      <c r="D248" s="0" t="inlineStr">
        <is>
          <t xml:space="preserve">2024-08</t>
        </is>
      </c>
      <c r="E248" s="0" t="inlineStr">
        <is>
          <t xml:space="preserve">2024</t>
        </is>
      </c>
      <c r="F248" s="17">
        <v>0</v>
      </c>
      <c r="G248" s="18">
        <f>C248+F248</f>
      </c>
    </row>
    <row r="249">
      <c r="A249" s="7">
        <v>45536</v>
      </c>
      <c r="B249" s="11">
        <f>SUMIFS(Flux_detail!$K$2:$K$403,Flux_detail!$A$2:$A$403,A249)</f>
      </c>
      <c r="C249" s="11">
        <f>C248+B249</f>
      </c>
      <c r="D249" s="0" t="inlineStr">
        <is>
          <t xml:space="preserve">2024-09</t>
        </is>
      </c>
      <c r="E249" s="0" t="inlineStr">
        <is>
          <t xml:space="preserve">2024</t>
        </is>
      </c>
      <c r="F249" s="17">
        <v>0</v>
      </c>
      <c r="G249" s="18">
        <f>C249+F249</f>
      </c>
    </row>
    <row r="250">
      <c r="A250" s="7">
        <v>45537</v>
      </c>
      <c r="B250" s="11">
        <f>SUMIFS(Flux_detail!$K$2:$K$403,Flux_detail!$A$2:$A$403,A250)</f>
      </c>
      <c r="C250" s="11">
        <f>C249+B250</f>
      </c>
      <c r="D250" s="0" t="inlineStr">
        <is>
          <t xml:space="preserve">2024-09</t>
        </is>
      </c>
      <c r="E250" s="0" t="inlineStr">
        <is>
          <t xml:space="preserve">2024</t>
        </is>
      </c>
      <c r="F250" s="17">
        <v>0</v>
      </c>
      <c r="G250" s="18">
        <f>C250+F250</f>
      </c>
    </row>
    <row r="251">
      <c r="A251" s="7">
        <v>45538</v>
      </c>
      <c r="B251" s="11">
        <f>SUMIFS(Flux_detail!$K$2:$K$403,Flux_detail!$A$2:$A$403,A251)</f>
      </c>
      <c r="C251" s="11">
        <f>C250+B251</f>
      </c>
      <c r="D251" s="0" t="inlineStr">
        <is>
          <t xml:space="preserve">2024-09</t>
        </is>
      </c>
      <c r="E251" s="0" t="inlineStr">
        <is>
          <t xml:space="preserve">2024</t>
        </is>
      </c>
      <c r="F251" s="17">
        <v>0</v>
      </c>
      <c r="G251" s="18">
        <f>C251+F251</f>
      </c>
    </row>
    <row r="252">
      <c r="A252" s="7">
        <v>45539</v>
      </c>
      <c r="B252" s="11">
        <f>SUMIFS(Flux_detail!$K$2:$K$403,Flux_detail!$A$2:$A$403,A252)</f>
      </c>
      <c r="C252" s="11">
        <f>C251+B252</f>
      </c>
      <c r="D252" s="0" t="inlineStr">
        <is>
          <t xml:space="preserve">2024-09</t>
        </is>
      </c>
      <c r="E252" s="0" t="inlineStr">
        <is>
          <t xml:space="preserve">2024</t>
        </is>
      </c>
      <c r="F252" s="17">
        <v>0</v>
      </c>
      <c r="G252" s="18">
        <f>C252+F252</f>
      </c>
    </row>
    <row r="253">
      <c r="A253" s="7">
        <v>45540</v>
      </c>
      <c r="B253" s="11">
        <f>SUMIFS(Flux_detail!$K$2:$K$403,Flux_detail!$A$2:$A$403,A253)</f>
      </c>
      <c r="C253" s="11">
        <f>C252+B253</f>
      </c>
      <c r="D253" s="0" t="inlineStr">
        <is>
          <t xml:space="preserve">2024-09</t>
        </is>
      </c>
      <c r="E253" s="0" t="inlineStr">
        <is>
          <t xml:space="preserve">2024</t>
        </is>
      </c>
      <c r="F253" s="17">
        <v>0</v>
      </c>
      <c r="G253" s="18">
        <f>C253+F253</f>
      </c>
    </row>
    <row r="254">
      <c r="A254" s="7">
        <v>45541</v>
      </c>
      <c r="B254" s="11">
        <f>SUMIFS(Flux_detail!$K$2:$K$403,Flux_detail!$A$2:$A$403,A254)</f>
      </c>
      <c r="C254" s="11">
        <f>C253+B254</f>
      </c>
      <c r="D254" s="0" t="inlineStr">
        <is>
          <t xml:space="preserve">2024-09</t>
        </is>
      </c>
      <c r="E254" s="0" t="inlineStr">
        <is>
          <t xml:space="preserve">2024</t>
        </is>
      </c>
      <c r="F254" s="17">
        <v>0</v>
      </c>
      <c r="G254" s="18">
        <f>C254+F254</f>
      </c>
    </row>
    <row r="255">
      <c r="A255" s="7">
        <v>45542</v>
      </c>
      <c r="B255" s="11">
        <f>SUMIFS(Flux_detail!$K$2:$K$403,Flux_detail!$A$2:$A$403,A255)</f>
      </c>
      <c r="C255" s="11">
        <f>C254+B255</f>
      </c>
      <c r="D255" s="0" t="inlineStr">
        <is>
          <t xml:space="preserve">2024-09</t>
        </is>
      </c>
      <c r="E255" s="0" t="inlineStr">
        <is>
          <t xml:space="preserve">2024</t>
        </is>
      </c>
      <c r="F255" s="17">
        <v>0</v>
      </c>
      <c r="G255" s="18">
        <f>C255+F255</f>
      </c>
    </row>
    <row r="256">
      <c r="A256" s="7">
        <v>45543</v>
      </c>
      <c r="B256" s="11">
        <f>SUMIFS(Flux_detail!$K$2:$K$403,Flux_detail!$A$2:$A$403,A256)</f>
      </c>
      <c r="C256" s="11">
        <f>C255+B256</f>
      </c>
      <c r="D256" s="0" t="inlineStr">
        <is>
          <t xml:space="preserve">2024-09</t>
        </is>
      </c>
      <c r="E256" s="0" t="inlineStr">
        <is>
          <t xml:space="preserve">2024</t>
        </is>
      </c>
      <c r="F256" s="17">
        <v>0</v>
      </c>
      <c r="G256" s="18">
        <f>C256+F256</f>
      </c>
    </row>
    <row r="257">
      <c r="A257" s="7">
        <v>45544</v>
      </c>
      <c r="B257" s="11">
        <f>SUMIFS(Flux_detail!$K$2:$K$403,Flux_detail!$A$2:$A$403,A257)</f>
      </c>
      <c r="C257" s="11">
        <f>C256+B257</f>
      </c>
      <c r="D257" s="0" t="inlineStr">
        <is>
          <t xml:space="preserve">2024-09</t>
        </is>
      </c>
      <c r="E257" s="0" t="inlineStr">
        <is>
          <t xml:space="preserve">2024</t>
        </is>
      </c>
      <c r="F257" s="17">
        <v>0</v>
      </c>
      <c r="G257" s="18">
        <f>C257+F257</f>
      </c>
    </row>
    <row r="258">
      <c r="A258" s="7">
        <v>45545</v>
      </c>
      <c r="B258" s="11">
        <f>SUMIFS(Flux_detail!$K$2:$K$403,Flux_detail!$A$2:$A$403,A258)</f>
      </c>
      <c r="C258" s="11">
        <f>C257+B258</f>
      </c>
      <c r="D258" s="0" t="inlineStr">
        <is>
          <t xml:space="preserve">2024-09</t>
        </is>
      </c>
      <c r="E258" s="0" t="inlineStr">
        <is>
          <t xml:space="preserve">2024</t>
        </is>
      </c>
      <c r="F258" s="17">
        <v>0</v>
      </c>
      <c r="G258" s="18">
        <f>C258+F258</f>
      </c>
    </row>
    <row r="259">
      <c r="A259" s="7">
        <v>45546</v>
      </c>
      <c r="B259" s="11">
        <f>SUMIFS(Flux_detail!$K$2:$K$403,Flux_detail!$A$2:$A$403,A259)</f>
      </c>
      <c r="C259" s="11">
        <f>C258+B259</f>
      </c>
      <c r="D259" s="0" t="inlineStr">
        <is>
          <t xml:space="preserve">2024-09</t>
        </is>
      </c>
      <c r="E259" s="0" t="inlineStr">
        <is>
          <t xml:space="preserve">2024</t>
        </is>
      </c>
      <c r="F259" s="17">
        <v>0</v>
      </c>
      <c r="G259" s="18">
        <f>C259+F259</f>
      </c>
    </row>
    <row r="260">
      <c r="A260" s="7">
        <v>45547</v>
      </c>
      <c r="B260" s="11">
        <f>SUMIFS(Flux_detail!$K$2:$K$403,Flux_detail!$A$2:$A$403,A260)</f>
      </c>
      <c r="C260" s="11">
        <f>C259+B260</f>
      </c>
      <c r="D260" s="0" t="inlineStr">
        <is>
          <t xml:space="preserve">2024-09</t>
        </is>
      </c>
      <c r="E260" s="0" t="inlineStr">
        <is>
          <t xml:space="preserve">2024</t>
        </is>
      </c>
      <c r="F260" s="17">
        <v>0</v>
      </c>
      <c r="G260" s="18">
        <f>C260+F260</f>
      </c>
    </row>
    <row r="261">
      <c r="A261" s="7">
        <v>45548</v>
      </c>
      <c r="B261" s="11">
        <f>SUMIFS(Flux_detail!$K$2:$K$403,Flux_detail!$A$2:$A$403,A261)</f>
      </c>
      <c r="C261" s="11">
        <f>C260+B261</f>
      </c>
      <c r="D261" s="0" t="inlineStr">
        <is>
          <t xml:space="preserve">2024-09</t>
        </is>
      </c>
      <c r="E261" s="0" t="inlineStr">
        <is>
          <t xml:space="preserve">2024</t>
        </is>
      </c>
      <c r="F261" s="17">
        <v>0</v>
      </c>
      <c r="G261" s="18">
        <f>C261+F261</f>
      </c>
    </row>
    <row r="262">
      <c r="A262" s="7">
        <v>45549</v>
      </c>
      <c r="B262" s="11">
        <f>SUMIFS(Flux_detail!$K$2:$K$403,Flux_detail!$A$2:$A$403,A262)</f>
      </c>
      <c r="C262" s="11">
        <f>C261+B262</f>
      </c>
      <c r="D262" s="0" t="inlineStr">
        <is>
          <t xml:space="preserve">2024-09</t>
        </is>
      </c>
      <c r="E262" s="0" t="inlineStr">
        <is>
          <t xml:space="preserve">2024</t>
        </is>
      </c>
      <c r="F262" s="17">
        <v>0</v>
      </c>
      <c r="G262" s="18">
        <f>C262+F262</f>
      </c>
    </row>
    <row r="263">
      <c r="A263" s="7">
        <v>45550</v>
      </c>
      <c r="B263" s="11">
        <f>SUMIFS(Flux_detail!$K$2:$K$403,Flux_detail!$A$2:$A$403,A263)</f>
      </c>
      <c r="C263" s="11">
        <f>C262+B263</f>
      </c>
      <c r="D263" s="0" t="inlineStr">
        <is>
          <t xml:space="preserve">2024-09</t>
        </is>
      </c>
      <c r="E263" s="0" t="inlineStr">
        <is>
          <t xml:space="preserve">2024</t>
        </is>
      </c>
      <c r="F263" s="17">
        <v>0</v>
      </c>
      <c r="G263" s="18">
        <f>C263+F263</f>
      </c>
    </row>
    <row r="264">
      <c r="A264" s="7">
        <v>45551</v>
      </c>
      <c r="B264" s="11">
        <f>SUMIFS(Flux_detail!$K$2:$K$403,Flux_detail!$A$2:$A$403,A264)</f>
      </c>
      <c r="C264" s="11">
        <f>C263+B264</f>
      </c>
      <c r="D264" s="0" t="inlineStr">
        <is>
          <t xml:space="preserve">2024-09</t>
        </is>
      </c>
      <c r="E264" s="0" t="inlineStr">
        <is>
          <t xml:space="preserve">2024</t>
        </is>
      </c>
      <c r="F264" s="17">
        <v>0</v>
      </c>
      <c r="G264" s="18">
        <f>C264+F264</f>
      </c>
    </row>
    <row r="265">
      <c r="A265" s="7">
        <v>45552</v>
      </c>
      <c r="B265" s="11">
        <f>SUMIFS(Flux_detail!$K$2:$K$403,Flux_detail!$A$2:$A$403,A265)</f>
      </c>
      <c r="C265" s="11">
        <f>C264+B265</f>
      </c>
      <c r="D265" s="0" t="inlineStr">
        <is>
          <t xml:space="preserve">2024-09</t>
        </is>
      </c>
      <c r="E265" s="0" t="inlineStr">
        <is>
          <t xml:space="preserve">2024</t>
        </is>
      </c>
      <c r="F265" s="17">
        <v>0</v>
      </c>
      <c r="G265" s="18">
        <f>C265+F265</f>
      </c>
    </row>
    <row r="266">
      <c r="A266" s="7">
        <v>45553</v>
      </c>
      <c r="B266" s="11">
        <f>SUMIFS(Flux_detail!$K$2:$K$403,Flux_detail!$A$2:$A$403,A266)</f>
      </c>
      <c r="C266" s="11">
        <f>C265+B266</f>
      </c>
      <c r="D266" s="0" t="inlineStr">
        <is>
          <t xml:space="preserve">2024-09</t>
        </is>
      </c>
      <c r="E266" s="0" t="inlineStr">
        <is>
          <t xml:space="preserve">2024</t>
        </is>
      </c>
      <c r="F266" s="17">
        <v>0</v>
      </c>
      <c r="G266" s="18">
        <f>C266+F266</f>
      </c>
    </row>
    <row r="267">
      <c r="A267" s="7">
        <v>45554</v>
      </c>
      <c r="B267" s="11">
        <f>SUMIFS(Flux_detail!$K$2:$K$403,Flux_detail!$A$2:$A$403,A267)</f>
      </c>
      <c r="C267" s="11">
        <f>C266+B267</f>
      </c>
      <c r="D267" s="0" t="inlineStr">
        <is>
          <t xml:space="preserve">2024-09</t>
        </is>
      </c>
      <c r="E267" s="0" t="inlineStr">
        <is>
          <t xml:space="preserve">2024</t>
        </is>
      </c>
      <c r="F267" s="17">
        <v>0</v>
      </c>
      <c r="G267" s="18">
        <f>C267+F267</f>
      </c>
    </row>
    <row r="268">
      <c r="A268" s="7">
        <v>45555</v>
      </c>
      <c r="B268" s="11">
        <f>SUMIFS(Flux_detail!$K$2:$K$403,Flux_detail!$A$2:$A$403,A268)</f>
      </c>
      <c r="C268" s="11">
        <f>C267+B268</f>
      </c>
      <c r="D268" s="0" t="inlineStr">
        <is>
          <t xml:space="preserve">2024-09</t>
        </is>
      </c>
      <c r="E268" s="0" t="inlineStr">
        <is>
          <t xml:space="preserve">2024</t>
        </is>
      </c>
      <c r="F268" s="17">
        <v>0</v>
      </c>
      <c r="G268" s="18">
        <f>C268+F268</f>
      </c>
    </row>
    <row r="269">
      <c r="A269" s="7">
        <v>45556</v>
      </c>
      <c r="B269" s="11">
        <f>SUMIFS(Flux_detail!$K$2:$K$403,Flux_detail!$A$2:$A$403,A269)</f>
      </c>
      <c r="C269" s="11">
        <f>C268+B269</f>
      </c>
      <c r="D269" s="0" t="inlineStr">
        <is>
          <t xml:space="preserve">2024-09</t>
        </is>
      </c>
      <c r="E269" s="0" t="inlineStr">
        <is>
          <t xml:space="preserve">2024</t>
        </is>
      </c>
      <c r="F269" s="17">
        <v>0</v>
      </c>
      <c r="G269" s="18">
        <f>C269+F269</f>
      </c>
    </row>
    <row r="270">
      <c r="A270" s="7">
        <v>45557</v>
      </c>
      <c r="B270" s="11">
        <f>SUMIFS(Flux_detail!$K$2:$K$403,Flux_detail!$A$2:$A$403,A270)</f>
      </c>
      <c r="C270" s="11">
        <f>C269+B270</f>
      </c>
      <c r="D270" s="0" t="inlineStr">
        <is>
          <t xml:space="preserve">2024-09</t>
        </is>
      </c>
      <c r="E270" s="0" t="inlineStr">
        <is>
          <t xml:space="preserve">2024</t>
        </is>
      </c>
      <c r="F270" s="17">
        <v>0</v>
      </c>
      <c r="G270" s="18">
        <f>C270+F270</f>
      </c>
    </row>
    <row r="271">
      <c r="A271" s="7">
        <v>45558</v>
      </c>
      <c r="B271" s="11">
        <f>SUMIFS(Flux_detail!$K$2:$K$403,Flux_detail!$A$2:$A$403,A271)</f>
      </c>
      <c r="C271" s="11">
        <f>C270+B271</f>
      </c>
      <c r="D271" s="0" t="inlineStr">
        <is>
          <t xml:space="preserve">2024-09</t>
        </is>
      </c>
      <c r="E271" s="0" t="inlineStr">
        <is>
          <t xml:space="preserve">2024</t>
        </is>
      </c>
      <c r="F271" s="17">
        <v>0</v>
      </c>
      <c r="G271" s="18">
        <f>C271+F271</f>
      </c>
    </row>
    <row r="272">
      <c r="A272" s="7">
        <v>45559</v>
      </c>
      <c r="B272" s="11">
        <f>SUMIFS(Flux_detail!$K$2:$K$403,Flux_detail!$A$2:$A$403,A272)</f>
      </c>
      <c r="C272" s="11">
        <f>C271+B272</f>
      </c>
      <c r="D272" s="0" t="inlineStr">
        <is>
          <t xml:space="preserve">2024-09</t>
        </is>
      </c>
      <c r="E272" s="0" t="inlineStr">
        <is>
          <t xml:space="preserve">2024</t>
        </is>
      </c>
      <c r="F272" s="17">
        <v>0</v>
      </c>
      <c r="G272" s="18">
        <f>C272+F272</f>
      </c>
    </row>
    <row r="273">
      <c r="A273" s="7">
        <v>45560</v>
      </c>
      <c r="B273" s="11">
        <f>SUMIFS(Flux_detail!$K$2:$K$403,Flux_detail!$A$2:$A$403,A273)</f>
      </c>
      <c r="C273" s="11">
        <f>C272+B273</f>
      </c>
      <c r="D273" s="0" t="inlineStr">
        <is>
          <t xml:space="preserve">2024-09</t>
        </is>
      </c>
      <c r="E273" s="0" t="inlineStr">
        <is>
          <t xml:space="preserve">2024</t>
        </is>
      </c>
      <c r="F273" s="17">
        <v>0</v>
      </c>
      <c r="G273" s="18">
        <f>C273+F273</f>
      </c>
    </row>
    <row r="274">
      <c r="A274" s="7">
        <v>45561</v>
      </c>
      <c r="B274" s="11">
        <f>SUMIFS(Flux_detail!$K$2:$K$403,Flux_detail!$A$2:$A$403,A274)</f>
      </c>
      <c r="C274" s="11">
        <f>C273+B274</f>
      </c>
      <c r="D274" s="0" t="inlineStr">
        <is>
          <t xml:space="preserve">2024-09</t>
        </is>
      </c>
      <c r="E274" s="0" t="inlineStr">
        <is>
          <t xml:space="preserve">2024</t>
        </is>
      </c>
      <c r="F274" s="17">
        <v>0</v>
      </c>
      <c r="G274" s="18">
        <f>C274+F274</f>
      </c>
    </row>
    <row r="275">
      <c r="A275" s="7">
        <v>45562</v>
      </c>
      <c r="B275" s="11">
        <f>SUMIFS(Flux_detail!$K$2:$K$403,Flux_detail!$A$2:$A$403,A275)</f>
      </c>
      <c r="C275" s="11">
        <f>C274+B275</f>
      </c>
      <c r="D275" s="0" t="inlineStr">
        <is>
          <t xml:space="preserve">2024-09</t>
        </is>
      </c>
      <c r="E275" s="0" t="inlineStr">
        <is>
          <t xml:space="preserve">2024</t>
        </is>
      </c>
      <c r="F275" s="17">
        <v>0</v>
      </c>
      <c r="G275" s="18">
        <f>C275+F275</f>
      </c>
    </row>
    <row r="276">
      <c r="A276" s="7">
        <v>45563</v>
      </c>
      <c r="B276" s="11">
        <f>SUMIFS(Flux_detail!$K$2:$K$403,Flux_detail!$A$2:$A$403,A276)</f>
      </c>
      <c r="C276" s="11">
        <f>C275+B276</f>
      </c>
      <c r="D276" s="0" t="inlineStr">
        <is>
          <t xml:space="preserve">2024-09</t>
        </is>
      </c>
      <c r="E276" s="0" t="inlineStr">
        <is>
          <t xml:space="preserve">2024</t>
        </is>
      </c>
      <c r="F276" s="17">
        <v>0</v>
      </c>
      <c r="G276" s="18">
        <f>C276+F276</f>
      </c>
    </row>
    <row r="277">
      <c r="A277" s="7">
        <v>45564</v>
      </c>
      <c r="B277" s="11">
        <f>SUMIFS(Flux_detail!$K$2:$K$403,Flux_detail!$A$2:$A$403,A277)</f>
      </c>
      <c r="C277" s="11">
        <f>C276+B277</f>
      </c>
      <c r="D277" s="0" t="inlineStr">
        <is>
          <t xml:space="preserve">2024-09</t>
        </is>
      </c>
      <c r="E277" s="0" t="inlineStr">
        <is>
          <t xml:space="preserve">2024</t>
        </is>
      </c>
      <c r="F277" s="17">
        <v>0</v>
      </c>
      <c r="G277" s="18">
        <f>C277+F277</f>
      </c>
    </row>
    <row r="278">
      <c r="A278" s="7">
        <v>45565</v>
      </c>
      <c r="B278" s="11">
        <f>SUMIFS(Flux_detail!$K$2:$K$403,Flux_detail!$A$2:$A$403,A278)</f>
      </c>
      <c r="C278" s="11">
        <f>C277+B278</f>
      </c>
      <c r="D278" s="0" t="inlineStr">
        <is>
          <t xml:space="preserve">2024-09</t>
        </is>
      </c>
      <c r="E278" s="0" t="inlineStr">
        <is>
          <t xml:space="preserve">2024</t>
        </is>
      </c>
      <c r="F278" s="17">
        <v>0</v>
      </c>
      <c r="G278" s="18">
        <f>C278+F278</f>
      </c>
    </row>
    <row r="279">
      <c r="A279" s="7">
        <v>45566</v>
      </c>
      <c r="B279" s="11">
        <f>SUMIFS(Flux_detail!$K$2:$K$403,Flux_detail!$A$2:$A$403,A279)</f>
      </c>
      <c r="C279" s="11">
        <f>C278+B279</f>
      </c>
      <c r="D279" s="0" t="inlineStr">
        <is>
          <t xml:space="preserve">2024-10</t>
        </is>
      </c>
      <c r="E279" s="0" t="inlineStr">
        <is>
          <t xml:space="preserve">2024</t>
        </is>
      </c>
      <c r="F279" s="17">
        <v>0</v>
      </c>
      <c r="G279" s="18">
        <f>C279+F279</f>
      </c>
    </row>
    <row r="280">
      <c r="A280" s="7">
        <v>45567</v>
      </c>
      <c r="B280" s="11">
        <f>SUMIFS(Flux_detail!$K$2:$K$403,Flux_detail!$A$2:$A$403,A280)</f>
      </c>
      <c r="C280" s="11">
        <f>C279+B280</f>
      </c>
      <c r="D280" s="0" t="inlineStr">
        <is>
          <t xml:space="preserve">2024-10</t>
        </is>
      </c>
      <c r="E280" s="0" t="inlineStr">
        <is>
          <t xml:space="preserve">2024</t>
        </is>
      </c>
      <c r="F280" s="17">
        <v>0</v>
      </c>
      <c r="G280" s="18">
        <f>C280+F280</f>
      </c>
    </row>
    <row r="281">
      <c r="A281" s="7">
        <v>45568</v>
      </c>
      <c r="B281" s="11">
        <f>SUMIFS(Flux_detail!$K$2:$K$403,Flux_detail!$A$2:$A$403,A281)</f>
      </c>
      <c r="C281" s="11">
        <f>C280+B281</f>
      </c>
      <c r="D281" s="0" t="inlineStr">
        <is>
          <t xml:space="preserve">2024-10</t>
        </is>
      </c>
      <c r="E281" s="0" t="inlineStr">
        <is>
          <t xml:space="preserve">2024</t>
        </is>
      </c>
      <c r="F281" s="17">
        <v>0</v>
      </c>
      <c r="G281" s="18">
        <f>C281+F281</f>
      </c>
    </row>
    <row r="282">
      <c r="A282" s="7">
        <v>45569</v>
      </c>
      <c r="B282" s="11">
        <f>SUMIFS(Flux_detail!$K$2:$K$403,Flux_detail!$A$2:$A$403,A282)</f>
      </c>
      <c r="C282" s="11">
        <f>C281+B282</f>
      </c>
      <c r="D282" s="0" t="inlineStr">
        <is>
          <t xml:space="preserve">2024-10</t>
        </is>
      </c>
      <c r="E282" s="0" t="inlineStr">
        <is>
          <t xml:space="preserve">2024</t>
        </is>
      </c>
      <c r="F282" s="17">
        <v>0</v>
      </c>
      <c r="G282" s="18">
        <f>C282+F282</f>
      </c>
    </row>
    <row r="283">
      <c r="A283" s="7">
        <v>45570</v>
      </c>
      <c r="B283" s="11">
        <f>SUMIFS(Flux_detail!$K$2:$K$403,Flux_detail!$A$2:$A$403,A283)</f>
      </c>
      <c r="C283" s="11">
        <f>C282+B283</f>
      </c>
      <c r="D283" s="0" t="inlineStr">
        <is>
          <t xml:space="preserve">2024-10</t>
        </is>
      </c>
      <c r="E283" s="0" t="inlineStr">
        <is>
          <t xml:space="preserve">2024</t>
        </is>
      </c>
      <c r="F283" s="17">
        <v>0</v>
      </c>
      <c r="G283" s="18">
        <f>C283+F283</f>
      </c>
    </row>
    <row r="284">
      <c r="A284" s="7">
        <v>45571</v>
      </c>
      <c r="B284" s="11">
        <f>SUMIFS(Flux_detail!$K$2:$K$403,Flux_detail!$A$2:$A$403,A284)</f>
      </c>
      <c r="C284" s="11">
        <f>C283+B284</f>
      </c>
      <c r="D284" s="0" t="inlineStr">
        <is>
          <t xml:space="preserve">2024-10</t>
        </is>
      </c>
      <c r="E284" s="0" t="inlineStr">
        <is>
          <t xml:space="preserve">2024</t>
        </is>
      </c>
      <c r="F284" s="17">
        <v>0</v>
      </c>
      <c r="G284" s="18">
        <f>C284+F284</f>
      </c>
    </row>
    <row r="285">
      <c r="A285" s="7">
        <v>45572</v>
      </c>
      <c r="B285" s="11">
        <f>SUMIFS(Flux_detail!$K$2:$K$403,Flux_detail!$A$2:$A$403,A285)</f>
      </c>
      <c r="C285" s="11">
        <f>C284+B285</f>
      </c>
      <c r="D285" s="0" t="inlineStr">
        <is>
          <t xml:space="preserve">2024-10</t>
        </is>
      </c>
      <c r="E285" s="0" t="inlineStr">
        <is>
          <t xml:space="preserve">2024</t>
        </is>
      </c>
      <c r="F285" s="17">
        <v>0</v>
      </c>
      <c r="G285" s="18">
        <f>C285+F285</f>
      </c>
    </row>
    <row r="286">
      <c r="A286" s="7">
        <v>45573</v>
      </c>
      <c r="B286" s="11">
        <f>SUMIFS(Flux_detail!$K$2:$K$403,Flux_detail!$A$2:$A$403,A286)</f>
      </c>
      <c r="C286" s="11">
        <f>C285+B286</f>
      </c>
      <c r="D286" s="0" t="inlineStr">
        <is>
          <t xml:space="preserve">2024-10</t>
        </is>
      </c>
      <c r="E286" s="0" t="inlineStr">
        <is>
          <t xml:space="preserve">2024</t>
        </is>
      </c>
      <c r="F286" s="17">
        <v>0</v>
      </c>
      <c r="G286" s="18">
        <f>C286+F286</f>
      </c>
    </row>
    <row r="287">
      <c r="A287" s="7">
        <v>45574</v>
      </c>
      <c r="B287" s="11">
        <f>SUMIFS(Flux_detail!$K$2:$K$403,Flux_detail!$A$2:$A$403,A287)</f>
      </c>
      <c r="C287" s="11">
        <f>C286+B287</f>
      </c>
      <c r="D287" s="0" t="inlineStr">
        <is>
          <t xml:space="preserve">2024-10</t>
        </is>
      </c>
      <c r="E287" s="0" t="inlineStr">
        <is>
          <t xml:space="preserve">2024</t>
        </is>
      </c>
      <c r="F287" s="17">
        <v>0</v>
      </c>
      <c r="G287" s="18">
        <f>C287+F287</f>
      </c>
    </row>
    <row r="288">
      <c r="A288" s="7">
        <v>45575</v>
      </c>
      <c r="B288" s="11">
        <f>SUMIFS(Flux_detail!$K$2:$K$403,Flux_detail!$A$2:$A$403,A288)</f>
      </c>
      <c r="C288" s="11">
        <f>C287+B288</f>
      </c>
      <c r="D288" s="0" t="inlineStr">
        <is>
          <t xml:space="preserve">2024-10</t>
        </is>
      </c>
      <c r="E288" s="0" t="inlineStr">
        <is>
          <t xml:space="preserve">2024</t>
        </is>
      </c>
      <c r="F288" s="17">
        <v>0</v>
      </c>
      <c r="G288" s="18">
        <f>C288+F288</f>
      </c>
    </row>
    <row r="289">
      <c r="A289" s="7">
        <v>45576</v>
      </c>
      <c r="B289" s="11">
        <f>SUMIFS(Flux_detail!$K$2:$K$403,Flux_detail!$A$2:$A$403,A289)</f>
      </c>
      <c r="C289" s="11">
        <f>C288+B289</f>
      </c>
      <c r="D289" s="0" t="inlineStr">
        <is>
          <t xml:space="preserve">2024-10</t>
        </is>
      </c>
      <c r="E289" s="0" t="inlineStr">
        <is>
          <t xml:space="preserve">2024</t>
        </is>
      </c>
      <c r="F289" s="17">
        <v>0</v>
      </c>
      <c r="G289" s="18">
        <f>C289+F289</f>
      </c>
    </row>
    <row r="290">
      <c r="A290" s="7">
        <v>45577</v>
      </c>
      <c r="B290" s="11">
        <f>SUMIFS(Flux_detail!$K$2:$K$403,Flux_detail!$A$2:$A$403,A290)</f>
      </c>
      <c r="C290" s="11">
        <f>C289+B290</f>
      </c>
      <c r="D290" s="0" t="inlineStr">
        <is>
          <t xml:space="preserve">2024-10</t>
        </is>
      </c>
      <c r="E290" s="0" t="inlineStr">
        <is>
          <t xml:space="preserve">2024</t>
        </is>
      </c>
      <c r="F290" s="17">
        <v>0</v>
      </c>
      <c r="G290" s="18">
        <f>C290+F290</f>
      </c>
    </row>
    <row r="291">
      <c r="A291" s="7">
        <v>45578</v>
      </c>
      <c r="B291" s="11">
        <f>SUMIFS(Flux_detail!$K$2:$K$403,Flux_detail!$A$2:$A$403,A291)</f>
      </c>
      <c r="C291" s="11">
        <f>C290+B291</f>
      </c>
      <c r="D291" s="0" t="inlineStr">
        <is>
          <t xml:space="preserve">2024-10</t>
        </is>
      </c>
      <c r="E291" s="0" t="inlineStr">
        <is>
          <t xml:space="preserve">2024</t>
        </is>
      </c>
      <c r="F291" s="17">
        <v>0</v>
      </c>
      <c r="G291" s="18">
        <f>C291+F291</f>
      </c>
    </row>
    <row r="292">
      <c r="A292" s="7">
        <v>45579</v>
      </c>
      <c r="B292" s="11">
        <f>SUMIFS(Flux_detail!$K$2:$K$403,Flux_detail!$A$2:$A$403,A292)</f>
      </c>
      <c r="C292" s="11">
        <f>C291+B292</f>
      </c>
      <c r="D292" s="0" t="inlineStr">
        <is>
          <t xml:space="preserve">2024-10</t>
        </is>
      </c>
      <c r="E292" s="0" t="inlineStr">
        <is>
          <t xml:space="preserve">2024</t>
        </is>
      </c>
      <c r="F292" s="17">
        <v>0</v>
      </c>
      <c r="G292" s="18">
        <f>C292+F292</f>
      </c>
    </row>
    <row r="293">
      <c r="A293" s="7">
        <v>45580</v>
      </c>
      <c r="B293" s="11">
        <f>SUMIFS(Flux_detail!$K$2:$K$403,Flux_detail!$A$2:$A$403,A293)</f>
      </c>
      <c r="C293" s="11">
        <f>C292+B293</f>
      </c>
      <c r="D293" s="0" t="inlineStr">
        <is>
          <t xml:space="preserve">2024-10</t>
        </is>
      </c>
      <c r="E293" s="0" t="inlineStr">
        <is>
          <t xml:space="preserve">2024</t>
        </is>
      </c>
      <c r="F293" s="17">
        <v>0</v>
      </c>
      <c r="G293" s="18">
        <f>C293+F293</f>
      </c>
    </row>
    <row r="294">
      <c r="A294" s="7">
        <v>45581</v>
      </c>
      <c r="B294" s="11">
        <f>SUMIFS(Flux_detail!$K$2:$K$403,Flux_detail!$A$2:$A$403,A294)</f>
      </c>
      <c r="C294" s="11">
        <f>C293+B294</f>
      </c>
      <c r="D294" s="0" t="inlineStr">
        <is>
          <t xml:space="preserve">2024-10</t>
        </is>
      </c>
      <c r="E294" s="0" t="inlineStr">
        <is>
          <t xml:space="preserve">2024</t>
        </is>
      </c>
      <c r="F294" s="17">
        <v>0</v>
      </c>
      <c r="G294" s="18">
        <f>C294+F294</f>
      </c>
    </row>
    <row r="295">
      <c r="A295" s="7">
        <v>45582</v>
      </c>
      <c r="B295" s="11">
        <f>SUMIFS(Flux_detail!$K$2:$K$403,Flux_detail!$A$2:$A$403,A295)</f>
      </c>
      <c r="C295" s="11">
        <f>C294+B295</f>
      </c>
      <c r="D295" s="0" t="inlineStr">
        <is>
          <t xml:space="preserve">2024-10</t>
        </is>
      </c>
      <c r="E295" s="0" t="inlineStr">
        <is>
          <t xml:space="preserve">2024</t>
        </is>
      </c>
      <c r="F295" s="17">
        <v>0</v>
      </c>
      <c r="G295" s="18">
        <f>C295+F295</f>
      </c>
    </row>
    <row r="296">
      <c r="A296" s="7">
        <v>45583</v>
      </c>
      <c r="B296" s="11">
        <f>SUMIFS(Flux_detail!$K$2:$K$403,Flux_detail!$A$2:$A$403,A296)</f>
      </c>
      <c r="C296" s="11">
        <f>C295+B296</f>
      </c>
      <c r="D296" s="0" t="inlineStr">
        <is>
          <t xml:space="preserve">2024-10</t>
        </is>
      </c>
      <c r="E296" s="0" t="inlineStr">
        <is>
          <t xml:space="preserve">2024</t>
        </is>
      </c>
      <c r="F296" s="17">
        <v>0</v>
      </c>
      <c r="G296" s="18">
        <f>C296+F296</f>
      </c>
    </row>
    <row r="297">
      <c r="A297" s="7">
        <v>45584</v>
      </c>
      <c r="B297" s="11">
        <f>SUMIFS(Flux_detail!$K$2:$K$403,Flux_detail!$A$2:$A$403,A297)</f>
      </c>
      <c r="C297" s="11">
        <f>C296+B297</f>
      </c>
      <c r="D297" s="0" t="inlineStr">
        <is>
          <t xml:space="preserve">2024-10</t>
        </is>
      </c>
      <c r="E297" s="0" t="inlineStr">
        <is>
          <t xml:space="preserve">2024</t>
        </is>
      </c>
      <c r="F297" s="17">
        <v>0</v>
      </c>
      <c r="G297" s="18">
        <f>C297+F297</f>
      </c>
    </row>
    <row r="298">
      <c r="A298" s="7">
        <v>45585</v>
      </c>
      <c r="B298" s="11">
        <f>SUMIFS(Flux_detail!$K$2:$K$403,Flux_detail!$A$2:$A$403,A298)</f>
      </c>
      <c r="C298" s="11">
        <f>C297+B298</f>
      </c>
      <c r="D298" s="0" t="inlineStr">
        <is>
          <t xml:space="preserve">2024-10</t>
        </is>
      </c>
      <c r="E298" s="0" t="inlineStr">
        <is>
          <t xml:space="preserve">2024</t>
        </is>
      </c>
      <c r="F298" s="17">
        <v>0</v>
      </c>
      <c r="G298" s="18">
        <f>C298+F298</f>
      </c>
    </row>
    <row r="299">
      <c r="A299" s="7">
        <v>45586</v>
      </c>
      <c r="B299" s="11">
        <f>SUMIFS(Flux_detail!$K$2:$K$403,Flux_detail!$A$2:$A$403,A299)</f>
      </c>
      <c r="C299" s="11">
        <f>C298+B299</f>
      </c>
      <c r="D299" s="0" t="inlineStr">
        <is>
          <t xml:space="preserve">2024-10</t>
        </is>
      </c>
      <c r="E299" s="0" t="inlineStr">
        <is>
          <t xml:space="preserve">2024</t>
        </is>
      </c>
      <c r="F299" s="17">
        <v>0</v>
      </c>
      <c r="G299" s="18">
        <f>C299+F299</f>
      </c>
    </row>
    <row r="300">
      <c r="A300" s="7">
        <v>45587</v>
      </c>
      <c r="B300" s="11">
        <f>SUMIFS(Flux_detail!$K$2:$K$403,Flux_detail!$A$2:$A$403,A300)</f>
      </c>
      <c r="C300" s="11">
        <f>C299+B300</f>
      </c>
      <c r="D300" s="0" t="inlineStr">
        <is>
          <t xml:space="preserve">2024-10</t>
        </is>
      </c>
      <c r="E300" s="0" t="inlineStr">
        <is>
          <t xml:space="preserve">2024</t>
        </is>
      </c>
      <c r="F300" s="17">
        <v>0</v>
      </c>
      <c r="G300" s="18">
        <f>C300+F300</f>
      </c>
    </row>
    <row r="301">
      <c r="A301" s="7">
        <v>45588</v>
      </c>
      <c r="B301" s="11">
        <f>SUMIFS(Flux_detail!$K$2:$K$403,Flux_detail!$A$2:$A$403,A301)</f>
      </c>
      <c r="C301" s="11">
        <f>C300+B301</f>
      </c>
      <c r="D301" s="0" t="inlineStr">
        <is>
          <t xml:space="preserve">2024-10</t>
        </is>
      </c>
      <c r="E301" s="0" t="inlineStr">
        <is>
          <t xml:space="preserve">2024</t>
        </is>
      </c>
      <c r="F301" s="17">
        <v>0</v>
      </c>
      <c r="G301" s="18">
        <f>C301+F301</f>
      </c>
    </row>
    <row r="302">
      <c r="A302" s="7">
        <v>45589</v>
      </c>
      <c r="B302" s="11">
        <f>SUMIFS(Flux_detail!$K$2:$K$403,Flux_detail!$A$2:$A$403,A302)</f>
      </c>
      <c r="C302" s="11">
        <f>C301+B302</f>
      </c>
      <c r="D302" s="0" t="inlineStr">
        <is>
          <t xml:space="preserve">2024-10</t>
        </is>
      </c>
      <c r="E302" s="0" t="inlineStr">
        <is>
          <t xml:space="preserve">2024</t>
        </is>
      </c>
      <c r="F302" s="17">
        <v>0</v>
      </c>
      <c r="G302" s="18">
        <f>C302+F302</f>
      </c>
    </row>
    <row r="303">
      <c r="A303" s="7">
        <v>45590</v>
      </c>
      <c r="B303" s="11">
        <f>SUMIFS(Flux_detail!$K$2:$K$403,Flux_detail!$A$2:$A$403,A303)</f>
      </c>
      <c r="C303" s="11">
        <f>C302+B303</f>
      </c>
      <c r="D303" s="0" t="inlineStr">
        <is>
          <t xml:space="preserve">2024-10</t>
        </is>
      </c>
      <c r="E303" s="0" t="inlineStr">
        <is>
          <t xml:space="preserve">2024</t>
        </is>
      </c>
      <c r="F303" s="17">
        <v>0</v>
      </c>
      <c r="G303" s="18">
        <f>C303+F303</f>
      </c>
    </row>
    <row r="304">
      <c r="A304" s="7">
        <v>45591</v>
      </c>
      <c r="B304" s="11">
        <f>SUMIFS(Flux_detail!$K$2:$K$403,Flux_detail!$A$2:$A$403,A304)</f>
      </c>
      <c r="C304" s="11">
        <f>C303+B304</f>
      </c>
      <c r="D304" s="0" t="inlineStr">
        <is>
          <t xml:space="preserve">2024-10</t>
        </is>
      </c>
      <c r="E304" s="0" t="inlineStr">
        <is>
          <t xml:space="preserve">2024</t>
        </is>
      </c>
      <c r="F304" s="17">
        <v>0</v>
      </c>
      <c r="G304" s="18">
        <f>C304+F304</f>
      </c>
    </row>
    <row r="305">
      <c r="A305" s="7">
        <v>45592</v>
      </c>
      <c r="B305" s="11">
        <f>SUMIFS(Flux_detail!$K$2:$K$403,Flux_detail!$A$2:$A$403,A305)</f>
      </c>
      <c r="C305" s="11">
        <f>C304+B305</f>
      </c>
      <c r="D305" s="0" t="inlineStr">
        <is>
          <t xml:space="preserve">2024-10</t>
        </is>
      </c>
      <c r="E305" s="0" t="inlineStr">
        <is>
          <t xml:space="preserve">2024</t>
        </is>
      </c>
      <c r="F305" s="17">
        <v>0</v>
      </c>
      <c r="G305" s="18">
        <f>C305+F305</f>
      </c>
    </row>
    <row r="306">
      <c r="A306" s="7">
        <v>45593</v>
      </c>
      <c r="B306" s="11">
        <f>SUMIFS(Flux_detail!$K$2:$K$403,Flux_detail!$A$2:$A$403,A306)</f>
      </c>
      <c r="C306" s="11">
        <f>C305+B306</f>
      </c>
      <c r="D306" s="0" t="inlineStr">
        <is>
          <t xml:space="preserve">2024-10</t>
        </is>
      </c>
      <c r="E306" s="0" t="inlineStr">
        <is>
          <t xml:space="preserve">2024</t>
        </is>
      </c>
      <c r="F306" s="17">
        <v>0</v>
      </c>
      <c r="G306" s="18">
        <f>C306+F306</f>
      </c>
    </row>
    <row r="307">
      <c r="A307" s="7">
        <v>45594</v>
      </c>
      <c r="B307" s="11">
        <f>SUMIFS(Flux_detail!$K$2:$K$403,Flux_detail!$A$2:$A$403,A307)</f>
      </c>
      <c r="C307" s="11">
        <f>C306+B307</f>
      </c>
      <c r="D307" s="0" t="inlineStr">
        <is>
          <t xml:space="preserve">2024-10</t>
        </is>
      </c>
      <c r="E307" s="0" t="inlineStr">
        <is>
          <t xml:space="preserve">2024</t>
        </is>
      </c>
      <c r="F307" s="17">
        <v>0</v>
      </c>
      <c r="G307" s="18">
        <f>C307+F307</f>
      </c>
    </row>
    <row r="308">
      <c r="A308" s="7">
        <v>45595</v>
      </c>
      <c r="B308" s="11">
        <f>SUMIFS(Flux_detail!$K$2:$K$403,Flux_detail!$A$2:$A$403,A308)</f>
      </c>
      <c r="C308" s="11">
        <f>C307+B308</f>
      </c>
      <c r="D308" s="0" t="inlineStr">
        <is>
          <t xml:space="preserve">2024-10</t>
        </is>
      </c>
      <c r="E308" s="0" t="inlineStr">
        <is>
          <t xml:space="preserve">2024</t>
        </is>
      </c>
      <c r="F308" s="17">
        <v>0</v>
      </c>
      <c r="G308" s="18">
        <f>C308+F308</f>
      </c>
    </row>
    <row r="309">
      <c r="A309" s="7">
        <v>45596</v>
      </c>
      <c r="B309" s="11">
        <f>SUMIFS(Flux_detail!$K$2:$K$403,Flux_detail!$A$2:$A$403,A309)</f>
      </c>
      <c r="C309" s="11">
        <f>C308+B309</f>
      </c>
      <c r="D309" s="0" t="inlineStr">
        <is>
          <t xml:space="preserve">2024-10</t>
        </is>
      </c>
      <c r="E309" s="0" t="inlineStr">
        <is>
          <t xml:space="preserve">2024</t>
        </is>
      </c>
      <c r="F309" s="17">
        <v>0</v>
      </c>
      <c r="G309" s="18">
        <f>C309+F309</f>
      </c>
    </row>
    <row r="310">
      <c r="A310" s="7">
        <v>45597</v>
      </c>
      <c r="B310" s="11">
        <f>SUMIFS(Flux_detail!$K$2:$K$403,Flux_detail!$A$2:$A$403,A310)</f>
      </c>
      <c r="C310" s="11">
        <f>C309+B310</f>
      </c>
      <c r="D310" s="0" t="inlineStr">
        <is>
          <t xml:space="preserve">2024-11</t>
        </is>
      </c>
      <c r="E310" s="0" t="inlineStr">
        <is>
          <t xml:space="preserve">2024</t>
        </is>
      </c>
      <c r="F310" s="17">
        <v>0</v>
      </c>
      <c r="G310" s="18">
        <f>C310+F310</f>
      </c>
    </row>
    <row r="311">
      <c r="A311" s="7">
        <v>45598</v>
      </c>
      <c r="B311" s="11">
        <f>SUMIFS(Flux_detail!$K$2:$K$403,Flux_detail!$A$2:$A$403,A311)</f>
      </c>
      <c r="C311" s="11">
        <f>C310+B311</f>
      </c>
      <c r="D311" s="0" t="inlineStr">
        <is>
          <t xml:space="preserve">2024-11</t>
        </is>
      </c>
      <c r="E311" s="0" t="inlineStr">
        <is>
          <t xml:space="preserve">2024</t>
        </is>
      </c>
      <c r="F311" s="17">
        <v>0</v>
      </c>
      <c r="G311" s="18">
        <f>C311+F311</f>
      </c>
    </row>
    <row r="312">
      <c r="A312" s="7">
        <v>45599</v>
      </c>
      <c r="B312" s="11">
        <f>SUMIFS(Flux_detail!$K$2:$K$403,Flux_detail!$A$2:$A$403,A312)</f>
      </c>
      <c r="C312" s="11">
        <f>C311+B312</f>
      </c>
      <c r="D312" s="0" t="inlineStr">
        <is>
          <t xml:space="preserve">2024-11</t>
        </is>
      </c>
      <c r="E312" s="0" t="inlineStr">
        <is>
          <t xml:space="preserve">2024</t>
        </is>
      </c>
      <c r="F312" s="17">
        <v>0</v>
      </c>
      <c r="G312" s="18">
        <f>C312+F312</f>
      </c>
    </row>
    <row r="313">
      <c r="A313" s="7">
        <v>45600</v>
      </c>
      <c r="B313" s="11">
        <f>SUMIFS(Flux_detail!$K$2:$K$403,Flux_detail!$A$2:$A$403,A313)</f>
      </c>
      <c r="C313" s="11">
        <f>C312+B313</f>
      </c>
      <c r="D313" s="0" t="inlineStr">
        <is>
          <t xml:space="preserve">2024-11</t>
        </is>
      </c>
      <c r="E313" s="0" t="inlineStr">
        <is>
          <t xml:space="preserve">2024</t>
        </is>
      </c>
      <c r="F313" s="17">
        <v>0</v>
      </c>
      <c r="G313" s="18">
        <f>C313+F313</f>
      </c>
    </row>
    <row r="314">
      <c r="A314" s="7">
        <v>45601</v>
      </c>
      <c r="B314" s="11">
        <f>SUMIFS(Flux_detail!$K$2:$K$403,Flux_detail!$A$2:$A$403,A314)</f>
      </c>
      <c r="C314" s="11">
        <f>C313+B314</f>
      </c>
      <c r="D314" s="0" t="inlineStr">
        <is>
          <t xml:space="preserve">2024-11</t>
        </is>
      </c>
      <c r="E314" s="0" t="inlineStr">
        <is>
          <t xml:space="preserve">2024</t>
        </is>
      </c>
      <c r="F314" s="17">
        <v>0</v>
      </c>
      <c r="G314" s="18">
        <f>C314+F314</f>
      </c>
    </row>
    <row r="315">
      <c r="A315" s="7">
        <v>45602</v>
      </c>
      <c r="B315" s="11">
        <f>SUMIFS(Flux_detail!$K$2:$K$403,Flux_detail!$A$2:$A$403,A315)</f>
      </c>
      <c r="C315" s="11">
        <f>C314+B315</f>
      </c>
      <c r="D315" s="0" t="inlineStr">
        <is>
          <t xml:space="preserve">2024-11</t>
        </is>
      </c>
      <c r="E315" s="0" t="inlineStr">
        <is>
          <t xml:space="preserve">2024</t>
        </is>
      </c>
      <c r="F315" s="17">
        <v>0</v>
      </c>
      <c r="G315" s="18">
        <f>C315+F315</f>
      </c>
    </row>
    <row r="316">
      <c r="A316" s="7">
        <v>45603</v>
      </c>
      <c r="B316" s="11">
        <f>SUMIFS(Flux_detail!$K$2:$K$403,Flux_detail!$A$2:$A$403,A316)</f>
      </c>
      <c r="C316" s="11">
        <f>C315+B316</f>
      </c>
      <c r="D316" s="0" t="inlineStr">
        <is>
          <t xml:space="preserve">2024-11</t>
        </is>
      </c>
      <c r="E316" s="0" t="inlineStr">
        <is>
          <t xml:space="preserve">2024</t>
        </is>
      </c>
      <c r="F316" s="17">
        <v>0</v>
      </c>
      <c r="G316" s="18">
        <f>C316+F316</f>
      </c>
    </row>
    <row r="317">
      <c r="A317" s="7">
        <v>45604</v>
      </c>
      <c r="B317" s="11">
        <f>SUMIFS(Flux_detail!$K$2:$K$403,Flux_detail!$A$2:$A$403,A317)</f>
      </c>
      <c r="C317" s="11">
        <f>C316+B317</f>
      </c>
      <c r="D317" s="0" t="inlineStr">
        <is>
          <t xml:space="preserve">2024-11</t>
        </is>
      </c>
      <c r="E317" s="0" t="inlineStr">
        <is>
          <t xml:space="preserve">2024</t>
        </is>
      </c>
      <c r="F317" s="17">
        <v>0</v>
      </c>
      <c r="G317" s="18">
        <f>C317+F317</f>
      </c>
    </row>
    <row r="318">
      <c r="A318" s="7">
        <v>45605</v>
      </c>
      <c r="B318" s="11">
        <f>SUMIFS(Flux_detail!$K$2:$K$403,Flux_detail!$A$2:$A$403,A318)</f>
      </c>
      <c r="C318" s="11">
        <f>C317+B318</f>
      </c>
      <c r="D318" s="0" t="inlineStr">
        <is>
          <t xml:space="preserve">2024-11</t>
        </is>
      </c>
      <c r="E318" s="0" t="inlineStr">
        <is>
          <t xml:space="preserve">2024</t>
        </is>
      </c>
      <c r="F318" s="17">
        <v>0</v>
      </c>
      <c r="G318" s="18">
        <f>C318+F318</f>
      </c>
    </row>
    <row r="319">
      <c r="A319" s="7">
        <v>45606</v>
      </c>
      <c r="B319" s="11">
        <f>SUMIFS(Flux_detail!$K$2:$K$403,Flux_detail!$A$2:$A$403,A319)</f>
      </c>
      <c r="C319" s="11">
        <f>C318+B319</f>
      </c>
      <c r="D319" s="0" t="inlineStr">
        <is>
          <t xml:space="preserve">2024-11</t>
        </is>
      </c>
      <c r="E319" s="0" t="inlineStr">
        <is>
          <t xml:space="preserve">2024</t>
        </is>
      </c>
      <c r="F319" s="17">
        <v>0</v>
      </c>
      <c r="G319" s="18">
        <f>C319+F319</f>
      </c>
    </row>
    <row r="320">
      <c r="A320" s="7">
        <v>45607</v>
      </c>
      <c r="B320" s="11">
        <f>SUMIFS(Flux_detail!$K$2:$K$403,Flux_detail!$A$2:$A$403,A320)</f>
      </c>
      <c r="C320" s="11">
        <f>C319+B320</f>
      </c>
      <c r="D320" s="0" t="inlineStr">
        <is>
          <t xml:space="preserve">2024-11</t>
        </is>
      </c>
      <c r="E320" s="0" t="inlineStr">
        <is>
          <t xml:space="preserve">2024</t>
        </is>
      </c>
      <c r="F320" s="17">
        <v>0</v>
      </c>
      <c r="G320" s="18">
        <f>C320+F320</f>
      </c>
    </row>
    <row r="321">
      <c r="A321" s="7">
        <v>45608</v>
      </c>
      <c r="B321" s="11">
        <f>SUMIFS(Flux_detail!$K$2:$K$403,Flux_detail!$A$2:$A$403,A321)</f>
      </c>
      <c r="C321" s="11">
        <f>C320+B321</f>
      </c>
      <c r="D321" s="0" t="inlineStr">
        <is>
          <t xml:space="preserve">2024-11</t>
        </is>
      </c>
      <c r="E321" s="0" t="inlineStr">
        <is>
          <t xml:space="preserve">2024</t>
        </is>
      </c>
      <c r="F321" s="17">
        <v>0</v>
      </c>
      <c r="G321" s="18">
        <f>C321+F321</f>
      </c>
    </row>
    <row r="322">
      <c r="A322" s="7">
        <v>45609</v>
      </c>
      <c r="B322" s="11">
        <f>SUMIFS(Flux_detail!$K$2:$K$403,Flux_detail!$A$2:$A$403,A322)</f>
      </c>
      <c r="C322" s="11">
        <f>C321+B322</f>
      </c>
      <c r="D322" s="0" t="inlineStr">
        <is>
          <t xml:space="preserve">2024-11</t>
        </is>
      </c>
      <c r="E322" s="0" t="inlineStr">
        <is>
          <t xml:space="preserve">2024</t>
        </is>
      </c>
      <c r="F322" s="17">
        <v>0</v>
      </c>
      <c r="G322" s="18">
        <f>C322+F322</f>
      </c>
    </row>
    <row r="323">
      <c r="A323" s="7">
        <v>45610</v>
      </c>
      <c r="B323" s="11">
        <f>SUMIFS(Flux_detail!$K$2:$K$403,Flux_detail!$A$2:$A$403,A323)</f>
      </c>
      <c r="C323" s="11">
        <f>C322+B323</f>
      </c>
      <c r="D323" s="0" t="inlineStr">
        <is>
          <t xml:space="preserve">2024-11</t>
        </is>
      </c>
      <c r="E323" s="0" t="inlineStr">
        <is>
          <t xml:space="preserve">2024</t>
        </is>
      </c>
      <c r="F323" s="17">
        <v>0</v>
      </c>
      <c r="G323" s="18">
        <f>C323+F323</f>
      </c>
    </row>
    <row r="324">
      <c r="A324" s="7">
        <v>45611</v>
      </c>
      <c r="B324" s="11">
        <f>SUMIFS(Flux_detail!$K$2:$K$403,Flux_detail!$A$2:$A$403,A324)</f>
      </c>
      <c r="C324" s="11">
        <f>C323+B324</f>
      </c>
      <c r="D324" s="0" t="inlineStr">
        <is>
          <t xml:space="preserve">2024-11</t>
        </is>
      </c>
      <c r="E324" s="0" t="inlineStr">
        <is>
          <t xml:space="preserve">2024</t>
        </is>
      </c>
      <c r="F324" s="17">
        <v>0</v>
      </c>
      <c r="G324" s="18">
        <f>C324+F324</f>
      </c>
    </row>
    <row r="325">
      <c r="A325" s="7">
        <v>45612</v>
      </c>
      <c r="B325" s="11">
        <f>SUMIFS(Flux_detail!$K$2:$K$403,Flux_detail!$A$2:$A$403,A325)</f>
      </c>
      <c r="C325" s="11">
        <f>C324+B325</f>
      </c>
      <c r="D325" s="0" t="inlineStr">
        <is>
          <t xml:space="preserve">2024-11</t>
        </is>
      </c>
      <c r="E325" s="0" t="inlineStr">
        <is>
          <t xml:space="preserve">2024</t>
        </is>
      </c>
      <c r="F325" s="17">
        <v>0</v>
      </c>
      <c r="G325" s="18">
        <f>C325+F325</f>
      </c>
    </row>
    <row r="326">
      <c r="A326" s="7">
        <v>45613</v>
      </c>
      <c r="B326" s="11">
        <f>SUMIFS(Flux_detail!$K$2:$K$403,Flux_detail!$A$2:$A$403,A326)</f>
      </c>
      <c r="C326" s="11">
        <f>C325+B326</f>
      </c>
      <c r="D326" s="0" t="inlineStr">
        <is>
          <t xml:space="preserve">2024-11</t>
        </is>
      </c>
      <c r="E326" s="0" t="inlineStr">
        <is>
          <t xml:space="preserve">2024</t>
        </is>
      </c>
      <c r="F326" s="17">
        <v>0</v>
      </c>
      <c r="G326" s="18">
        <f>C326+F326</f>
      </c>
    </row>
    <row r="327">
      <c r="A327" s="7">
        <v>45614</v>
      </c>
      <c r="B327" s="11">
        <f>SUMIFS(Flux_detail!$K$2:$K$403,Flux_detail!$A$2:$A$403,A327)</f>
      </c>
      <c r="C327" s="11">
        <f>C326+B327</f>
      </c>
      <c r="D327" s="0" t="inlineStr">
        <is>
          <t xml:space="preserve">2024-11</t>
        </is>
      </c>
      <c r="E327" s="0" t="inlineStr">
        <is>
          <t xml:space="preserve">2024</t>
        </is>
      </c>
      <c r="F327" s="17">
        <v>0</v>
      </c>
      <c r="G327" s="18">
        <f>C327+F327</f>
      </c>
    </row>
    <row r="328">
      <c r="A328" s="7">
        <v>45615</v>
      </c>
      <c r="B328" s="11">
        <f>SUMIFS(Flux_detail!$K$2:$K$403,Flux_detail!$A$2:$A$403,A328)</f>
      </c>
      <c r="C328" s="11">
        <f>C327+B328</f>
      </c>
      <c r="D328" s="0" t="inlineStr">
        <is>
          <t xml:space="preserve">2024-11</t>
        </is>
      </c>
      <c r="E328" s="0" t="inlineStr">
        <is>
          <t xml:space="preserve">2024</t>
        </is>
      </c>
      <c r="F328" s="17">
        <v>0</v>
      </c>
      <c r="G328" s="18">
        <f>C328+F328</f>
      </c>
    </row>
    <row r="329">
      <c r="A329" s="7">
        <v>45616</v>
      </c>
      <c r="B329" s="11">
        <f>SUMIFS(Flux_detail!$K$2:$K$403,Flux_detail!$A$2:$A$403,A329)</f>
      </c>
      <c r="C329" s="11">
        <f>C328+B329</f>
      </c>
      <c r="D329" s="0" t="inlineStr">
        <is>
          <t xml:space="preserve">2024-11</t>
        </is>
      </c>
      <c r="E329" s="0" t="inlineStr">
        <is>
          <t xml:space="preserve">2024</t>
        </is>
      </c>
      <c r="F329" s="17">
        <v>0</v>
      </c>
      <c r="G329" s="18">
        <f>C329+F329</f>
      </c>
    </row>
    <row r="330">
      <c r="A330" s="7">
        <v>45617</v>
      </c>
      <c r="B330" s="11">
        <f>SUMIFS(Flux_detail!$K$2:$K$403,Flux_detail!$A$2:$A$403,A330)</f>
      </c>
      <c r="C330" s="11">
        <f>C329+B330</f>
      </c>
      <c r="D330" s="0" t="inlineStr">
        <is>
          <t xml:space="preserve">2024-11</t>
        </is>
      </c>
      <c r="E330" s="0" t="inlineStr">
        <is>
          <t xml:space="preserve">2024</t>
        </is>
      </c>
      <c r="F330" s="17">
        <v>0</v>
      </c>
      <c r="G330" s="18">
        <f>C330+F330</f>
      </c>
    </row>
    <row r="331">
      <c r="A331" s="7">
        <v>45618</v>
      </c>
      <c r="B331" s="11">
        <f>SUMIFS(Flux_detail!$K$2:$K$403,Flux_detail!$A$2:$A$403,A331)</f>
      </c>
      <c r="C331" s="11">
        <f>C330+B331</f>
      </c>
      <c r="D331" s="0" t="inlineStr">
        <is>
          <t xml:space="preserve">2024-11</t>
        </is>
      </c>
      <c r="E331" s="0" t="inlineStr">
        <is>
          <t xml:space="preserve">2024</t>
        </is>
      </c>
      <c r="F331" s="17">
        <v>0</v>
      </c>
      <c r="G331" s="18">
        <f>C331+F331</f>
      </c>
    </row>
    <row r="332">
      <c r="A332" s="7">
        <v>45619</v>
      </c>
      <c r="B332" s="11">
        <f>SUMIFS(Flux_detail!$K$2:$K$403,Flux_detail!$A$2:$A$403,A332)</f>
      </c>
      <c r="C332" s="11">
        <f>C331+B332</f>
      </c>
      <c r="D332" s="0" t="inlineStr">
        <is>
          <t xml:space="preserve">2024-11</t>
        </is>
      </c>
      <c r="E332" s="0" t="inlineStr">
        <is>
          <t xml:space="preserve">2024</t>
        </is>
      </c>
      <c r="F332" s="17">
        <v>0</v>
      </c>
      <c r="G332" s="18">
        <f>C332+F332</f>
      </c>
    </row>
    <row r="333">
      <c r="A333" s="7">
        <v>45620</v>
      </c>
      <c r="B333" s="11">
        <f>SUMIFS(Flux_detail!$K$2:$K$403,Flux_detail!$A$2:$A$403,A333)</f>
      </c>
      <c r="C333" s="11">
        <f>C332+B333</f>
      </c>
      <c r="D333" s="0" t="inlineStr">
        <is>
          <t xml:space="preserve">2024-11</t>
        </is>
      </c>
      <c r="E333" s="0" t="inlineStr">
        <is>
          <t xml:space="preserve">2024</t>
        </is>
      </c>
      <c r="F333" s="17">
        <v>0</v>
      </c>
      <c r="G333" s="18">
        <f>C333+F333</f>
      </c>
    </row>
    <row r="334">
      <c r="A334" s="7">
        <v>45621</v>
      </c>
      <c r="B334" s="11">
        <f>SUMIFS(Flux_detail!$K$2:$K$403,Flux_detail!$A$2:$A$403,A334)</f>
      </c>
      <c r="C334" s="11">
        <f>C333+B334</f>
      </c>
      <c r="D334" s="0" t="inlineStr">
        <is>
          <t xml:space="preserve">2024-11</t>
        </is>
      </c>
      <c r="E334" s="0" t="inlineStr">
        <is>
          <t xml:space="preserve">2024</t>
        </is>
      </c>
      <c r="F334" s="17">
        <v>0</v>
      </c>
      <c r="G334" s="18">
        <f>C334+F334</f>
      </c>
    </row>
    <row r="335">
      <c r="A335" s="7">
        <v>45622</v>
      </c>
      <c r="B335" s="11">
        <f>SUMIFS(Flux_detail!$K$2:$K$403,Flux_detail!$A$2:$A$403,A335)</f>
      </c>
      <c r="C335" s="11">
        <f>C334+B335</f>
      </c>
      <c r="D335" s="0" t="inlineStr">
        <is>
          <t xml:space="preserve">2024-11</t>
        </is>
      </c>
      <c r="E335" s="0" t="inlineStr">
        <is>
          <t xml:space="preserve">2024</t>
        </is>
      </c>
      <c r="F335" s="17">
        <v>0</v>
      </c>
      <c r="G335" s="18">
        <f>C335+F335</f>
      </c>
    </row>
    <row r="336">
      <c r="A336" s="7">
        <v>45623</v>
      </c>
      <c r="B336" s="11">
        <f>SUMIFS(Flux_detail!$K$2:$K$403,Flux_detail!$A$2:$A$403,A336)</f>
      </c>
      <c r="C336" s="11">
        <f>C335+B336</f>
      </c>
      <c r="D336" s="0" t="inlineStr">
        <is>
          <t xml:space="preserve">2024-11</t>
        </is>
      </c>
      <c r="E336" s="0" t="inlineStr">
        <is>
          <t xml:space="preserve">2024</t>
        </is>
      </c>
      <c r="F336" s="17">
        <v>0</v>
      </c>
      <c r="G336" s="18">
        <f>C336+F336</f>
      </c>
    </row>
    <row r="337">
      <c r="A337" s="7">
        <v>45624</v>
      </c>
      <c r="B337" s="11">
        <f>SUMIFS(Flux_detail!$K$2:$K$403,Flux_detail!$A$2:$A$403,A337)</f>
      </c>
      <c r="C337" s="11">
        <f>C336+B337</f>
      </c>
      <c r="D337" s="0" t="inlineStr">
        <is>
          <t xml:space="preserve">2024-11</t>
        </is>
      </c>
      <c r="E337" s="0" t="inlineStr">
        <is>
          <t xml:space="preserve">2024</t>
        </is>
      </c>
      <c r="F337" s="17">
        <v>0</v>
      </c>
      <c r="G337" s="18">
        <f>C337+F337</f>
      </c>
    </row>
    <row r="338">
      <c r="A338" s="7">
        <v>45625</v>
      </c>
      <c r="B338" s="11">
        <f>SUMIFS(Flux_detail!$K$2:$K$403,Flux_detail!$A$2:$A$403,A338)</f>
      </c>
      <c r="C338" s="11">
        <f>C337+B338</f>
      </c>
      <c r="D338" s="0" t="inlineStr">
        <is>
          <t xml:space="preserve">2024-11</t>
        </is>
      </c>
      <c r="E338" s="0" t="inlineStr">
        <is>
          <t xml:space="preserve">2024</t>
        </is>
      </c>
      <c r="F338" s="17">
        <v>0</v>
      </c>
      <c r="G338" s="18">
        <f>C338+F338</f>
      </c>
    </row>
    <row r="339">
      <c r="A339" s="7">
        <v>45626</v>
      </c>
      <c r="B339" s="11">
        <f>SUMIFS(Flux_detail!$K$2:$K$403,Flux_detail!$A$2:$A$403,A339)</f>
      </c>
      <c r="C339" s="11">
        <f>C338+B339</f>
      </c>
      <c r="D339" s="0" t="inlineStr">
        <is>
          <t xml:space="preserve">2024-11</t>
        </is>
      </c>
      <c r="E339" s="0" t="inlineStr">
        <is>
          <t xml:space="preserve">2024</t>
        </is>
      </c>
      <c r="F339" s="17">
        <v>0</v>
      </c>
      <c r="G339" s="18">
        <f>C339+F339</f>
      </c>
    </row>
    <row r="340">
      <c r="A340" s="7">
        <v>45627</v>
      </c>
      <c r="B340" s="11">
        <f>SUMIFS(Flux_detail!$K$2:$K$403,Flux_detail!$A$2:$A$403,A340)</f>
      </c>
      <c r="C340" s="11">
        <f>C339+B340</f>
      </c>
      <c r="D340" s="0" t="inlineStr">
        <is>
          <t xml:space="preserve">2024-12</t>
        </is>
      </c>
      <c r="E340" s="0" t="inlineStr">
        <is>
          <t xml:space="preserve">2024</t>
        </is>
      </c>
      <c r="F340" s="17">
        <v>0</v>
      </c>
      <c r="G340" s="18">
        <f>C340+F340</f>
      </c>
    </row>
    <row r="341">
      <c r="A341" s="7">
        <v>45628</v>
      </c>
      <c r="B341" s="11">
        <f>SUMIFS(Flux_detail!$K$2:$K$403,Flux_detail!$A$2:$A$403,A341)</f>
      </c>
      <c r="C341" s="11">
        <f>C340+B341</f>
      </c>
      <c r="D341" s="0" t="inlineStr">
        <is>
          <t xml:space="preserve">2024-12</t>
        </is>
      </c>
      <c r="E341" s="0" t="inlineStr">
        <is>
          <t xml:space="preserve">2024</t>
        </is>
      </c>
      <c r="F341" s="17">
        <v>0</v>
      </c>
      <c r="G341" s="18">
        <f>C341+F341</f>
      </c>
    </row>
    <row r="342">
      <c r="A342" s="7">
        <v>45629</v>
      </c>
      <c r="B342" s="11">
        <f>SUMIFS(Flux_detail!$K$2:$K$403,Flux_detail!$A$2:$A$403,A342)</f>
      </c>
      <c r="C342" s="11">
        <f>C341+B342</f>
      </c>
      <c r="D342" s="0" t="inlineStr">
        <is>
          <t xml:space="preserve">2024-12</t>
        </is>
      </c>
      <c r="E342" s="0" t="inlineStr">
        <is>
          <t xml:space="preserve">2024</t>
        </is>
      </c>
      <c r="F342" s="17">
        <v>0</v>
      </c>
      <c r="G342" s="18">
        <f>C342+F342</f>
      </c>
    </row>
    <row r="343">
      <c r="A343" s="7">
        <v>45630</v>
      </c>
      <c r="B343" s="11">
        <f>SUMIFS(Flux_detail!$K$2:$K$403,Flux_detail!$A$2:$A$403,A343)</f>
      </c>
      <c r="C343" s="11">
        <f>C342+B343</f>
      </c>
      <c r="D343" s="0" t="inlineStr">
        <is>
          <t xml:space="preserve">2024-12</t>
        </is>
      </c>
      <c r="E343" s="0" t="inlineStr">
        <is>
          <t xml:space="preserve">2024</t>
        </is>
      </c>
      <c r="F343" s="17">
        <v>0</v>
      </c>
      <c r="G343" s="18">
        <f>C343+F343</f>
      </c>
    </row>
    <row r="344">
      <c r="A344" s="7">
        <v>45631</v>
      </c>
      <c r="B344" s="11">
        <f>SUMIFS(Flux_detail!$K$2:$K$403,Flux_detail!$A$2:$A$403,A344)</f>
      </c>
      <c r="C344" s="11">
        <f>C343+B344</f>
      </c>
      <c r="D344" s="0" t="inlineStr">
        <is>
          <t xml:space="preserve">2024-12</t>
        </is>
      </c>
      <c r="E344" s="0" t="inlineStr">
        <is>
          <t xml:space="preserve">2024</t>
        </is>
      </c>
      <c r="F344" s="17">
        <v>0</v>
      </c>
      <c r="G344" s="18">
        <f>C344+F344</f>
      </c>
    </row>
    <row r="345">
      <c r="A345" s="7">
        <v>45632</v>
      </c>
      <c r="B345" s="11">
        <f>SUMIFS(Flux_detail!$K$2:$K$403,Flux_detail!$A$2:$A$403,A345)</f>
      </c>
      <c r="C345" s="11">
        <f>C344+B345</f>
      </c>
      <c r="D345" s="0" t="inlineStr">
        <is>
          <t xml:space="preserve">2024-12</t>
        </is>
      </c>
      <c r="E345" s="0" t="inlineStr">
        <is>
          <t xml:space="preserve">2024</t>
        </is>
      </c>
      <c r="F345" s="17">
        <v>0</v>
      </c>
      <c r="G345" s="18">
        <f>C345+F345</f>
      </c>
    </row>
    <row r="346">
      <c r="A346" s="7">
        <v>45633</v>
      </c>
      <c r="B346" s="11">
        <f>SUMIFS(Flux_detail!$K$2:$K$403,Flux_detail!$A$2:$A$403,A346)</f>
      </c>
      <c r="C346" s="11">
        <f>C345+B346</f>
      </c>
      <c r="D346" s="0" t="inlineStr">
        <is>
          <t xml:space="preserve">2024-12</t>
        </is>
      </c>
      <c r="E346" s="0" t="inlineStr">
        <is>
          <t xml:space="preserve">2024</t>
        </is>
      </c>
      <c r="F346" s="17">
        <v>0</v>
      </c>
      <c r="G346" s="18">
        <f>C346+F346</f>
      </c>
    </row>
    <row r="347">
      <c r="A347" s="7">
        <v>45634</v>
      </c>
      <c r="B347" s="11">
        <f>SUMIFS(Flux_detail!$K$2:$K$403,Flux_detail!$A$2:$A$403,A347)</f>
      </c>
      <c r="C347" s="11">
        <f>C346+B347</f>
      </c>
      <c r="D347" s="0" t="inlineStr">
        <is>
          <t xml:space="preserve">2024-12</t>
        </is>
      </c>
      <c r="E347" s="0" t="inlineStr">
        <is>
          <t xml:space="preserve">2024</t>
        </is>
      </c>
      <c r="F347" s="17">
        <v>0</v>
      </c>
      <c r="G347" s="18">
        <f>C347+F347</f>
      </c>
    </row>
    <row r="348">
      <c r="A348" s="7">
        <v>45635</v>
      </c>
      <c r="B348" s="11">
        <f>SUMIFS(Flux_detail!$K$2:$K$403,Flux_detail!$A$2:$A$403,A348)</f>
      </c>
      <c r="C348" s="11">
        <f>C347+B348</f>
      </c>
      <c r="D348" s="0" t="inlineStr">
        <is>
          <t xml:space="preserve">2024-12</t>
        </is>
      </c>
      <c r="E348" s="0" t="inlineStr">
        <is>
          <t xml:space="preserve">2024</t>
        </is>
      </c>
      <c r="F348" s="17">
        <v>0</v>
      </c>
      <c r="G348" s="18">
        <f>C348+F348</f>
      </c>
    </row>
    <row r="349">
      <c r="A349" s="7">
        <v>45636</v>
      </c>
      <c r="B349" s="11">
        <f>SUMIFS(Flux_detail!$K$2:$K$403,Flux_detail!$A$2:$A$403,A349)</f>
      </c>
      <c r="C349" s="11">
        <f>C348+B349</f>
      </c>
      <c r="D349" s="0" t="inlineStr">
        <is>
          <t xml:space="preserve">2024-12</t>
        </is>
      </c>
      <c r="E349" s="0" t="inlineStr">
        <is>
          <t xml:space="preserve">2024</t>
        </is>
      </c>
      <c r="F349" s="17">
        <v>0</v>
      </c>
      <c r="G349" s="18">
        <f>C349+F349</f>
      </c>
    </row>
    <row r="350">
      <c r="A350" s="7">
        <v>45637</v>
      </c>
      <c r="B350" s="11">
        <f>SUMIFS(Flux_detail!$K$2:$K$403,Flux_detail!$A$2:$A$403,A350)</f>
      </c>
      <c r="C350" s="11">
        <f>C349+B350</f>
      </c>
      <c r="D350" s="0" t="inlineStr">
        <is>
          <t xml:space="preserve">2024-12</t>
        </is>
      </c>
      <c r="E350" s="0" t="inlineStr">
        <is>
          <t xml:space="preserve">2024</t>
        </is>
      </c>
      <c r="F350" s="17">
        <v>0</v>
      </c>
      <c r="G350" s="18">
        <f>C350+F350</f>
      </c>
    </row>
    <row r="351">
      <c r="A351" s="7">
        <v>45638</v>
      </c>
      <c r="B351" s="11">
        <f>SUMIFS(Flux_detail!$K$2:$K$403,Flux_detail!$A$2:$A$403,A351)</f>
      </c>
      <c r="C351" s="11">
        <f>C350+B351</f>
      </c>
      <c r="D351" s="0" t="inlineStr">
        <is>
          <t xml:space="preserve">2024-12</t>
        </is>
      </c>
      <c r="E351" s="0" t="inlineStr">
        <is>
          <t xml:space="preserve">2024</t>
        </is>
      </c>
      <c r="F351" s="17">
        <v>0</v>
      </c>
      <c r="G351" s="18">
        <f>C351+F351</f>
      </c>
    </row>
    <row r="352">
      <c r="A352" s="7">
        <v>45639</v>
      </c>
      <c r="B352" s="11">
        <f>SUMIFS(Flux_detail!$K$2:$K$403,Flux_detail!$A$2:$A$403,A352)</f>
      </c>
      <c r="C352" s="11">
        <f>C351+B352</f>
      </c>
      <c r="D352" s="0" t="inlineStr">
        <is>
          <t xml:space="preserve">2024-12</t>
        </is>
      </c>
      <c r="E352" s="0" t="inlineStr">
        <is>
          <t xml:space="preserve">2024</t>
        </is>
      </c>
      <c r="F352" s="17">
        <v>0</v>
      </c>
      <c r="G352" s="18">
        <f>C352+F352</f>
      </c>
    </row>
    <row r="353">
      <c r="A353" s="7">
        <v>45640</v>
      </c>
      <c r="B353" s="11">
        <f>SUMIFS(Flux_detail!$K$2:$K$403,Flux_detail!$A$2:$A$403,A353)</f>
      </c>
      <c r="C353" s="11">
        <f>C352+B353</f>
      </c>
      <c r="D353" s="0" t="inlineStr">
        <is>
          <t xml:space="preserve">2024-12</t>
        </is>
      </c>
      <c r="E353" s="0" t="inlineStr">
        <is>
          <t xml:space="preserve">2024</t>
        </is>
      </c>
      <c r="F353" s="17">
        <v>0</v>
      </c>
      <c r="G353" s="18">
        <f>C353+F353</f>
      </c>
    </row>
    <row r="354">
      <c r="A354" s="7">
        <v>45641</v>
      </c>
      <c r="B354" s="11">
        <f>SUMIFS(Flux_detail!$K$2:$K$403,Flux_detail!$A$2:$A$403,A354)</f>
      </c>
      <c r="C354" s="11">
        <f>C353+B354</f>
      </c>
      <c r="D354" s="0" t="inlineStr">
        <is>
          <t xml:space="preserve">2024-12</t>
        </is>
      </c>
      <c r="E354" s="0" t="inlineStr">
        <is>
          <t xml:space="preserve">2024</t>
        </is>
      </c>
      <c r="F354" s="17">
        <v>0</v>
      </c>
      <c r="G354" s="18">
        <f>C354+F354</f>
      </c>
    </row>
    <row r="355">
      <c r="A355" s="7">
        <v>45642</v>
      </c>
      <c r="B355" s="11">
        <f>SUMIFS(Flux_detail!$K$2:$K$403,Flux_detail!$A$2:$A$403,A355)</f>
      </c>
      <c r="C355" s="11">
        <f>C354+B355</f>
      </c>
      <c r="D355" s="0" t="inlineStr">
        <is>
          <t xml:space="preserve">2024-12</t>
        </is>
      </c>
      <c r="E355" s="0" t="inlineStr">
        <is>
          <t xml:space="preserve">2024</t>
        </is>
      </c>
      <c r="F355" s="17">
        <v>0</v>
      </c>
      <c r="G355" s="18">
        <f>C355+F355</f>
      </c>
    </row>
    <row r="356">
      <c r="A356" s="7">
        <v>45643</v>
      </c>
      <c r="B356" s="11">
        <f>SUMIFS(Flux_detail!$K$2:$K$403,Flux_detail!$A$2:$A$403,A356)</f>
      </c>
      <c r="C356" s="11">
        <f>C355+B356</f>
      </c>
      <c r="D356" s="0" t="inlineStr">
        <is>
          <t xml:space="preserve">2024-12</t>
        </is>
      </c>
      <c r="E356" s="0" t="inlineStr">
        <is>
          <t xml:space="preserve">2024</t>
        </is>
      </c>
      <c r="F356" s="17">
        <v>0</v>
      </c>
      <c r="G356" s="18">
        <f>C356+F356</f>
      </c>
    </row>
    <row r="357">
      <c r="A357" s="7">
        <v>45644</v>
      </c>
      <c r="B357" s="11">
        <f>SUMIFS(Flux_detail!$K$2:$K$403,Flux_detail!$A$2:$A$403,A357)</f>
      </c>
      <c r="C357" s="11">
        <f>C356+B357</f>
      </c>
      <c r="D357" s="0" t="inlineStr">
        <is>
          <t xml:space="preserve">2024-12</t>
        </is>
      </c>
      <c r="E357" s="0" t="inlineStr">
        <is>
          <t xml:space="preserve">2024</t>
        </is>
      </c>
      <c r="F357" s="17">
        <v>0</v>
      </c>
      <c r="G357" s="18">
        <f>C357+F357</f>
      </c>
    </row>
    <row r="358">
      <c r="A358" s="7">
        <v>45645</v>
      </c>
      <c r="B358" s="11">
        <f>SUMIFS(Flux_detail!$K$2:$K$403,Flux_detail!$A$2:$A$403,A358)</f>
      </c>
      <c r="C358" s="11">
        <f>C357+B358</f>
      </c>
      <c r="D358" s="0" t="inlineStr">
        <is>
          <t xml:space="preserve">2024-12</t>
        </is>
      </c>
      <c r="E358" s="0" t="inlineStr">
        <is>
          <t xml:space="preserve">2024</t>
        </is>
      </c>
      <c r="F358" s="17">
        <v>0</v>
      </c>
      <c r="G358" s="18">
        <f>C358+F358</f>
      </c>
    </row>
    <row r="359">
      <c r="A359" s="7">
        <v>45646</v>
      </c>
      <c r="B359" s="11">
        <f>SUMIFS(Flux_detail!$K$2:$K$403,Flux_detail!$A$2:$A$403,A359)</f>
      </c>
      <c r="C359" s="11">
        <f>C358+B359</f>
      </c>
      <c r="D359" s="0" t="inlineStr">
        <is>
          <t xml:space="preserve">2024-12</t>
        </is>
      </c>
      <c r="E359" s="0" t="inlineStr">
        <is>
          <t xml:space="preserve">2024</t>
        </is>
      </c>
      <c r="F359" s="17">
        <v>0</v>
      </c>
      <c r="G359" s="18">
        <f>C359+F359</f>
      </c>
    </row>
    <row r="360">
      <c r="A360" s="7">
        <v>45647</v>
      </c>
      <c r="B360" s="11">
        <f>SUMIFS(Flux_detail!$K$2:$K$403,Flux_detail!$A$2:$A$403,A360)</f>
      </c>
      <c r="C360" s="11">
        <f>C359+B360</f>
      </c>
      <c r="D360" s="0" t="inlineStr">
        <is>
          <t xml:space="preserve">2024-12</t>
        </is>
      </c>
      <c r="E360" s="0" t="inlineStr">
        <is>
          <t xml:space="preserve">2024</t>
        </is>
      </c>
      <c r="F360" s="17">
        <v>0</v>
      </c>
      <c r="G360" s="18">
        <f>C360+F360</f>
      </c>
    </row>
    <row r="361">
      <c r="A361" s="7">
        <v>45648</v>
      </c>
      <c r="B361" s="11">
        <f>SUMIFS(Flux_detail!$K$2:$K$403,Flux_detail!$A$2:$A$403,A361)</f>
      </c>
      <c r="C361" s="11">
        <f>C360+B361</f>
      </c>
      <c r="D361" s="0" t="inlineStr">
        <is>
          <t xml:space="preserve">2024-12</t>
        </is>
      </c>
      <c r="E361" s="0" t="inlineStr">
        <is>
          <t xml:space="preserve">2024</t>
        </is>
      </c>
      <c r="F361" s="17">
        <v>0</v>
      </c>
      <c r="G361" s="18">
        <f>C361+F361</f>
      </c>
    </row>
    <row r="362">
      <c r="A362" s="7">
        <v>45649</v>
      </c>
      <c r="B362" s="11">
        <f>SUMIFS(Flux_detail!$K$2:$K$403,Flux_detail!$A$2:$A$403,A362)</f>
      </c>
      <c r="C362" s="11">
        <f>C361+B362</f>
      </c>
      <c r="D362" s="0" t="inlineStr">
        <is>
          <t xml:space="preserve">2024-12</t>
        </is>
      </c>
      <c r="E362" s="0" t="inlineStr">
        <is>
          <t xml:space="preserve">2024</t>
        </is>
      </c>
      <c r="F362" s="17">
        <v>0</v>
      </c>
      <c r="G362" s="18">
        <f>C362+F362</f>
      </c>
    </row>
    <row r="363">
      <c r="A363" s="7">
        <v>45650</v>
      </c>
      <c r="B363" s="11">
        <f>SUMIFS(Flux_detail!$K$2:$K$403,Flux_detail!$A$2:$A$403,A363)</f>
      </c>
      <c r="C363" s="11">
        <f>C362+B363</f>
      </c>
      <c r="D363" s="0" t="inlineStr">
        <is>
          <t xml:space="preserve">2024-12</t>
        </is>
      </c>
      <c r="E363" s="0" t="inlineStr">
        <is>
          <t xml:space="preserve">2024</t>
        </is>
      </c>
      <c r="F363" s="17">
        <v>0</v>
      </c>
      <c r="G363" s="18">
        <f>C363+F363</f>
      </c>
    </row>
    <row r="364">
      <c r="A364" s="7">
        <v>45651</v>
      </c>
      <c r="B364" s="11">
        <f>SUMIFS(Flux_detail!$K$2:$K$403,Flux_detail!$A$2:$A$403,A364)</f>
      </c>
      <c r="C364" s="11">
        <f>C363+B364</f>
      </c>
      <c r="D364" s="0" t="inlineStr">
        <is>
          <t xml:space="preserve">2024-12</t>
        </is>
      </c>
      <c r="E364" s="0" t="inlineStr">
        <is>
          <t xml:space="preserve">2024</t>
        </is>
      </c>
      <c r="F364" s="17">
        <v>0</v>
      </c>
      <c r="G364" s="18">
        <f>C364+F364</f>
      </c>
    </row>
    <row r="365">
      <c r="A365" s="7">
        <v>45652</v>
      </c>
      <c r="B365" s="11">
        <f>SUMIFS(Flux_detail!$K$2:$K$403,Flux_detail!$A$2:$A$403,A365)</f>
      </c>
      <c r="C365" s="11">
        <f>C364+B365</f>
      </c>
      <c r="D365" s="0" t="inlineStr">
        <is>
          <t xml:space="preserve">2024-12</t>
        </is>
      </c>
      <c r="E365" s="0" t="inlineStr">
        <is>
          <t xml:space="preserve">2024</t>
        </is>
      </c>
      <c r="F365" s="17">
        <v>0</v>
      </c>
      <c r="G365" s="18">
        <f>C365+F365</f>
      </c>
    </row>
    <row r="366">
      <c r="A366" s="7">
        <v>45653</v>
      </c>
      <c r="B366" s="11">
        <f>SUMIFS(Flux_detail!$K$2:$K$403,Flux_detail!$A$2:$A$403,A366)</f>
      </c>
      <c r="C366" s="11">
        <f>C365+B366</f>
      </c>
      <c r="D366" s="0" t="inlineStr">
        <is>
          <t xml:space="preserve">2024-12</t>
        </is>
      </c>
      <c r="E366" s="0" t="inlineStr">
        <is>
          <t xml:space="preserve">2024</t>
        </is>
      </c>
      <c r="F366" s="17">
        <v>0</v>
      </c>
      <c r="G366" s="18">
        <f>C366+F366</f>
      </c>
    </row>
    <row r="367">
      <c r="A367" s="7">
        <v>45654</v>
      </c>
      <c r="B367" s="11">
        <f>SUMIFS(Flux_detail!$K$2:$K$403,Flux_detail!$A$2:$A$403,A367)</f>
      </c>
      <c r="C367" s="11">
        <f>C366+B367</f>
      </c>
      <c r="D367" s="0" t="inlineStr">
        <is>
          <t xml:space="preserve">2024-12</t>
        </is>
      </c>
      <c r="E367" s="0" t="inlineStr">
        <is>
          <t xml:space="preserve">2024</t>
        </is>
      </c>
      <c r="F367" s="17">
        <v>0</v>
      </c>
      <c r="G367" s="18">
        <f>C367+F367</f>
      </c>
    </row>
    <row r="368">
      <c r="A368" s="7">
        <v>45655</v>
      </c>
      <c r="B368" s="11">
        <f>SUMIFS(Flux_detail!$K$2:$K$403,Flux_detail!$A$2:$A$403,A368)</f>
      </c>
      <c r="C368" s="11">
        <f>C367+B368</f>
      </c>
      <c r="D368" s="0" t="inlineStr">
        <is>
          <t xml:space="preserve">2024-12</t>
        </is>
      </c>
      <c r="E368" s="0" t="inlineStr">
        <is>
          <t xml:space="preserve">2024</t>
        </is>
      </c>
      <c r="F368" s="17">
        <v>0</v>
      </c>
      <c r="G368" s="18">
        <f>C368+F368</f>
      </c>
    </row>
    <row r="369">
      <c r="A369" s="7">
        <v>45656</v>
      </c>
      <c r="B369" s="11">
        <f>SUMIFS(Flux_detail!$K$2:$K$403,Flux_detail!$A$2:$A$403,A369)</f>
      </c>
      <c r="C369" s="11">
        <f>C368+B369</f>
      </c>
      <c r="D369" s="0" t="inlineStr">
        <is>
          <t xml:space="preserve">2024-12</t>
        </is>
      </c>
      <c r="E369" s="0" t="inlineStr">
        <is>
          <t xml:space="preserve">2024</t>
        </is>
      </c>
      <c r="F369" s="17">
        <v>0</v>
      </c>
      <c r="G369" s="18">
        <f>C369+F369</f>
      </c>
    </row>
    <row r="370">
      <c r="A370" s="7">
        <v>45657</v>
      </c>
      <c r="B370" s="11">
        <f>SUMIFS(Flux_detail!$K$2:$K$403,Flux_detail!$A$2:$A$403,A370)</f>
      </c>
      <c r="C370" s="11">
        <f>C369+B370</f>
      </c>
      <c r="D370" s="0" t="inlineStr">
        <is>
          <t xml:space="preserve">2024-12</t>
        </is>
      </c>
      <c r="E370" s="0" t="inlineStr">
        <is>
          <t xml:space="preserve">2024</t>
        </is>
      </c>
      <c r="F370" s="17">
        <v>0</v>
      </c>
      <c r="G370" s="18">
        <f>C370+F370</f>
      </c>
    </row>
    <row r="371">
      <c r="A371" s="7">
        <v>45658</v>
      </c>
      <c r="B371" s="11">
        <f>SUMIFS(Flux_detail!$K$2:$K$403,Flux_detail!$A$2:$A$403,A371)</f>
      </c>
      <c r="C371" s="18">
        <f>111111.24+B371</f>
      </c>
      <c r="D371" s="0" t="inlineStr">
        <is>
          <t xml:space="preserve">2025-01</t>
        </is>
      </c>
      <c r="E371" s="0" t="inlineStr">
        <is>
          <t xml:space="preserve">2025</t>
        </is>
      </c>
      <c r="F371" s="17">
        <v>0</v>
      </c>
      <c r="G371" s="18">
        <f>C371+F371</f>
      </c>
    </row>
    <row r="372">
      <c r="A372" s="7">
        <v>45659</v>
      </c>
      <c r="B372" s="11">
        <f>SUMIFS(Flux_detail!$K$2:$K$403,Flux_detail!$A$2:$A$403,A372)</f>
      </c>
      <c r="C372" s="11">
        <f>C371+B372</f>
      </c>
      <c r="D372" s="0" t="inlineStr">
        <is>
          <t xml:space="preserve">2025-01</t>
        </is>
      </c>
      <c r="E372" s="0" t="inlineStr">
        <is>
          <t xml:space="preserve">2025</t>
        </is>
      </c>
      <c r="F372" s="17">
        <v>0</v>
      </c>
      <c r="G372" s="18">
        <f>C372+F372</f>
      </c>
    </row>
    <row r="373">
      <c r="A373" s="7">
        <v>45660</v>
      </c>
      <c r="B373" s="11">
        <f>SUMIFS(Flux_detail!$K$2:$K$403,Flux_detail!$A$2:$A$403,A373)</f>
      </c>
      <c r="C373" s="11">
        <f>C372+B373</f>
      </c>
      <c r="D373" s="0" t="inlineStr">
        <is>
          <t xml:space="preserve">2025-01</t>
        </is>
      </c>
      <c r="E373" s="0" t="inlineStr">
        <is>
          <t xml:space="preserve">2025</t>
        </is>
      </c>
      <c r="F373" s="17">
        <v>0</v>
      </c>
      <c r="G373" s="18">
        <f>C373+F373</f>
      </c>
    </row>
    <row r="374">
      <c r="A374" s="7">
        <v>45661</v>
      </c>
      <c r="B374" s="11">
        <f>SUMIFS(Flux_detail!$K$2:$K$403,Flux_detail!$A$2:$A$403,A374)</f>
      </c>
      <c r="C374" s="11">
        <f>C373+B374</f>
      </c>
      <c r="D374" s="0" t="inlineStr">
        <is>
          <t xml:space="preserve">2025-01</t>
        </is>
      </c>
      <c r="E374" s="0" t="inlineStr">
        <is>
          <t xml:space="preserve">2025</t>
        </is>
      </c>
      <c r="F374" s="17">
        <v>0</v>
      </c>
      <c r="G374" s="18">
        <f>C374+F374</f>
      </c>
    </row>
    <row r="375">
      <c r="A375" s="7">
        <v>45662</v>
      </c>
      <c r="B375" s="11">
        <f>SUMIFS(Flux_detail!$K$2:$K$403,Flux_detail!$A$2:$A$403,A375)</f>
      </c>
      <c r="C375" s="11">
        <f>C374+B375</f>
      </c>
      <c r="D375" s="0" t="inlineStr">
        <is>
          <t xml:space="preserve">2025-01</t>
        </is>
      </c>
      <c r="E375" s="0" t="inlineStr">
        <is>
          <t xml:space="preserve">2025</t>
        </is>
      </c>
      <c r="F375" s="17">
        <v>0</v>
      </c>
      <c r="G375" s="18">
        <f>C375+F375</f>
      </c>
    </row>
    <row r="376">
      <c r="A376" s="7">
        <v>45663</v>
      </c>
      <c r="B376" s="11">
        <f>SUMIFS(Flux_detail!$K$2:$K$403,Flux_detail!$A$2:$A$403,A376)</f>
      </c>
      <c r="C376" s="11">
        <f>C375+B376</f>
      </c>
      <c r="D376" s="0" t="inlineStr">
        <is>
          <t xml:space="preserve">2025-01</t>
        </is>
      </c>
      <c r="E376" s="0" t="inlineStr">
        <is>
          <t xml:space="preserve">2025</t>
        </is>
      </c>
      <c r="F376" s="17">
        <v>0</v>
      </c>
      <c r="G376" s="18">
        <f>C376+F376</f>
      </c>
    </row>
    <row r="377">
      <c r="A377" s="7">
        <v>45664</v>
      </c>
      <c r="B377" s="11">
        <f>SUMIFS(Flux_detail!$K$2:$K$403,Flux_detail!$A$2:$A$403,A377)</f>
      </c>
      <c r="C377" s="11">
        <f>C376+B377</f>
      </c>
      <c r="D377" s="0" t="inlineStr">
        <is>
          <t xml:space="preserve">2025-01</t>
        </is>
      </c>
      <c r="E377" s="0" t="inlineStr">
        <is>
          <t xml:space="preserve">2025</t>
        </is>
      </c>
      <c r="F377" s="17">
        <v>0</v>
      </c>
      <c r="G377" s="18">
        <f>C377+F377</f>
      </c>
    </row>
    <row r="378">
      <c r="A378" s="7">
        <v>45665</v>
      </c>
      <c r="B378" s="11">
        <f>SUMIFS(Flux_detail!$K$2:$K$403,Flux_detail!$A$2:$A$403,A378)</f>
      </c>
      <c r="C378" s="11">
        <f>C377+B378</f>
      </c>
      <c r="D378" s="0" t="inlineStr">
        <is>
          <t xml:space="preserve">2025-01</t>
        </is>
      </c>
      <c r="E378" s="0" t="inlineStr">
        <is>
          <t xml:space="preserve">2025</t>
        </is>
      </c>
      <c r="F378" s="17">
        <v>0</v>
      </c>
      <c r="G378" s="18">
        <f>C378+F378</f>
      </c>
    </row>
    <row r="379">
      <c r="A379" s="7">
        <v>45666</v>
      </c>
      <c r="B379" s="11">
        <f>SUMIFS(Flux_detail!$K$2:$K$403,Flux_detail!$A$2:$A$403,A379)</f>
      </c>
      <c r="C379" s="11">
        <f>C378+B379</f>
      </c>
      <c r="D379" s="0" t="inlineStr">
        <is>
          <t xml:space="preserve">2025-01</t>
        </is>
      </c>
      <c r="E379" s="0" t="inlineStr">
        <is>
          <t xml:space="preserve">2025</t>
        </is>
      </c>
      <c r="F379" s="17">
        <v>0</v>
      </c>
      <c r="G379" s="18">
        <f>C379+F379</f>
      </c>
    </row>
    <row r="380">
      <c r="A380" s="7">
        <v>45667</v>
      </c>
      <c r="B380" s="11">
        <f>SUMIFS(Flux_detail!$K$2:$K$403,Flux_detail!$A$2:$A$403,A380)</f>
      </c>
      <c r="C380" s="11">
        <f>C379+B380</f>
      </c>
      <c r="D380" s="0" t="inlineStr">
        <is>
          <t xml:space="preserve">2025-01</t>
        </is>
      </c>
      <c r="E380" s="0" t="inlineStr">
        <is>
          <t xml:space="preserve">2025</t>
        </is>
      </c>
      <c r="F380" s="17">
        <v>0</v>
      </c>
      <c r="G380" s="18">
        <f>C380+F380</f>
      </c>
    </row>
    <row r="381">
      <c r="A381" s="7">
        <v>45668</v>
      </c>
      <c r="B381" s="11">
        <f>SUMIFS(Flux_detail!$K$2:$K$403,Flux_detail!$A$2:$A$403,A381)</f>
      </c>
      <c r="C381" s="11">
        <f>C380+B381</f>
      </c>
      <c r="D381" s="0" t="inlineStr">
        <is>
          <t xml:space="preserve">2025-01</t>
        </is>
      </c>
      <c r="E381" s="0" t="inlineStr">
        <is>
          <t xml:space="preserve">2025</t>
        </is>
      </c>
      <c r="F381" s="17">
        <v>0</v>
      </c>
      <c r="G381" s="18">
        <f>C381+F381</f>
      </c>
    </row>
    <row r="382">
      <c r="A382" s="7">
        <v>45669</v>
      </c>
      <c r="B382" s="11">
        <f>SUMIFS(Flux_detail!$K$2:$K$403,Flux_detail!$A$2:$A$403,A382)</f>
      </c>
      <c r="C382" s="11">
        <f>C381+B382</f>
      </c>
      <c r="D382" s="0" t="inlineStr">
        <is>
          <t xml:space="preserve">2025-01</t>
        </is>
      </c>
      <c r="E382" s="0" t="inlineStr">
        <is>
          <t xml:space="preserve">2025</t>
        </is>
      </c>
      <c r="F382" s="17">
        <v>0</v>
      </c>
      <c r="G382" s="18">
        <f>C382+F382</f>
      </c>
    </row>
    <row r="383">
      <c r="A383" s="7">
        <v>45670</v>
      </c>
      <c r="B383" s="11">
        <f>SUMIFS(Flux_detail!$K$2:$K$403,Flux_detail!$A$2:$A$403,A383)</f>
      </c>
      <c r="C383" s="11">
        <f>C382+B383</f>
      </c>
      <c r="D383" s="0" t="inlineStr">
        <is>
          <t xml:space="preserve">2025-01</t>
        </is>
      </c>
      <c r="E383" s="0" t="inlineStr">
        <is>
          <t xml:space="preserve">2025</t>
        </is>
      </c>
      <c r="F383" s="17">
        <v>0</v>
      </c>
      <c r="G383" s="18">
        <f>C383+F383</f>
      </c>
    </row>
    <row r="384">
      <c r="A384" s="7">
        <v>45671</v>
      </c>
      <c r="B384" s="11">
        <f>SUMIFS(Flux_detail!$K$2:$K$403,Flux_detail!$A$2:$A$403,A384)</f>
      </c>
      <c r="C384" s="11">
        <f>C383+B384</f>
      </c>
      <c r="D384" s="0" t="inlineStr">
        <is>
          <t xml:space="preserve">2025-01</t>
        </is>
      </c>
      <c r="E384" s="0" t="inlineStr">
        <is>
          <t xml:space="preserve">2025</t>
        </is>
      </c>
      <c r="F384" s="17">
        <v>0</v>
      </c>
      <c r="G384" s="18">
        <f>C384+F384</f>
      </c>
    </row>
    <row r="385">
      <c r="A385" s="7">
        <v>45672</v>
      </c>
      <c r="B385" s="11">
        <f>SUMIFS(Flux_detail!$K$2:$K$403,Flux_detail!$A$2:$A$403,A385)</f>
      </c>
      <c r="C385" s="11">
        <f>C384+B385</f>
      </c>
      <c r="D385" s="0" t="inlineStr">
        <is>
          <t xml:space="preserve">2025-01</t>
        </is>
      </c>
      <c r="E385" s="0" t="inlineStr">
        <is>
          <t xml:space="preserve">2025</t>
        </is>
      </c>
      <c r="F385" s="17">
        <v>0</v>
      </c>
      <c r="G385" s="18">
        <f>C385+F385</f>
      </c>
    </row>
    <row r="386">
      <c r="A386" s="7">
        <v>45673</v>
      </c>
      <c r="B386" s="11">
        <f>SUMIFS(Flux_detail!$K$2:$K$403,Flux_detail!$A$2:$A$403,A386)</f>
      </c>
      <c r="C386" s="11">
        <f>C385+B386</f>
      </c>
      <c r="D386" s="0" t="inlineStr">
        <is>
          <t xml:space="preserve">2025-01</t>
        </is>
      </c>
      <c r="E386" s="0" t="inlineStr">
        <is>
          <t xml:space="preserve">2025</t>
        </is>
      </c>
      <c r="F386" s="17">
        <v>0</v>
      </c>
      <c r="G386" s="18">
        <f>C386+F386</f>
      </c>
    </row>
    <row r="387">
      <c r="A387" s="7">
        <v>45674</v>
      </c>
      <c r="B387" s="11">
        <f>SUMIFS(Flux_detail!$K$2:$K$403,Flux_detail!$A$2:$A$403,A387)</f>
      </c>
      <c r="C387" s="11">
        <f>C386+B387</f>
      </c>
      <c r="D387" s="0" t="inlineStr">
        <is>
          <t xml:space="preserve">2025-01</t>
        </is>
      </c>
      <c r="E387" s="0" t="inlineStr">
        <is>
          <t xml:space="preserve">2025</t>
        </is>
      </c>
      <c r="F387" s="17">
        <v>0</v>
      </c>
      <c r="G387" s="18">
        <f>C387+F387</f>
      </c>
    </row>
    <row r="388">
      <c r="A388" s="7">
        <v>45675</v>
      </c>
      <c r="B388" s="11">
        <f>SUMIFS(Flux_detail!$K$2:$K$403,Flux_detail!$A$2:$A$403,A388)</f>
      </c>
      <c r="C388" s="11">
        <f>C387+B388</f>
      </c>
      <c r="D388" s="0" t="inlineStr">
        <is>
          <t xml:space="preserve">2025-01</t>
        </is>
      </c>
      <c r="E388" s="0" t="inlineStr">
        <is>
          <t xml:space="preserve">2025</t>
        </is>
      </c>
      <c r="F388" s="17">
        <v>0</v>
      </c>
      <c r="G388" s="18">
        <f>C388+F388</f>
      </c>
    </row>
    <row r="389">
      <c r="A389" s="7">
        <v>45676</v>
      </c>
      <c r="B389" s="11">
        <f>SUMIFS(Flux_detail!$K$2:$K$403,Flux_detail!$A$2:$A$403,A389)</f>
      </c>
      <c r="C389" s="11">
        <f>C388+B389</f>
      </c>
      <c r="D389" s="0" t="inlineStr">
        <is>
          <t xml:space="preserve">2025-01</t>
        </is>
      </c>
      <c r="E389" s="0" t="inlineStr">
        <is>
          <t xml:space="preserve">2025</t>
        </is>
      </c>
      <c r="F389" s="17">
        <v>0</v>
      </c>
      <c r="G389" s="18">
        <f>C389+F389</f>
      </c>
    </row>
    <row r="390">
      <c r="A390" s="7">
        <v>45677</v>
      </c>
      <c r="B390" s="11">
        <f>SUMIFS(Flux_detail!$K$2:$K$403,Flux_detail!$A$2:$A$403,A390)</f>
      </c>
      <c r="C390" s="11">
        <f>C389+B390</f>
      </c>
      <c r="D390" s="0" t="inlineStr">
        <is>
          <t xml:space="preserve">2025-01</t>
        </is>
      </c>
      <c r="E390" s="0" t="inlineStr">
        <is>
          <t xml:space="preserve">2025</t>
        </is>
      </c>
      <c r="F390" s="17">
        <v>0</v>
      </c>
      <c r="G390" s="18">
        <f>C390+F390</f>
      </c>
    </row>
    <row r="391">
      <c r="A391" s="7">
        <v>45678</v>
      </c>
      <c r="B391" s="11">
        <f>SUMIFS(Flux_detail!$K$2:$K$403,Flux_detail!$A$2:$A$403,A391)</f>
      </c>
      <c r="C391" s="11">
        <f>C390+B391</f>
      </c>
      <c r="D391" s="0" t="inlineStr">
        <is>
          <t xml:space="preserve">2025-01</t>
        </is>
      </c>
      <c r="E391" s="0" t="inlineStr">
        <is>
          <t xml:space="preserve">2025</t>
        </is>
      </c>
      <c r="F391" s="17">
        <v>0</v>
      </c>
      <c r="G391" s="18">
        <f>C391+F391</f>
      </c>
    </row>
    <row r="392">
      <c r="A392" s="7">
        <v>45679</v>
      </c>
      <c r="B392" s="11">
        <f>SUMIFS(Flux_detail!$K$2:$K$403,Flux_detail!$A$2:$A$403,A392)</f>
      </c>
      <c r="C392" s="11">
        <f>C391+B392</f>
      </c>
      <c r="D392" s="0" t="inlineStr">
        <is>
          <t xml:space="preserve">2025-01</t>
        </is>
      </c>
      <c r="E392" s="0" t="inlineStr">
        <is>
          <t xml:space="preserve">2025</t>
        </is>
      </c>
      <c r="F392" s="17">
        <v>0</v>
      </c>
      <c r="G392" s="18">
        <f>C392+F392</f>
      </c>
    </row>
    <row r="393">
      <c r="A393" s="7">
        <v>45680</v>
      </c>
      <c r="B393" s="11">
        <f>SUMIFS(Flux_detail!$K$2:$K$403,Flux_detail!$A$2:$A$403,A393)</f>
      </c>
      <c r="C393" s="11">
        <f>C392+B393</f>
      </c>
      <c r="D393" s="0" t="inlineStr">
        <is>
          <t xml:space="preserve">2025-01</t>
        </is>
      </c>
      <c r="E393" s="0" t="inlineStr">
        <is>
          <t xml:space="preserve">2025</t>
        </is>
      </c>
      <c r="F393" s="17">
        <v>0</v>
      </c>
      <c r="G393" s="18">
        <f>C393+F393</f>
      </c>
    </row>
    <row r="394">
      <c r="A394" s="7">
        <v>45681</v>
      </c>
      <c r="B394" s="11">
        <f>SUMIFS(Flux_detail!$K$2:$K$403,Flux_detail!$A$2:$A$403,A394)</f>
      </c>
      <c r="C394" s="11">
        <f>C393+B394</f>
      </c>
      <c r="D394" s="0" t="inlineStr">
        <is>
          <t xml:space="preserve">2025-01</t>
        </is>
      </c>
      <c r="E394" s="0" t="inlineStr">
        <is>
          <t xml:space="preserve">2025</t>
        </is>
      </c>
      <c r="F394" s="17">
        <v>0</v>
      </c>
      <c r="G394" s="18">
        <f>C394+F394</f>
      </c>
    </row>
    <row r="395">
      <c r="A395" s="7">
        <v>45682</v>
      </c>
      <c r="B395" s="11">
        <f>SUMIFS(Flux_detail!$K$2:$K$403,Flux_detail!$A$2:$A$403,A395)</f>
      </c>
      <c r="C395" s="11">
        <f>C394+B395</f>
      </c>
      <c r="D395" s="0" t="inlineStr">
        <is>
          <t xml:space="preserve">2025-01</t>
        </is>
      </c>
      <c r="E395" s="0" t="inlineStr">
        <is>
          <t xml:space="preserve">2025</t>
        </is>
      </c>
      <c r="F395" s="17">
        <v>0</v>
      </c>
      <c r="G395" s="18">
        <f>C395+F395</f>
      </c>
    </row>
    <row r="396">
      <c r="A396" s="7">
        <v>45683</v>
      </c>
      <c r="B396" s="11">
        <f>SUMIFS(Flux_detail!$K$2:$K$403,Flux_detail!$A$2:$A$403,A396)</f>
      </c>
      <c r="C396" s="11">
        <f>C395+B396</f>
      </c>
      <c r="D396" s="0" t="inlineStr">
        <is>
          <t xml:space="preserve">2025-01</t>
        </is>
      </c>
      <c r="E396" s="0" t="inlineStr">
        <is>
          <t xml:space="preserve">2025</t>
        </is>
      </c>
      <c r="F396" s="17">
        <v>0</v>
      </c>
      <c r="G396" s="18">
        <f>C396+F396</f>
      </c>
    </row>
    <row r="397">
      <c r="A397" s="7">
        <v>45684</v>
      </c>
      <c r="B397" s="11">
        <f>SUMIFS(Flux_detail!$K$2:$K$403,Flux_detail!$A$2:$A$403,A397)</f>
      </c>
      <c r="C397" s="11">
        <f>C396+B397</f>
      </c>
      <c r="D397" s="0" t="inlineStr">
        <is>
          <t xml:space="preserve">2025-01</t>
        </is>
      </c>
      <c r="E397" s="0" t="inlineStr">
        <is>
          <t xml:space="preserve">2025</t>
        </is>
      </c>
      <c r="F397" s="17">
        <v>0</v>
      </c>
      <c r="G397" s="18">
        <f>C397+F397</f>
      </c>
    </row>
    <row r="398">
      <c r="A398" s="7">
        <v>45685</v>
      </c>
      <c r="B398" s="11">
        <f>SUMIFS(Flux_detail!$K$2:$K$403,Flux_detail!$A$2:$A$403,A398)</f>
      </c>
      <c r="C398" s="11">
        <f>C397+B398</f>
      </c>
      <c r="D398" s="0" t="inlineStr">
        <is>
          <t xml:space="preserve">2025-01</t>
        </is>
      </c>
      <c r="E398" s="0" t="inlineStr">
        <is>
          <t xml:space="preserve">2025</t>
        </is>
      </c>
      <c r="F398" s="17">
        <v>0</v>
      </c>
      <c r="G398" s="18">
        <f>C398+F398</f>
      </c>
    </row>
    <row r="399">
      <c r="A399" s="7">
        <v>45686</v>
      </c>
      <c r="B399" s="11">
        <f>SUMIFS(Flux_detail!$K$2:$K$403,Flux_detail!$A$2:$A$403,A399)</f>
      </c>
      <c r="C399" s="11">
        <f>C398+B399</f>
      </c>
      <c r="D399" s="0" t="inlineStr">
        <is>
          <t xml:space="preserve">2025-01</t>
        </is>
      </c>
      <c r="E399" s="0" t="inlineStr">
        <is>
          <t xml:space="preserve">2025</t>
        </is>
      </c>
      <c r="F399" s="17">
        <v>0</v>
      </c>
      <c r="G399" s="18">
        <f>C399+F399</f>
      </c>
    </row>
    <row r="400">
      <c r="A400" s="7">
        <v>45687</v>
      </c>
      <c r="B400" s="11">
        <f>SUMIFS(Flux_detail!$K$2:$K$403,Flux_detail!$A$2:$A$403,A400)</f>
      </c>
      <c r="C400" s="11">
        <f>C399+B400</f>
      </c>
      <c r="D400" s="0" t="inlineStr">
        <is>
          <t xml:space="preserve">2025-01</t>
        </is>
      </c>
      <c r="E400" s="0" t="inlineStr">
        <is>
          <t xml:space="preserve">2025</t>
        </is>
      </c>
      <c r="F400" s="17">
        <v>0</v>
      </c>
      <c r="G400" s="18">
        <f>C400+F400</f>
      </c>
    </row>
    <row r="401">
      <c r="A401" s="7">
        <v>45688</v>
      </c>
      <c r="B401" s="11">
        <f>SUMIFS(Flux_detail!$K$2:$K$403,Flux_detail!$A$2:$A$403,A401)</f>
      </c>
      <c r="C401" s="11">
        <f>C400+B401</f>
      </c>
      <c r="D401" s="0" t="inlineStr">
        <is>
          <t xml:space="preserve">2025-01</t>
        </is>
      </c>
      <c r="E401" s="0" t="inlineStr">
        <is>
          <t xml:space="preserve">2025</t>
        </is>
      </c>
      <c r="F401" s="17">
        <v>0</v>
      </c>
      <c r="G401" s="18">
        <f>C401+F401</f>
      </c>
    </row>
    <row r="402">
      <c r="A402" s="7">
        <v>45689</v>
      </c>
      <c r="B402" s="11">
        <f>SUMIFS(Flux_detail!$K$2:$K$403,Flux_detail!$A$2:$A$403,A402)</f>
      </c>
      <c r="C402" s="11">
        <f>C401+B402</f>
      </c>
      <c r="D402" s="0" t="inlineStr">
        <is>
          <t xml:space="preserve">2025-02</t>
        </is>
      </c>
      <c r="E402" s="0" t="inlineStr">
        <is>
          <t xml:space="preserve">2025</t>
        </is>
      </c>
      <c r="F402" s="17">
        <v>0</v>
      </c>
      <c r="G402" s="18">
        <f>C402+F402</f>
      </c>
    </row>
    <row r="403">
      <c r="A403" s="7">
        <v>45690</v>
      </c>
      <c r="B403" s="11">
        <f>SUMIFS(Flux_detail!$K$2:$K$403,Flux_detail!$A$2:$A$403,A403)</f>
      </c>
      <c r="C403" s="11">
        <f>C402+B403</f>
      </c>
      <c r="D403" s="0" t="inlineStr">
        <is>
          <t xml:space="preserve">2025-02</t>
        </is>
      </c>
      <c r="E403" s="0" t="inlineStr">
        <is>
          <t xml:space="preserve">2025</t>
        </is>
      </c>
      <c r="F403" s="17">
        <v>0</v>
      </c>
      <c r="G403" s="18">
        <f>C403+F403</f>
      </c>
    </row>
    <row r="404">
      <c r="A404" s="7">
        <v>45691</v>
      </c>
      <c r="B404" s="11">
        <f>SUMIFS(Flux_detail!$K$2:$K$403,Flux_detail!$A$2:$A$403,A404)</f>
      </c>
      <c r="C404" s="11">
        <f>C403+B404</f>
      </c>
      <c r="D404" s="0" t="inlineStr">
        <is>
          <t xml:space="preserve">2025-02</t>
        </is>
      </c>
      <c r="E404" s="0" t="inlineStr">
        <is>
          <t xml:space="preserve">2025</t>
        </is>
      </c>
      <c r="F404" s="17">
        <v>0</v>
      </c>
      <c r="G404" s="18">
        <f>C404+F404</f>
      </c>
    </row>
    <row r="405">
      <c r="A405" s="7">
        <v>45692</v>
      </c>
      <c r="B405" s="11">
        <f>SUMIFS(Flux_detail!$K$2:$K$403,Flux_detail!$A$2:$A$403,A405)</f>
      </c>
      <c r="C405" s="11">
        <f>C404+B405</f>
      </c>
      <c r="D405" s="0" t="inlineStr">
        <is>
          <t xml:space="preserve">2025-02</t>
        </is>
      </c>
      <c r="E405" s="0" t="inlineStr">
        <is>
          <t xml:space="preserve">2025</t>
        </is>
      </c>
      <c r="F405" s="17">
        <v>0</v>
      </c>
      <c r="G405" s="18">
        <f>C405+F405</f>
      </c>
    </row>
    <row r="406">
      <c r="A406" s="7">
        <v>45693</v>
      </c>
      <c r="B406" s="11">
        <f>SUMIFS(Flux_detail!$K$2:$K$403,Flux_detail!$A$2:$A$403,A406)</f>
      </c>
      <c r="C406" s="11">
        <f>C405+B406</f>
      </c>
      <c r="D406" s="0" t="inlineStr">
        <is>
          <t xml:space="preserve">2025-02</t>
        </is>
      </c>
      <c r="E406" s="0" t="inlineStr">
        <is>
          <t xml:space="preserve">2025</t>
        </is>
      </c>
      <c r="F406" s="17">
        <v>0</v>
      </c>
      <c r="G406" s="18">
        <f>C406+F406</f>
      </c>
    </row>
    <row r="407">
      <c r="A407" s="7">
        <v>45694</v>
      </c>
      <c r="B407" s="11">
        <f>SUMIFS(Flux_detail!$K$2:$K$403,Flux_detail!$A$2:$A$403,A407)</f>
      </c>
      <c r="C407" s="11">
        <f>C406+B407</f>
      </c>
      <c r="D407" s="0" t="inlineStr">
        <is>
          <t xml:space="preserve">2025-02</t>
        </is>
      </c>
      <c r="E407" s="0" t="inlineStr">
        <is>
          <t xml:space="preserve">2025</t>
        </is>
      </c>
      <c r="F407" s="17">
        <v>0</v>
      </c>
      <c r="G407" s="18">
        <f>C407+F407</f>
      </c>
    </row>
    <row r="408">
      <c r="A408" s="7">
        <v>45695</v>
      </c>
      <c r="B408" s="11">
        <f>SUMIFS(Flux_detail!$K$2:$K$403,Flux_detail!$A$2:$A$403,A408)</f>
      </c>
      <c r="C408" s="11">
        <f>C407+B408</f>
      </c>
      <c r="D408" s="0" t="inlineStr">
        <is>
          <t xml:space="preserve">2025-02</t>
        </is>
      </c>
      <c r="E408" s="0" t="inlineStr">
        <is>
          <t xml:space="preserve">2025</t>
        </is>
      </c>
      <c r="F408" s="17">
        <v>0</v>
      </c>
      <c r="G408" s="18">
        <f>C408+F408</f>
      </c>
    </row>
    <row r="409">
      <c r="A409" s="7">
        <v>45696</v>
      </c>
      <c r="B409" s="11">
        <f>SUMIFS(Flux_detail!$K$2:$K$403,Flux_detail!$A$2:$A$403,A409)</f>
      </c>
      <c r="C409" s="11">
        <f>C408+B409</f>
      </c>
      <c r="D409" s="0" t="inlineStr">
        <is>
          <t xml:space="preserve">2025-02</t>
        </is>
      </c>
      <c r="E409" s="0" t="inlineStr">
        <is>
          <t xml:space="preserve">2025</t>
        </is>
      </c>
      <c r="F409" s="17">
        <v>0</v>
      </c>
      <c r="G409" s="18">
        <f>C409+F409</f>
      </c>
    </row>
    <row r="410">
      <c r="A410" s="7">
        <v>45697</v>
      </c>
      <c r="B410" s="11">
        <f>SUMIFS(Flux_detail!$K$2:$K$403,Flux_detail!$A$2:$A$403,A410)</f>
      </c>
      <c r="C410" s="11">
        <f>C409+B410</f>
      </c>
      <c r="D410" s="0" t="inlineStr">
        <is>
          <t xml:space="preserve">2025-02</t>
        </is>
      </c>
      <c r="E410" s="0" t="inlineStr">
        <is>
          <t xml:space="preserve">2025</t>
        </is>
      </c>
      <c r="F410" s="17">
        <v>0</v>
      </c>
      <c r="G410" s="18">
        <f>C410+F410</f>
      </c>
    </row>
    <row r="411">
      <c r="A411" s="7">
        <v>45698</v>
      </c>
      <c r="B411" s="11">
        <f>SUMIFS(Flux_detail!$K$2:$K$403,Flux_detail!$A$2:$A$403,A411)</f>
      </c>
      <c r="C411" s="11">
        <f>C410+B411</f>
      </c>
      <c r="D411" s="0" t="inlineStr">
        <is>
          <t xml:space="preserve">2025-02</t>
        </is>
      </c>
      <c r="E411" s="0" t="inlineStr">
        <is>
          <t xml:space="preserve">2025</t>
        </is>
      </c>
      <c r="F411" s="17">
        <v>0</v>
      </c>
      <c r="G411" s="18">
        <f>C411+F411</f>
      </c>
    </row>
    <row r="412">
      <c r="A412" s="7">
        <v>45699</v>
      </c>
      <c r="B412" s="11">
        <f>SUMIFS(Flux_detail!$K$2:$K$403,Flux_detail!$A$2:$A$403,A412)</f>
      </c>
      <c r="C412" s="11">
        <f>C411+B412</f>
      </c>
      <c r="D412" s="0" t="inlineStr">
        <is>
          <t xml:space="preserve">2025-02</t>
        </is>
      </c>
      <c r="E412" s="0" t="inlineStr">
        <is>
          <t xml:space="preserve">2025</t>
        </is>
      </c>
      <c r="F412" s="17">
        <v>0</v>
      </c>
      <c r="G412" s="18">
        <f>C412+F412</f>
      </c>
    </row>
    <row r="413">
      <c r="A413" s="7">
        <v>45700</v>
      </c>
      <c r="B413" s="11">
        <f>SUMIFS(Flux_detail!$K$2:$K$403,Flux_detail!$A$2:$A$403,A413)</f>
      </c>
      <c r="C413" s="11">
        <f>C412+B413</f>
      </c>
      <c r="D413" s="0" t="inlineStr">
        <is>
          <t xml:space="preserve">2025-02</t>
        </is>
      </c>
      <c r="E413" s="0" t="inlineStr">
        <is>
          <t xml:space="preserve">2025</t>
        </is>
      </c>
      <c r="F413" s="17">
        <v>0</v>
      </c>
      <c r="G413" s="18">
        <f>C413+F413</f>
      </c>
    </row>
    <row r="414">
      <c r="A414" s="7">
        <v>45701</v>
      </c>
      <c r="B414" s="11">
        <f>SUMIFS(Flux_detail!$K$2:$K$403,Flux_detail!$A$2:$A$403,A414)</f>
      </c>
      <c r="C414" s="11">
        <f>C413+B414</f>
      </c>
      <c r="D414" s="0" t="inlineStr">
        <is>
          <t xml:space="preserve">2025-02</t>
        </is>
      </c>
      <c r="E414" s="0" t="inlineStr">
        <is>
          <t xml:space="preserve">2025</t>
        </is>
      </c>
      <c r="F414" s="17">
        <v>0</v>
      </c>
      <c r="G414" s="18">
        <f>C414+F414</f>
      </c>
    </row>
    <row r="415">
      <c r="A415" s="7">
        <v>45702</v>
      </c>
      <c r="B415" s="11">
        <f>SUMIFS(Flux_detail!$K$2:$K$403,Flux_detail!$A$2:$A$403,A415)</f>
      </c>
      <c r="C415" s="11">
        <f>C414+B415</f>
      </c>
      <c r="D415" s="0" t="inlineStr">
        <is>
          <t xml:space="preserve">2025-02</t>
        </is>
      </c>
      <c r="E415" s="0" t="inlineStr">
        <is>
          <t xml:space="preserve">2025</t>
        </is>
      </c>
      <c r="F415" s="17">
        <v>0</v>
      </c>
      <c r="G415" s="18">
        <f>C415+F415</f>
      </c>
    </row>
    <row r="416">
      <c r="A416" s="7">
        <v>45703</v>
      </c>
      <c r="B416" s="11">
        <f>SUMIFS(Flux_detail!$K$2:$K$403,Flux_detail!$A$2:$A$403,A416)</f>
      </c>
      <c r="C416" s="11">
        <f>C415+B416</f>
      </c>
      <c r="D416" s="0" t="inlineStr">
        <is>
          <t xml:space="preserve">2025-02</t>
        </is>
      </c>
      <c r="E416" s="0" t="inlineStr">
        <is>
          <t xml:space="preserve">2025</t>
        </is>
      </c>
      <c r="F416" s="17">
        <v>0</v>
      </c>
      <c r="G416" s="18">
        <f>C416+F416</f>
      </c>
    </row>
    <row r="417">
      <c r="A417" s="7">
        <v>45704</v>
      </c>
      <c r="B417" s="11">
        <f>SUMIFS(Flux_detail!$K$2:$K$403,Flux_detail!$A$2:$A$403,A417)</f>
      </c>
      <c r="C417" s="11">
        <f>C416+B417</f>
      </c>
      <c r="D417" s="0" t="inlineStr">
        <is>
          <t xml:space="preserve">2025-02</t>
        </is>
      </c>
      <c r="E417" s="0" t="inlineStr">
        <is>
          <t xml:space="preserve">2025</t>
        </is>
      </c>
      <c r="F417" s="17">
        <v>0</v>
      </c>
      <c r="G417" s="18">
        <f>C417+F417</f>
      </c>
    </row>
    <row r="418">
      <c r="A418" s="7">
        <v>45705</v>
      </c>
      <c r="B418" s="11">
        <f>SUMIFS(Flux_detail!$K$2:$K$403,Flux_detail!$A$2:$A$403,A418)</f>
      </c>
      <c r="C418" s="11">
        <f>C417+B418</f>
      </c>
      <c r="D418" s="0" t="inlineStr">
        <is>
          <t xml:space="preserve">2025-02</t>
        </is>
      </c>
      <c r="E418" s="0" t="inlineStr">
        <is>
          <t xml:space="preserve">2025</t>
        </is>
      </c>
      <c r="F418" s="17">
        <v>0</v>
      </c>
      <c r="G418" s="18">
        <f>C418+F418</f>
      </c>
    </row>
    <row r="419">
      <c r="A419" s="7">
        <v>45706</v>
      </c>
      <c r="B419" s="11">
        <f>SUMIFS(Flux_detail!$K$2:$K$403,Flux_detail!$A$2:$A$403,A419)</f>
      </c>
      <c r="C419" s="11">
        <f>C418+B419</f>
      </c>
      <c r="D419" s="0" t="inlineStr">
        <is>
          <t xml:space="preserve">2025-02</t>
        </is>
      </c>
      <c r="E419" s="0" t="inlineStr">
        <is>
          <t xml:space="preserve">2025</t>
        </is>
      </c>
      <c r="F419" s="17">
        <v>0</v>
      </c>
      <c r="G419" s="18">
        <f>C419+F419</f>
      </c>
    </row>
    <row r="420">
      <c r="A420" s="7">
        <v>45707</v>
      </c>
      <c r="B420" s="11">
        <f>SUMIFS(Flux_detail!$K$2:$K$403,Flux_detail!$A$2:$A$403,A420)</f>
      </c>
      <c r="C420" s="11">
        <f>C419+B420</f>
      </c>
      <c r="D420" s="0" t="inlineStr">
        <is>
          <t xml:space="preserve">2025-02</t>
        </is>
      </c>
      <c r="E420" s="0" t="inlineStr">
        <is>
          <t xml:space="preserve">2025</t>
        </is>
      </c>
      <c r="F420" s="17">
        <v>0</v>
      </c>
      <c r="G420" s="18">
        <f>C420+F420</f>
      </c>
    </row>
    <row r="421">
      <c r="A421" s="7">
        <v>45708</v>
      </c>
      <c r="B421" s="11">
        <f>SUMIFS(Flux_detail!$K$2:$K$403,Flux_detail!$A$2:$A$403,A421)</f>
      </c>
      <c r="C421" s="11">
        <f>C420+B421</f>
      </c>
      <c r="D421" s="0" t="inlineStr">
        <is>
          <t xml:space="preserve">2025-02</t>
        </is>
      </c>
      <c r="E421" s="0" t="inlineStr">
        <is>
          <t xml:space="preserve">2025</t>
        </is>
      </c>
      <c r="F421" s="17">
        <v>0</v>
      </c>
      <c r="G421" s="18">
        <f>C421+F421</f>
      </c>
    </row>
    <row r="422">
      <c r="A422" s="7">
        <v>45709</v>
      </c>
      <c r="B422" s="11">
        <f>SUMIFS(Flux_detail!$K$2:$K$403,Flux_detail!$A$2:$A$403,A422)</f>
      </c>
      <c r="C422" s="11">
        <f>C421+B422</f>
      </c>
      <c r="D422" s="0" t="inlineStr">
        <is>
          <t xml:space="preserve">2025-02</t>
        </is>
      </c>
      <c r="E422" s="0" t="inlineStr">
        <is>
          <t xml:space="preserve">2025</t>
        </is>
      </c>
      <c r="F422" s="17">
        <v>0</v>
      </c>
      <c r="G422" s="18">
        <f>C422+F422</f>
      </c>
    </row>
    <row r="423">
      <c r="A423" s="7">
        <v>45710</v>
      </c>
      <c r="B423" s="11">
        <f>SUMIFS(Flux_detail!$K$2:$K$403,Flux_detail!$A$2:$A$403,A423)</f>
      </c>
      <c r="C423" s="11">
        <f>C422+B423</f>
      </c>
      <c r="D423" s="0" t="inlineStr">
        <is>
          <t xml:space="preserve">2025-02</t>
        </is>
      </c>
      <c r="E423" s="0" t="inlineStr">
        <is>
          <t xml:space="preserve">2025</t>
        </is>
      </c>
      <c r="F423" s="17">
        <v>0</v>
      </c>
      <c r="G423" s="18">
        <f>C423+F423</f>
      </c>
    </row>
    <row r="424">
      <c r="A424" s="7">
        <v>45711</v>
      </c>
      <c r="B424" s="11">
        <f>SUMIFS(Flux_detail!$K$2:$K$403,Flux_detail!$A$2:$A$403,A424)</f>
      </c>
      <c r="C424" s="11">
        <f>C423+B424</f>
      </c>
      <c r="D424" s="0" t="inlineStr">
        <is>
          <t xml:space="preserve">2025-02</t>
        </is>
      </c>
      <c r="E424" s="0" t="inlineStr">
        <is>
          <t xml:space="preserve">2025</t>
        </is>
      </c>
      <c r="F424" s="17">
        <v>0</v>
      </c>
      <c r="G424" s="18">
        <f>C424+F424</f>
      </c>
    </row>
    <row r="425">
      <c r="A425" s="7">
        <v>45712</v>
      </c>
      <c r="B425" s="11">
        <f>SUMIFS(Flux_detail!$K$2:$K$403,Flux_detail!$A$2:$A$403,A425)</f>
      </c>
      <c r="C425" s="11">
        <f>C424+B425</f>
      </c>
      <c r="D425" s="0" t="inlineStr">
        <is>
          <t xml:space="preserve">2025-02</t>
        </is>
      </c>
      <c r="E425" s="0" t="inlineStr">
        <is>
          <t xml:space="preserve">2025</t>
        </is>
      </c>
      <c r="F425" s="17">
        <v>0</v>
      </c>
      <c r="G425" s="18">
        <f>C425+F425</f>
      </c>
    </row>
    <row r="426">
      <c r="A426" s="7">
        <v>45713</v>
      </c>
      <c r="B426" s="11">
        <f>SUMIFS(Flux_detail!$K$2:$K$403,Flux_detail!$A$2:$A$403,A426)</f>
      </c>
      <c r="C426" s="11">
        <f>C425+B426</f>
      </c>
      <c r="D426" s="0" t="inlineStr">
        <is>
          <t xml:space="preserve">2025-02</t>
        </is>
      </c>
      <c r="E426" s="0" t="inlineStr">
        <is>
          <t xml:space="preserve">2025</t>
        </is>
      </c>
      <c r="F426" s="17">
        <v>0</v>
      </c>
      <c r="G426" s="18">
        <f>C426+F426</f>
      </c>
    </row>
    <row r="427">
      <c r="A427" s="7">
        <v>45714</v>
      </c>
      <c r="B427" s="11">
        <f>SUMIFS(Flux_detail!$K$2:$K$403,Flux_detail!$A$2:$A$403,A427)</f>
      </c>
      <c r="C427" s="11">
        <f>C426+B427</f>
      </c>
      <c r="D427" s="0" t="inlineStr">
        <is>
          <t xml:space="preserve">2025-02</t>
        </is>
      </c>
      <c r="E427" s="0" t="inlineStr">
        <is>
          <t xml:space="preserve">2025</t>
        </is>
      </c>
      <c r="F427" s="17">
        <v>0</v>
      </c>
      <c r="G427" s="18">
        <f>C427+F427</f>
      </c>
    </row>
    <row r="428">
      <c r="A428" s="7">
        <v>45715</v>
      </c>
      <c r="B428" s="11">
        <f>SUMIFS(Flux_detail!$K$2:$K$403,Flux_detail!$A$2:$A$403,A428)</f>
      </c>
      <c r="C428" s="11">
        <f>C427+B428</f>
      </c>
      <c r="D428" s="0" t="inlineStr">
        <is>
          <t xml:space="preserve">2025-02</t>
        </is>
      </c>
      <c r="E428" s="0" t="inlineStr">
        <is>
          <t xml:space="preserve">2025</t>
        </is>
      </c>
      <c r="F428" s="17">
        <v>0</v>
      </c>
      <c r="G428" s="18">
        <f>C428+F428</f>
      </c>
    </row>
    <row r="429">
      <c r="A429" s="7">
        <v>45716</v>
      </c>
      <c r="B429" s="11">
        <f>SUMIFS(Flux_detail!$K$2:$K$403,Flux_detail!$A$2:$A$403,A429)</f>
      </c>
      <c r="C429" s="11">
        <f>C428+B429</f>
      </c>
      <c r="D429" s="0" t="inlineStr">
        <is>
          <t xml:space="preserve">2025-02</t>
        </is>
      </c>
      <c r="E429" s="0" t="inlineStr">
        <is>
          <t xml:space="preserve">2025</t>
        </is>
      </c>
      <c r="F429" s="17">
        <v>0</v>
      </c>
      <c r="G429" s="18">
        <f>C429+F429</f>
      </c>
    </row>
    <row r="430">
      <c r="A430" s="7">
        <v>45717</v>
      </c>
      <c r="B430" s="11">
        <f>SUMIFS(Flux_detail!$K$2:$K$403,Flux_detail!$A$2:$A$403,A430)</f>
      </c>
      <c r="C430" s="11">
        <f>C429+B430</f>
      </c>
      <c r="D430" s="0" t="inlineStr">
        <is>
          <t xml:space="preserve">2025-03</t>
        </is>
      </c>
      <c r="E430" s="0" t="inlineStr">
        <is>
          <t xml:space="preserve">2025</t>
        </is>
      </c>
      <c r="F430" s="17">
        <v>0</v>
      </c>
      <c r="G430" s="18">
        <f>C430+F430</f>
      </c>
    </row>
    <row r="431">
      <c r="A431" s="7">
        <v>45718</v>
      </c>
      <c r="B431" s="11">
        <f>SUMIFS(Flux_detail!$K$2:$K$403,Flux_detail!$A$2:$A$403,A431)</f>
      </c>
      <c r="C431" s="11">
        <f>C430+B431</f>
      </c>
      <c r="D431" s="0" t="inlineStr">
        <is>
          <t xml:space="preserve">2025-03</t>
        </is>
      </c>
      <c r="E431" s="0" t="inlineStr">
        <is>
          <t xml:space="preserve">2025</t>
        </is>
      </c>
      <c r="F431" s="17">
        <v>0</v>
      </c>
      <c r="G431" s="18">
        <f>C431+F431</f>
      </c>
    </row>
    <row r="432">
      <c r="A432" s="7">
        <v>45719</v>
      </c>
      <c r="B432" s="11">
        <f>SUMIFS(Flux_detail!$K$2:$K$403,Flux_detail!$A$2:$A$403,A432)</f>
      </c>
      <c r="C432" s="11">
        <f>C431+B432</f>
      </c>
      <c r="D432" s="0" t="inlineStr">
        <is>
          <t xml:space="preserve">2025-03</t>
        </is>
      </c>
      <c r="E432" s="0" t="inlineStr">
        <is>
          <t xml:space="preserve">2025</t>
        </is>
      </c>
      <c r="F432" s="17">
        <v>0</v>
      </c>
      <c r="G432" s="18">
        <f>C432+F432</f>
      </c>
    </row>
    <row r="433">
      <c r="A433" s="7">
        <v>45720</v>
      </c>
      <c r="B433" s="11">
        <f>SUMIFS(Flux_detail!$K$2:$K$403,Flux_detail!$A$2:$A$403,A433)</f>
      </c>
      <c r="C433" s="11">
        <f>C432+B433</f>
      </c>
      <c r="D433" s="0" t="inlineStr">
        <is>
          <t xml:space="preserve">2025-03</t>
        </is>
      </c>
      <c r="E433" s="0" t="inlineStr">
        <is>
          <t xml:space="preserve">2025</t>
        </is>
      </c>
      <c r="F433" s="17">
        <v>0</v>
      </c>
      <c r="G433" s="18">
        <f>C433+F433</f>
      </c>
    </row>
    <row r="434">
      <c r="A434" s="7">
        <v>45721</v>
      </c>
      <c r="B434" s="11">
        <f>SUMIFS(Flux_detail!$K$2:$K$403,Flux_detail!$A$2:$A$403,A434)</f>
      </c>
      <c r="C434" s="11">
        <f>C433+B434</f>
      </c>
      <c r="D434" s="0" t="inlineStr">
        <is>
          <t xml:space="preserve">2025-03</t>
        </is>
      </c>
      <c r="E434" s="0" t="inlineStr">
        <is>
          <t xml:space="preserve">2025</t>
        </is>
      </c>
      <c r="F434" s="17">
        <v>0</v>
      </c>
      <c r="G434" s="18">
        <f>C434+F434</f>
      </c>
    </row>
    <row r="435">
      <c r="A435" s="7">
        <v>45722</v>
      </c>
      <c r="B435" s="11">
        <f>SUMIFS(Flux_detail!$K$2:$K$403,Flux_detail!$A$2:$A$403,A435)</f>
      </c>
      <c r="C435" s="11">
        <f>C434+B435</f>
      </c>
      <c r="D435" s="0" t="inlineStr">
        <is>
          <t xml:space="preserve">2025-03</t>
        </is>
      </c>
      <c r="E435" s="0" t="inlineStr">
        <is>
          <t xml:space="preserve">2025</t>
        </is>
      </c>
      <c r="F435" s="17">
        <v>0</v>
      </c>
      <c r="G435" s="18">
        <f>C435+F435</f>
      </c>
    </row>
    <row r="436">
      <c r="A436" s="7">
        <v>45723</v>
      </c>
      <c r="B436" s="11">
        <f>SUMIFS(Flux_detail!$K$2:$K$403,Flux_detail!$A$2:$A$403,A436)</f>
      </c>
      <c r="C436" s="11">
        <f>C435+B436</f>
      </c>
      <c r="D436" s="0" t="inlineStr">
        <is>
          <t xml:space="preserve">2025-03</t>
        </is>
      </c>
      <c r="E436" s="0" t="inlineStr">
        <is>
          <t xml:space="preserve">2025</t>
        </is>
      </c>
      <c r="F436" s="17">
        <v>0</v>
      </c>
      <c r="G436" s="18">
        <f>C436+F436</f>
      </c>
    </row>
    <row r="437">
      <c r="A437" s="7">
        <v>45724</v>
      </c>
      <c r="B437" s="11">
        <f>SUMIFS(Flux_detail!$K$2:$K$403,Flux_detail!$A$2:$A$403,A437)</f>
      </c>
      <c r="C437" s="11">
        <f>C436+B437</f>
      </c>
      <c r="D437" s="0" t="inlineStr">
        <is>
          <t xml:space="preserve">2025-03</t>
        </is>
      </c>
      <c r="E437" s="0" t="inlineStr">
        <is>
          <t xml:space="preserve">2025</t>
        </is>
      </c>
      <c r="F437" s="17">
        <v>0</v>
      </c>
      <c r="G437" s="18">
        <f>C437+F437</f>
      </c>
    </row>
    <row r="438">
      <c r="A438" s="7">
        <v>45725</v>
      </c>
      <c r="B438" s="11">
        <f>SUMIFS(Flux_detail!$K$2:$K$403,Flux_detail!$A$2:$A$403,A438)</f>
      </c>
      <c r="C438" s="11">
        <f>C437+B438</f>
      </c>
      <c r="D438" s="0" t="inlineStr">
        <is>
          <t xml:space="preserve">2025-03</t>
        </is>
      </c>
      <c r="E438" s="0" t="inlineStr">
        <is>
          <t xml:space="preserve">2025</t>
        </is>
      </c>
      <c r="F438" s="17">
        <v>0</v>
      </c>
      <c r="G438" s="18">
        <f>C438+F438</f>
      </c>
    </row>
    <row r="439">
      <c r="A439" s="7">
        <v>45726</v>
      </c>
      <c r="B439" s="11">
        <f>SUMIFS(Flux_detail!$K$2:$K$403,Flux_detail!$A$2:$A$403,A439)</f>
      </c>
      <c r="C439" s="11">
        <f>C438+B439</f>
      </c>
      <c r="D439" s="0" t="inlineStr">
        <is>
          <t xml:space="preserve">2025-03</t>
        </is>
      </c>
      <c r="E439" s="0" t="inlineStr">
        <is>
          <t xml:space="preserve">2025</t>
        </is>
      </c>
      <c r="F439" s="17">
        <v>0</v>
      </c>
      <c r="G439" s="18">
        <f>C439+F439</f>
      </c>
    </row>
    <row r="440">
      <c r="A440" s="7">
        <v>45727</v>
      </c>
      <c r="B440" s="11">
        <f>SUMIFS(Flux_detail!$K$2:$K$403,Flux_detail!$A$2:$A$403,A440)</f>
      </c>
      <c r="C440" s="11">
        <f>C439+B440</f>
      </c>
      <c r="D440" s="0" t="inlineStr">
        <is>
          <t xml:space="preserve">2025-03</t>
        </is>
      </c>
      <c r="E440" s="0" t="inlineStr">
        <is>
          <t xml:space="preserve">2025</t>
        </is>
      </c>
      <c r="F440" s="17">
        <v>0</v>
      </c>
      <c r="G440" s="18">
        <f>C440+F440</f>
      </c>
    </row>
    <row r="441">
      <c r="A441" s="7">
        <v>45728</v>
      </c>
      <c r="B441" s="11">
        <f>SUMIFS(Flux_detail!$K$2:$K$403,Flux_detail!$A$2:$A$403,A441)</f>
      </c>
      <c r="C441" s="11">
        <f>C440+B441</f>
      </c>
      <c r="D441" s="0" t="inlineStr">
        <is>
          <t xml:space="preserve">2025-03</t>
        </is>
      </c>
      <c r="E441" s="0" t="inlineStr">
        <is>
          <t xml:space="preserve">2025</t>
        </is>
      </c>
      <c r="F441" s="17">
        <v>0</v>
      </c>
      <c r="G441" s="18">
        <f>C441+F441</f>
      </c>
    </row>
    <row r="442">
      <c r="A442" s="7">
        <v>45729</v>
      </c>
      <c r="B442" s="11">
        <f>SUMIFS(Flux_detail!$K$2:$K$403,Flux_detail!$A$2:$A$403,A442)</f>
      </c>
      <c r="C442" s="11">
        <f>C441+B442</f>
      </c>
      <c r="D442" s="0" t="inlineStr">
        <is>
          <t xml:space="preserve">2025-03</t>
        </is>
      </c>
      <c r="E442" s="0" t="inlineStr">
        <is>
          <t xml:space="preserve">2025</t>
        </is>
      </c>
      <c r="F442" s="17">
        <v>0</v>
      </c>
      <c r="G442" s="18">
        <f>C442+F442</f>
      </c>
    </row>
    <row r="443">
      <c r="A443" s="7">
        <v>45730</v>
      </c>
      <c r="B443" s="11">
        <f>SUMIFS(Flux_detail!$K$2:$K$403,Flux_detail!$A$2:$A$403,A443)</f>
      </c>
      <c r="C443" s="11">
        <f>C442+B443</f>
      </c>
      <c r="D443" s="0" t="inlineStr">
        <is>
          <t xml:space="preserve">2025-03</t>
        </is>
      </c>
      <c r="E443" s="0" t="inlineStr">
        <is>
          <t xml:space="preserve">2025</t>
        </is>
      </c>
      <c r="F443" s="17">
        <v>0</v>
      </c>
      <c r="G443" s="18">
        <f>C443+F443</f>
      </c>
    </row>
    <row r="444">
      <c r="A444" s="7">
        <v>45731</v>
      </c>
      <c r="B444" s="11">
        <f>SUMIFS(Flux_detail!$K$2:$K$403,Flux_detail!$A$2:$A$403,A444)</f>
      </c>
      <c r="C444" s="11">
        <f>C443+B444</f>
      </c>
      <c r="D444" s="0" t="inlineStr">
        <is>
          <t xml:space="preserve">2025-03</t>
        </is>
      </c>
      <c r="E444" s="0" t="inlineStr">
        <is>
          <t xml:space="preserve">2025</t>
        </is>
      </c>
      <c r="F444" s="17">
        <v>0</v>
      </c>
      <c r="G444" s="18">
        <f>C444+F444</f>
      </c>
    </row>
    <row r="445">
      <c r="A445" s="7">
        <v>45732</v>
      </c>
      <c r="B445" s="11">
        <f>SUMIFS(Flux_detail!$K$2:$K$403,Flux_detail!$A$2:$A$403,A445)</f>
      </c>
      <c r="C445" s="11">
        <f>C444+B445</f>
      </c>
      <c r="D445" s="0" t="inlineStr">
        <is>
          <t xml:space="preserve">2025-03</t>
        </is>
      </c>
      <c r="E445" s="0" t="inlineStr">
        <is>
          <t xml:space="preserve">2025</t>
        </is>
      </c>
      <c r="F445" s="17">
        <v>0</v>
      </c>
      <c r="G445" s="18">
        <f>C445+F445</f>
      </c>
    </row>
    <row r="446">
      <c r="A446" s="7">
        <v>45733</v>
      </c>
      <c r="B446" s="11">
        <f>SUMIFS(Flux_detail!$K$2:$K$403,Flux_detail!$A$2:$A$403,A446)</f>
      </c>
      <c r="C446" s="11">
        <f>C445+B446</f>
      </c>
      <c r="D446" s="0" t="inlineStr">
        <is>
          <t xml:space="preserve">2025-03</t>
        </is>
      </c>
      <c r="E446" s="0" t="inlineStr">
        <is>
          <t xml:space="preserve">2025</t>
        </is>
      </c>
      <c r="F446" s="17">
        <v>0</v>
      </c>
      <c r="G446" s="18">
        <f>C446+F446</f>
      </c>
    </row>
    <row r="447">
      <c r="A447" s="7">
        <v>45734</v>
      </c>
      <c r="B447" s="11">
        <f>SUMIFS(Flux_detail!$K$2:$K$403,Flux_detail!$A$2:$A$403,A447)</f>
      </c>
      <c r="C447" s="11">
        <f>C446+B447</f>
      </c>
      <c r="D447" s="0" t="inlineStr">
        <is>
          <t xml:space="preserve">2025-03</t>
        </is>
      </c>
      <c r="E447" s="0" t="inlineStr">
        <is>
          <t xml:space="preserve">2025</t>
        </is>
      </c>
      <c r="F447" s="17">
        <v>0</v>
      </c>
      <c r="G447" s="18">
        <f>C447+F447</f>
      </c>
    </row>
    <row r="448">
      <c r="A448" s="7">
        <v>45735</v>
      </c>
      <c r="B448" s="11">
        <f>SUMIFS(Flux_detail!$K$2:$K$403,Flux_detail!$A$2:$A$403,A448)</f>
      </c>
      <c r="C448" s="11">
        <f>C447+B448</f>
      </c>
      <c r="D448" s="0" t="inlineStr">
        <is>
          <t xml:space="preserve">2025-03</t>
        </is>
      </c>
      <c r="E448" s="0" t="inlineStr">
        <is>
          <t xml:space="preserve">2025</t>
        </is>
      </c>
      <c r="F448" s="17">
        <v>0</v>
      </c>
      <c r="G448" s="18">
        <f>C448+F448</f>
      </c>
    </row>
    <row r="449">
      <c r="A449" s="7">
        <v>45736</v>
      </c>
      <c r="B449" s="11">
        <f>SUMIFS(Flux_detail!$K$2:$K$403,Flux_detail!$A$2:$A$403,A449)</f>
      </c>
      <c r="C449" s="11">
        <f>C448+B449</f>
      </c>
      <c r="D449" s="0" t="inlineStr">
        <is>
          <t xml:space="preserve">2025-03</t>
        </is>
      </c>
      <c r="E449" s="0" t="inlineStr">
        <is>
          <t xml:space="preserve">2025</t>
        </is>
      </c>
      <c r="F449" s="17">
        <v>0</v>
      </c>
      <c r="G449" s="18">
        <f>C449+F449</f>
      </c>
    </row>
    <row r="450">
      <c r="A450" s="7">
        <v>45737</v>
      </c>
      <c r="B450" s="11">
        <f>SUMIFS(Flux_detail!$K$2:$K$403,Flux_detail!$A$2:$A$403,A450)</f>
      </c>
      <c r="C450" s="11">
        <f>C449+B450</f>
      </c>
      <c r="D450" s="0" t="inlineStr">
        <is>
          <t xml:space="preserve">2025-03</t>
        </is>
      </c>
      <c r="E450" s="0" t="inlineStr">
        <is>
          <t xml:space="preserve">2025</t>
        </is>
      </c>
      <c r="F450" s="17">
        <v>0</v>
      </c>
      <c r="G450" s="18">
        <f>C450+F450</f>
      </c>
    </row>
    <row r="451">
      <c r="A451" s="7">
        <v>45738</v>
      </c>
      <c r="B451" s="11">
        <f>SUMIFS(Flux_detail!$K$2:$K$403,Flux_detail!$A$2:$A$403,A451)</f>
      </c>
      <c r="C451" s="11">
        <f>C450+B451</f>
      </c>
      <c r="D451" s="0" t="inlineStr">
        <is>
          <t xml:space="preserve">2025-03</t>
        </is>
      </c>
      <c r="E451" s="0" t="inlineStr">
        <is>
          <t xml:space="preserve">2025</t>
        </is>
      </c>
      <c r="F451" s="17">
        <v>0</v>
      </c>
      <c r="G451" s="18">
        <f>C451+F451</f>
      </c>
    </row>
    <row r="452">
      <c r="A452" s="7">
        <v>45739</v>
      </c>
      <c r="B452" s="11">
        <f>SUMIFS(Flux_detail!$K$2:$K$403,Flux_detail!$A$2:$A$403,A452)</f>
      </c>
      <c r="C452" s="11">
        <f>C451+B452</f>
      </c>
      <c r="D452" s="0" t="inlineStr">
        <is>
          <t xml:space="preserve">2025-03</t>
        </is>
      </c>
      <c r="E452" s="0" t="inlineStr">
        <is>
          <t xml:space="preserve">2025</t>
        </is>
      </c>
      <c r="F452" s="17">
        <v>0</v>
      </c>
      <c r="G452" s="18">
        <f>C452+F452</f>
      </c>
    </row>
    <row r="453">
      <c r="A453" s="7">
        <v>45740</v>
      </c>
      <c r="B453" s="11">
        <f>SUMIFS(Flux_detail!$K$2:$K$403,Flux_detail!$A$2:$A$403,A453)</f>
      </c>
      <c r="C453" s="11">
        <f>C452+B453</f>
      </c>
      <c r="D453" s="0" t="inlineStr">
        <is>
          <t xml:space="preserve">2025-03</t>
        </is>
      </c>
      <c r="E453" s="0" t="inlineStr">
        <is>
          <t xml:space="preserve">2025</t>
        </is>
      </c>
      <c r="F453" s="17">
        <v>0</v>
      </c>
      <c r="G453" s="18">
        <f>C453+F453</f>
      </c>
    </row>
    <row r="454">
      <c r="A454" s="7">
        <v>45741</v>
      </c>
      <c r="B454" s="11">
        <f>SUMIFS(Flux_detail!$K$2:$K$403,Flux_detail!$A$2:$A$403,A454)</f>
      </c>
      <c r="C454" s="11">
        <f>C453+B454</f>
      </c>
      <c r="D454" s="0" t="inlineStr">
        <is>
          <t xml:space="preserve">2025-03</t>
        </is>
      </c>
      <c r="E454" s="0" t="inlineStr">
        <is>
          <t xml:space="preserve">2025</t>
        </is>
      </c>
      <c r="F454" s="17">
        <v>0</v>
      </c>
      <c r="G454" s="18">
        <f>C454+F454</f>
      </c>
    </row>
    <row r="455">
      <c r="A455" s="7">
        <v>45742</v>
      </c>
      <c r="B455" s="11">
        <f>SUMIFS(Flux_detail!$K$2:$K$403,Flux_detail!$A$2:$A$403,A455)</f>
      </c>
      <c r="C455" s="11">
        <f>C454+B455</f>
      </c>
      <c r="D455" s="0" t="inlineStr">
        <is>
          <t xml:space="preserve">2025-03</t>
        </is>
      </c>
      <c r="E455" s="0" t="inlineStr">
        <is>
          <t xml:space="preserve">2025</t>
        </is>
      </c>
      <c r="F455" s="17">
        <v>0</v>
      </c>
      <c r="G455" s="18">
        <f>C455+F455</f>
      </c>
    </row>
    <row r="456">
      <c r="A456" s="7">
        <v>45743</v>
      </c>
      <c r="B456" s="11">
        <f>SUMIFS(Flux_detail!$K$2:$K$403,Flux_detail!$A$2:$A$403,A456)</f>
      </c>
      <c r="C456" s="11">
        <f>C455+B456</f>
      </c>
      <c r="D456" s="0" t="inlineStr">
        <is>
          <t xml:space="preserve">2025-03</t>
        </is>
      </c>
      <c r="E456" s="0" t="inlineStr">
        <is>
          <t xml:space="preserve">2025</t>
        </is>
      </c>
      <c r="F456" s="17">
        <v>0</v>
      </c>
      <c r="G456" s="18">
        <f>C456+F456</f>
      </c>
    </row>
    <row r="457">
      <c r="A457" s="7">
        <v>45744</v>
      </c>
      <c r="B457" s="11">
        <f>SUMIFS(Flux_detail!$K$2:$K$403,Flux_detail!$A$2:$A$403,A457)</f>
      </c>
      <c r="C457" s="11">
        <f>C456+B457</f>
      </c>
      <c r="D457" s="0" t="inlineStr">
        <is>
          <t xml:space="preserve">2025-03</t>
        </is>
      </c>
      <c r="E457" s="0" t="inlineStr">
        <is>
          <t xml:space="preserve">2025</t>
        </is>
      </c>
      <c r="F457" s="17">
        <v>0</v>
      </c>
      <c r="G457" s="18">
        <f>C457+F457</f>
      </c>
    </row>
    <row r="458">
      <c r="A458" s="7">
        <v>45745</v>
      </c>
      <c r="B458" s="11">
        <f>SUMIFS(Flux_detail!$K$2:$K$403,Flux_detail!$A$2:$A$403,A458)</f>
      </c>
      <c r="C458" s="11">
        <f>C457+B458</f>
      </c>
      <c r="D458" s="0" t="inlineStr">
        <is>
          <t xml:space="preserve">2025-03</t>
        </is>
      </c>
      <c r="E458" s="0" t="inlineStr">
        <is>
          <t xml:space="preserve">2025</t>
        </is>
      </c>
      <c r="F458" s="17">
        <v>0</v>
      </c>
      <c r="G458" s="18">
        <f>C458+F458</f>
      </c>
    </row>
    <row r="459">
      <c r="A459" s="7">
        <v>45746</v>
      </c>
      <c r="B459" s="11">
        <f>SUMIFS(Flux_detail!$K$2:$K$403,Flux_detail!$A$2:$A$403,A459)</f>
      </c>
      <c r="C459" s="11">
        <f>C458+B459</f>
      </c>
      <c r="D459" s="0" t="inlineStr">
        <is>
          <t xml:space="preserve">2025-03</t>
        </is>
      </c>
      <c r="E459" s="0" t="inlineStr">
        <is>
          <t xml:space="preserve">2025</t>
        </is>
      </c>
      <c r="F459" s="17">
        <v>0</v>
      </c>
      <c r="G459" s="18">
        <f>C459+F459</f>
      </c>
    </row>
    <row r="460">
      <c r="A460" s="7">
        <v>45747</v>
      </c>
      <c r="B460" s="11">
        <f>SUMIFS(Flux_detail!$K$2:$K$403,Flux_detail!$A$2:$A$403,A460)</f>
      </c>
      <c r="C460" s="11">
        <f>C459+B460</f>
      </c>
      <c r="D460" s="0" t="inlineStr">
        <is>
          <t xml:space="preserve">2025-03</t>
        </is>
      </c>
      <c r="E460" s="0" t="inlineStr">
        <is>
          <t xml:space="preserve">2025</t>
        </is>
      </c>
      <c r="F460" s="17">
        <v>0</v>
      </c>
      <c r="G460" s="18">
        <f>C460+F460</f>
      </c>
    </row>
    <row r="461">
      <c r="A461" s="7">
        <v>45748</v>
      </c>
      <c r="B461" s="11">
        <f>SUMIFS(Flux_detail!$K$2:$K$403,Flux_detail!$A$2:$A$403,A461)</f>
      </c>
      <c r="C461" s="11">
        <f>C460+B461</f>
      </c>
      <c r="D461" s="0" t="inlineStr">
        <is>
          <t xml:space="preserve">2025-04</t>
        </is>
      </c>
      <c r="E461" s="0" t="inlineStr">
        <is>
          <t xml:space="preserve">2025</t>
        </is>
      </c>
      <c r="F461" s="17">
        <v>0</v>
      </c>
      <c r="G461" s="18">
        <f>C461+F461</f>
      </c>
    </row>
    <row r="462">
      <c r="A462" s="7">
        <v>45749</v>
      </c>
      <c r="B462" s="11">
        <f>SUMIFS(Flux_detail!$K$2:$K$403,Flux_detail!$A$2:$A$403,A462)</f>
      </c>
      <c r="C462" s="11">
        <f>C461+B462</f>
      </c>
      <c r="D462" s="0" t="inlineStr">
        <is>
          <t xml:space="preserve">2025-04</t>
        </is>
      </c>
      <c r="E462" s="0" t="inlineStr">
        <is>
          <t xml:space="preserve">2025</t>
        </is>
      </c>
      <c r="F462" s="17">
        <v>0</v>
      </c>
      <c r="G462" s="18">
        <f>C462+F462</f>
      </c>
    </row>
    <row r="463">
      <c r="A463" s="7">
        <v>45750</v>
      </c>
      <c r="B463" s="11">
        <f>SUMIFS(Flux_detail!$K$2:$K$403,Flux_detail!$A$2:$A$403,A463)</f>
      </c>
      <c r="C463" s="11">
        <f>C462+B463</f>
      </c>
      <c r="D463" s="0" t="inlineStr">
        <is>
          <t xml:space="preserve">2025-04</t>
        </is>
      </c>
      <c r="E463" s="0" t="inlineStr">
        <is>
          <t xml:space="preserve">2025</t>
        </is>
      </c>
      <c r="F463" s="17">
        <v>0</v>
      </c>
      <c r="G463" s="18">
        <f>C463+F463</f>
      </c>
    </row>
    <row r="464">
      <c r="A464" s="7">
        <v>45751</v>
      </c>
      <c r="B464" s="11">
        <f>SUMIFS(Flux_detail!$K$2:$K$403,Flux_detail!$A$2:$A$403,A464)</f>
      </c>
      <c r="C464" s="11">
        <f>C463+B464</f>
      </c>
      <c r="D464" s="0" t="inlineStr">
        <is>
          <t xml:space="preserve">2025-04</t>
        </is>
      </c>
      <c r="E464" s="0" t="inlineStr">
        <is>
          <t xml:space="preserve">2025</t>
        </is>
      </c>
      <c r="F464" s="17">
        <v>0</v>
      </c>
      <c r="G464" s="18">
        <f>C464+F464</f>
      </c>
    </row>
    <row r="465">
      <c r="A465" s="7">
        <v>45752</v>
      </c>
      <c r="B465" s="11">
        <f>SUMIFS(Flux_detail!$K$2:$K$403,Flux_detail!$A$2:$A$403,A465)</f>
      </c>
      <c r="C465" s="11">
        <f>C464+B465</f>
      </c>
      <c r="D465" s="0" t="inlineStr">
        <is>
          <t xml:space="preserve">2025-04</t>
        </is>
      </c>
      <c r="E465" s="0" t="inlineStr">
        <is>
          <t xml:space="preserve">2025</t>
        </is>
      </c>
      <c r="F465" s="17">
        <v>0</v>
      </c>
      <c r="G465" s="18">
        <f>C465+F465</f>
      </c>
    </row>
    <row r="466">
      <c r="A466" s="7">
        <v>45753</v>
      </c>
      <c r="B466" s="11">
        <f>SUMIFS(Flux_detail!$K$2:$K$403,Flux_detail!$A$2:$A$403,A466)</f>
      </c>
      <c r="C466" s="11">
        <f>C465+B466</f>
      </c>
      <c r="D466" s="0" t="inlineStr">
        <is>
          <t xml:space="preserve">2025-04</t>
        </is>
      </c>
      <c r="E466" s="0" t="inlineStr">
        <is>
          <t xml:space="preserve">2025</t>
        </is>
      </c>
      <c r="F466" s="17">
        <v>0</v>
      </c>
      <c r="G466" s="18">
        <f>C466+F466</f>
      </c>
    </row>
    <row r="467">
      <c r="A467" s="7">
        <v>45754</v>
      </c>
      <c r="B467" s="11">
        <f>SUMIFS(Flux_detail!$K$2:$K$403,Flux_detail!$A$2:$A$403,A467)</f>
      </c>
      <c r="C467" s="11">
        <f>C466+B467</f>
      </c>
      <c r="D467" s="0" t="inlineStr">
        <is>
          <t xml:space="preserve">2025-04</t>
        </is>
      </c>
      <c r="E467" s="0" t="inlineStr">
        <is>
          <t xml:space="preserve">2025</t>
        </is>
      </c>
      <c r="F467" s="17">
        <v>0</v>
      </c>
      <c r="G467" s="18">
        <f>C467+F467</f>
      </c>
    </row>
    <row r="468">
      <c r="A468" s="7">
        <v>45755</v>
      </c>
      <c r="B468" s="11">
        <f>SUMIFS(Flux_detail!$K$2:$K$403,Flux_detail!$A$2:$A$403,A468)</f>
      </c>
      <c r="C468" s="11">
        <f>C467+B468</f>
      </c>
      <c r="D468" s="0" t="inlineStr">
        <is>
          <t xml:space="preserve">2025-04</t>
        </is>
      </c>
      <c r="E468" s="0" t="inlineStr">
        <is>
          <t xml:space="preserve">2025</t>
        </is>
      </c>
      <c r="F468" s="17">
        <v>0</v>
      </c>
      <c r="G468" s="18">
        <f>C468+F468</f>
      </c>
    </row>
    <row r="469">
      <c r="A469" s="7">
        <v>45756</v>
      </c>
      <c r="B469" s="11">
        <f>SUMIFS(Flux_detail!$K$2:$K$403,Flux_detail!$A$2:$A$403,A469)</f>
      </c>
      <c r="C469" s="11">
        <f>C468+B469</f>
      </c>
      <c r="D469" s="0" t="inlineStr">
        <is>
          <t xml:space="preserve">2025-04</t>
        </is>
      </c>
      <c r="E469" s="0" t="inlineStr">
        <is>
          <t xml:space="preserve">2025</t>
        </is>
      </c>
      <c r="F469" s="17">
        <v>0</v>
      </c>
      <c r="G469" s="18">
        <f>C469+F469</f>
      </c>
    </row>
    <row r="470">
      <c r="A470" s="7">
        <v>45757</v>
      </c>
      <c r="B470" s="11">
        <f>SUMIFS(Flux_detail!$K$2:$K$403,Flux_detail!$A$2:$A$403,A470)</f>
      </c>
      <c r="C470" s="11">
        <f>C469+B470</f>
      </c>
      <c r="D470" s="0" t="inlineStr">
        <is>
          <t xml:space="preserve">2025-04</t>
        </is>
      </c>
      <c r="E470" s="0" t="inlineStr">
        <is>
          <t xml:space="preserve">2025</t>
        </is>
      </c>
      <c r="F470" s="17">
        <v>0</v>
      </c>
      <c r="G470" s="18">
        <f>C470+F470</f>
      </c>
    </row>
    <row r="471">
      <c r="A471" s="7">
        <v>45758</v>
      </c>
      <c r="B471" s="11">
        <f>SUMIFS(Flux_detail!$K$2:$K$403,Flux_detail!$A$2:$A$403,A471)</f>
      </c>
      <c r="C471" s="11">
        <f>C470+B471</f>
      </c>
      <c r="D471" s="0" t="inlineStr">
        <is>
          <t xml:space="preserve">2025-04</t>
        </is>
      </c>
      <c r="E471" s="0" t="inlineStr">
        <is>
          <t xml:space="preserve">2025</t>
        </is>
      </c>
      <c r="F471" s="17">
        <v>0</v>
      </c>
      <c r="G471" s="18">
        <f>C471+F471</f>
      </c>
    </row>
    <row r="472">
      <c r="A472" s="7">
        <v>45759</v>
      </c>
      <c r="B472" s="11">
        <f>SUMIFS(Flux_detail!$K$2:$K$403,Flux_detail!$A$2:$A$403,A472)</f>
      </c>
      <c r="C472" s="11">
        <f>C471+B472</f>
      </c>
      <c r="D472" s="0" t="inlineStr">
        <is>
          <t xml:space="preserve">2025-04</t>
        </is>
      </c>
      <c r="E472" s="0" t="inlineStr">
        <is>
          <t xml:space="preserve">2025</t>
        </is>
      </c>
      <c r="F472" s="17">
        <v>0</v>
      </c>
      <c r="G472" s="18">
        <f>C472+F472</f>
      </c>
    </row>
    <row r="473">
      <c r="A473" s="7">
        <v>45760</v>
      </c>
      <c r="B473" s="11">
        <f>SUMIFS(Flux_detail!$K$2:$K$403,Flux_detail!$A$2:$A$403,A473)</f>
      </c>
      <c r="C473" s="11">
        <f>C472+B473</f>
      </c>
      <c r="D473" s="0" t="inlineStr">
        <is>
          <t xml:space="preserve">2025-04</t>
        </is>
      </c>
      <c r="E473" s="0" t="inlineStr">
        <is>
          <t xml:space="preserve">2025</t>
        </is>
      </c>
      <c r="F473" s="17">
        <v>0</v>
      </c>
      <c r="G473" s="18">
        <f>C473+F473</f>
      </c>
    </row>
    <row r="474">
      <c r="A474" s="7">
        <v>45761</v>
      </c>
      <c r="B474" s="11">
        <f>SUMIFS(Flux_detail!$K$2:$K$403,Flux_detail!$A$2:$A$403,A474)</f>
      </c>
      <c r="C474" s="11">
        <f>C473+B474</f>
      </c>
      <c r="D474" s="0" t="inlineStr">
        <is>
          <t xml:space="preserve">2025-04</t>
        </is>
      </c>
      <c r="E474" s="0" t="inlineStr">
        <is>
          <t xml:space="preserve">2025</t>
        </is>
      </c>
      <c r="F474" s="17">
        <v>0</v>
      </c>
      <c r="G474" s="18">
        <f>C474+F474</f>
      </c>
    </row>
    <row r="475">
      <c r="A475" s="7">
        <v>45762</v>
      </c>
      <c r="B475" s="11">
        <f>SUMIFS(Flux_detail!$K$2:$K$403,Flux_detail!$A$2:$A$403,A475)</f>
      </c>
      <c r="C475" s="11">
        <f>C474+B475</f>
      </c>
      <c r="D475" s="0" t="inlineStr">
        <is>
          <t xml:space="preserve">2025-04</t>
        </is>
      </c>
      <c r="E475" s="0" t="inlineStr">
        <is>
          <t xml:space="preserve">2025</t>
        </is>
      </c>
      <c r="F475" s="17">
        <v>0</v>
      </c>
      <c r="G475" s="18">
        <f>C475+F475</f>
      </c>
    </row>
    <row r="476">
      <c r="A476" s="7">
        <v>45763</v>
      </c>
      <c r="B476" s="11">
        <f>SUMIFS(Flux_detail!$K$2:$K$403,Flux_detail!$A$2:$A$403,A476)</f>
      </c>
      <c r="C476" s="11">
        <f>C475+B476</f>
      </c>
      <c r="D476" s="0" t="inlineStr">
        <is>
          <t xml:space="preserve">2025-04</t>
        </is>
      </c>
      <c r="E476" s="0" t="inlineStr">
        <is>
          <t xml:space="preserve">2025</t>
        </is>
      </c>
      <c r="F476" s="17">
        <v>0</v>
      </c>
      <c r="G476" s="18">
        <f>C476+F476</f>
      </c>
    </row>
    <row r="477">
      <c r="A477" s="7">
        <v>45764</v>
      </c>
      <c r="B477" s="11">
        <f>SUMIFS(Flux_detail!$K$2:$K$403,Flux_detail!$A$2:$A$403,A477)</f>
      </c>
      <c r="C477" s="11">
        <f>C476+B477</f>
      </c>
      <c r="D477" s="0" t="inlineStr">
        <is>
          <t xml:space="preserve">2025-04</t>
        </is>
      </c>
      <c r="E477" s="0" t="inlineStr">
        <is>
          <t xml:space="preserve">2025</t>
        </is>
      </c>
      <c r="F477" s="17">
        <v>0</v>
      </c>
      <c r="G477" s="18">
        <f>C477+F477</f>
      </c>
    </row>
    <row r="478">
      <c r="A478" s="7">
        <v>45765</v>
      </c>
      <c r="B478" s="11">
        <f>SUMIFS(Flux_detail!$K$2:$K$403,Flux_detail!$A$2:$A$403,A478)</f>
      </c>
      <c r="C478" s="11">
        <f>C477+B478</f>
      </c>
      <c r="D478" s="0" t="inlineStr">
        <is>
          <t xml:space="preserve">2025-04</t>
        </is>
      </c>
      <c r="E478" s="0" t="inlineStr">
        <is>
          <t xml:space="preserve">2025</t>
        </is>
      </c>
      <c r="F478" s="17">
        <v>0</v>
      </c>
      <c r="G478" s="18">
        <f>C478+F478</f>
      </c>
    </row>
    <row r="479">
      <c r="A479" s="7">
        <v>45766</v>
      </c>
      <c r="B479" s="11">
        <f>SUMIFS(Flux_detail!$K$2:$K$403,Flux_detail!$A$2:$A$403,A479)</f>
      </c>
      <c r="C479" s="11">
        <f>C478+B479</f>
      </c>
      <c r="D479" s="0" t="inlineStr">
        <is>
          <t xml:space="preserve">2025-04</t>
        </is>
      </c>
      <c r="E479" s="0" t="inlineStr">
        <is>
          <t xml:space="preserve">2025</t>
        </is>
      </c>
      <c r="F479" s="17">
        <v>0</v>
      </c>
      <c r="G479" s="18">
        <f>C479+F479</f>
      </c>
    </row>
    <row r="480">
      <c r="A480" s="7">
        <v>45767</v>
      </c>
      <c r="B480" s="11">
        <f>SUMIFS(Flux_detail!$K$2:$K$403,Flux_detail!$A$2:$A$403,A480)</f>
      </c>
      <c r="C480" s="11">
        <f>C479+B480</f>
      </c>
      <c r="D480" s="0" t="inlineStr">
        <is>
          <t xml:space="preserve">2025-04</t>
        </is>
      </c>
      <c r="E480" s="0" t="inlineStr">
        <is>
          <t xml:space="preserve">2025</t>
        </is>
      </c>
      <c r="F480" s="17">
        <v>0</v>
      </c>
      <c r="G480" s="18">
        <f>C480+F480</f>
      </c>
    </row>
    <row r="481">
      <c r="A481" s="7">
        <v>45768</v>
      </c>
      <c r="B481" s="11">
        <f>SUMIFS(Flux_detail!$K$2:$K$403,Flux_detail!$A$2:$A$403,A481)</f>
      </c>
      <c r="C481" s="11">
        <f>C480+B481</f>
      </c>
      <c r="D481" s="0" t="inlineStr">
        <is>
          <t xml:space="preserve">2025-04</t>
        </is>
      </c>
      <c r="E481" s="0" t="inlineStr">
        <is>
          <t xml:space="preserve">2025</t>
        </is>
      </c>
      <c r="F481" s="17">
        <v>0</v>
      </c>
      <c r="G481" s="18">
        <f>C481+F481</f>
      </c>
    </row>
    <row r="482">
      <c r="A482" s="7">
        <v>45769</v>
      </c>
      <c r="B482" s="11">
        <f>SUMIFS(Flux_detail!$K$2:$K$403,Flux_detail!$A$2:$A$403,A482)</f>
      </c>
      <c r="C482" s="11">
        <f>C481+B482</f>
      </c>
      <c r="D482" s="0" t="inlineStr">
        <is>
          <t xml:space="preserve">2025-04</t>
        </is>
      </c>
      <c r="E482" s="0" t="inlineStr">
        <is>
          <t xml:space="preserve">2025</t>
        </is>
      </c>
      <c r="F482" s="17">
        <v>0</v>
      </c>
      <c r="G482" s="18">
        <f>C482+F482</f>
      </c>
    </row>
    <row r="483">
      <c r="A483" s="7">
        <v>45770</v>
      </c>
      <c r="B483" s="11">
        <f>SUMIFS(Flux_detail!$K$2:$K$403,Flux_detail!$A$2:$A$403,A483)</f>
      </c>
      <c r="C483" s="11">
        <f>C482+B483</f>
      </c>
      <c r="D483" s="0" t="inlineStr">
        <is>
          <t xml:space="preserve">2025-04</t>
        </is>
      </c>
      <c r="E483" s="0" t="inlineStr">
        <is>
          <t xml:space="preserve">2025</t>
        </is>
      </c>
      <c r="F483" s="17">
        <v>0</v>
      </c>
      <c r="G483" s="18">
        <f>C483+F483</f>
      </c>
    </row>
    <row r="484">
      <c r="A484" s="7">
        <v>45771</v>
      </c>
      <c r="B484" s="11">
        <f>SUMIFS(Flux_detail!$K$2:$K$403,Flux_detail!$A$2:$A$403,A484)</f>
      </c>
      <c r="C484" s="11">
        <f>C483+B484</f>
      </c>
      <c r="D484" s="0" t="inlineStr">
        <is>
          <t xml:space="preserve">2025-04</t>
        </is>
      </c>
      <c r="E484" s="0" t="inlineStr">
        <is>
          <t xml:space="preserve">2025</t>
        </is>
      </c>
      <c r="F484" s="17">
        <v>0</v>
      </c>
      <c r="G484" s="18">
        <f>C484+F484</f>
      </c>
    </row>
    <row r="485">
      <c r="A485" s="7">
        <v>45772</v>
      </c>
      <c r="B485" s="11">
        <f>SUMIFS(Flux_detail!$K$2:$K$403,Flux_detail!$A$2:$A$403,A485)</f>
      </c>
      <c r="C485" s="11">
        <f>C484+B485</f>
      </c>
      <c r="D485" s="0" t="inlineStr">
        <is>
          <t xml:space="preserve">2025-04</t>
        </is>
      </c>
      <c r="E485" s="0" t="inlineStr">
        <is>
          <t xml:space="preserve">2025</t>
        </is>
      </c>
      <c r="F485" s="17">
        <v>0</v>
      </c>
      <c r="G485" s="18">
        <f>C485+F485</f>
      </c>
    </row>
    <row r="486">
      <c r="A486" s="7">
        <v>45773</v>
      </c>
      <c r="B486" s="11">
        <f>SUMIFS(Flux_detail!$K$2:$K$403,Flux_detail!$A$2:$A$403,A486)</f>
      </c>
      <c r="C486" s="11">
        <f>C485+B486</f>
      </c>
      <c r="D486" s="0" t="inlineStr">
        <is>
          <t xml:space="preserve">2025-04</t>
        </is>
      </c>
      <c r="E486" s="0" t="inlineStr">
        <is>
          <t xml:space="preserve">2025</t>
        </is>
      </c>
      <c r="F486" s="17">
        <v>0</v>
      </c>
      <c r="G486" s="18">
        <f>C486+F486</f>
      </c>
    </row>
    <row r="487">
      <c r="A487" s="7">
        <v>45774</v>
      </c>
      <c r="B487" s="11">
        <f>SUMIFS(Flux_detail!$K$2:$K$403,Flux_detail!$A$2:$A$403,A487)</f>
      </c>
      <c r="C487" s="11">
        <f>C486+B487</f>
      </c>
      <c r="D487" s="0" t="inlineStr">
        <is>
          <t xml:space="preserve">2025-04</t>
        </is>
      </c>
      <c r="E487" s="0" t="inlineStr">
        <is>
          <t xml:space="preserve">2025</t>
        </is>
      </c>
      <c r="F487" s="17">
        <v>0</v>
      </c>
      <c r="G487" s="18">
        <f>C487+F487</f>
      </c>
    </row>
    <row r="488">
      <c r="A488" s="7">
        <v>45775</v>
      </c>
      <c r="B488" s="11">
        <f>SUMIFS(Flux_detail!$K$2:$K$403,Flux_detail!$A$2:$A$403,A488)</f>
      </c>
      <c r="C488" s="11">
        <f>C487+B488</f>
      </c>
      <c r="D488" s="0" t="inlineStr">
        <is>
          <t xml:space="preserve">2025-04</t>
        </is>
      </c>
      <c r="E488" s="0" t="inlineStr">
        <is>
          <t xml:space="preserve">2025</t>
        </is>
      </c>
      <c r="F488" s="17">
        <v>0</v>
      </c>
      <c r="G488" s="18">
        <f>C488+F488</f>
      </c>
    </row>
    <row r="489">
      <c r="A489" s="7">
        <v>45776</v>
      </c>
      <c r="B489" s="11">
        <f>SUMIFS(Flux_detail!$K$2:$K$403,Flux_detail!$A$2:$A$403,A489)</f>
      </c>
      <c r="C489" s="11">
        <f>C488+B489</f>
      </c>
      <c r="D489" s="0" t="inlineStr">
        <is>
          <t xml:space="preserve">2025-04</t>
        </is>
      </c>
      <c r="E489" s="0" t="inlineStr">
        <is>
          <t xml:space="preserve">2025</t>
        </is>
      </c>
      <c r="F489" s="17">
        <v>0</v>
      </c>
      <c r="G489" s="18">
        <f>C489+F489</f>
      </c>
    </row>
    <row r="490">
      <c r="A490" s="7">
        <v>45777</v>
      </c>
      <c r="B490" s="11">
        <f>SUMIFS(Flux_detail!$K$2:$K$403,Flux_detail!$A$2:$A$403,A490)</f>
      </c>
      <c r="C490" s="11">
        <f>C489+B490</f>
      </c>
      <c r="D490" s="0" t="inlineStr">
        <is>
          <t xml:space="preserve">2025-04</t>
        </is>
      </c>
      <c r="E490" s="0" t="inlineStr">
        <is>
          <t xml:space="preserve">2025</t>
        </is>
      </c>
      <c r="F490" s="17">
        <v>0</v>
      </c>
      <c r="G490" s="18">
        <f>C490+F490</f>
      </c>
    </row>
    <row r="491">
      <c r="A491" s="7">
        <v>45778</v>
      </c>
      <c r="B491" s="11">
        <f>SUMIFS(Flux_detail!$K$2:$K$403,Flux_detail!$A$2:$A$403,A491)</f>
      </c>
      <c r="C491" s="11">
        <f>C490+B491</f>
      </c>
      <c r="D491" s="0" t="inlineStr">
        <is>
          <t xml:space="preserve">2025-05</t>
        </is>
      </c>
      <c r="E491" s="0" t="inlineStr">
        <is>
          <t xml:space="preserve">2025</t>
        </is>
      </c>
      <c r="F491" s="17">
        <v>0</v>
      </c>
      <c r="G491" s="18">
        <f>C491+F491</f>
      </c>
    </row>
    <row r="492">
      <c r="A492" s="7">
        <v>45779</v>
      </c>
      <c r="B492" s="11">
        <f>SUMIFS(Flux_detail!$K$2:$K$403,Flux_detail!$A$2:$A$403,A492)</f>
      </c>
      <c r="C492" s="11">
        <f>C491+B492</f>
      </c>
      <c r="D492" s="0" t="inlineStr">
        <is>
          <t xml:space="preserve">2025-05</t>
        </is>
      </c>
      <c r="E492" s="0" t="inlineStr">
        <is>
          <t xml:space="preserve">2025</t>
        </is>
      </c>
      <c r="F492" s="17">
        <v>0</v>
      </c>
      <c r="G492" s="18">
        <f>C492+F492</f>
      </c>
    </row>
    <row r="493">
      <c r="A493" s="7">
        <v>45780</v>
      </c>
      <c r="B493" s="11">
        <f>SUMIFS(Flux_detail!$K$2:$K$403,Flux_detail!$A$2:$A$403,A493)</f>
      </c>
      <c r="C493" s="11">
        <f>C492+B493</f>
      </c>
      <c r="D493" s="0" t="inlineStr">
        <is>
          <t xml:space="preserve">2025-05</t>
        </is>
      </c>
      <c r="E493" s="0" t="inlineStr">
        <is>
          <t xml:space="preserve">2025</t>
        </is>
      </c>
      <c r="F493" s="17">
        <v>0</v>
      </c>
      <c r="G493" s="18">
        <f>C493+F493</f>
      </c>
    </row>
    <row r="494">
      <c r="A494" s="7">
        <v>45781</v>
      </c>
      <c r="B494" s="11">
        <f>SUMIFS(Flux_detail!$K$2:$K$403,Flux_detail!$A$2:$A$403,A494)</f>
      </c>
      <c r="C494" s="11">
        <f>C493+B494</f>
      </c>
      <c r="D494" s="0" t="inlineStr">
        <is>
          <t xml:space="preserve">2025-05</t>
        </is>
      </c>
      <c r="E494" s="0" t="inlineStr">
        <is>
          <t xml:space="preserve">2025</t>
        </is>
      </c>
      <c r="F494" s="17">
        <v>0</v>
      </c>
      <c r="G494" s="18">
        <f>C494+F494</f>
      </c>
    </row>
    <row r="495">
      <c r="A495" s="7">
        <v>45782</v>
      </c>
      <c r="B495" s="11">
        <f>SUMIFS(Flux_detail!$K$2:$K$403,Flux_detail!$A$2:$A$403,A495)</f>
      </c>
      <c r="C495" s="11">
        <f>C494+B495</f>
      </c>
      <c r="D495" s="0" t="inlineStr">
        <is>
          <t xml:space="preserve">2025-05</t>
        </is>
      </c>
      <c r="E495" s="0" t="inlineStr">
        <is>
          <t xml:space="preserve">2025</t>
        </is>
      </c>
      <c r="F495" s="17">
        <v>0</v>
      </c>
      <c r="G495" s="18">
        <f>C495+F495</f>
      </c>
    </row>
    <row r="496">
      <c r="A496" s="7">
        <v>45783</v>
      </c>
      <c r="B496" s="11">
        <f>SUMIFS(Flux_detail!$K$2:$K$403,Flux_detail!$A$2:$A$403,A496)</f>
      </c>
      <c r="C496" s="11">
        <f>C495+B496</f>
      </c>
      <c r="D496" s="0" t="inlineStr">
        <is>
          <t xml:space="preserve">2025-05</t>
        </is>
      </c>
      <c r="E496" s="0" t="inlineStr">
        <is>
          <t xml:space="preserve">2025</t>
        </is>
      </c>
      <c r="F496" s="17">
        <v>0</v>
      </c>
      <c r="G496" s="18">
        <f>C496+F496</f>
      </c>
    </row>
    <row r="497">
      <c r="A497" s="7">
        <v>45784</v>
      </c>
      <c r="B497" s="11">
        <f>SUMIFS(Flux_detail!$K$2:$K$403,Flux_detail!$A$2:$A$403,A497)</f>
      </c>
      <c r="C497" s="11">
        <f>C496+B497</f>
      </c>
      <c r="D497" s="0" t="inlineStr">
        <is>
          <t xml:space="preserve">2025-05</t>
        </is>
      </c>
      <c r="E497" s="0" t="inlineStr">
        <is>
          <t xml:space="preserve">2025</t>
        </is>
      </c>
      <c r="F497" s="17">
        <v>0</v>
      </c>
      <c r="G497" s="18">
        <f>C497+F497</f>
      </c>
    </row>
    <row r="498">
      <c r="A498" s="7">
        <v>45785</v>
      </c>
      <c r="B498" s="11">
        <f>SUMIFS(Flux_detail!$K$2:$K$403,Flux_detail!$A$2:$A$403,A498)</f>
      </c>
      <c r="C498" s="11">
        <f>C497+B498</f>
      </c>
      <c r="D498" s="0" t="inlineStr">
        <is>
          <t xml:space="preserve">2025-05</t>
        </is>
      </c>
      <c r="E498" s="0" t="inlineStr">
        <is>
          <t xml:space="preserve">2025</t>
        </is>
      </c>
      <c r="F498" s="17">
        <v>0</v>
      </c>
      <c r="G498" s="18">
        <f>C498+F498</f>
      </c>
    </row>
    <row r="499">
      <c r="A499" s="7">
        <v>45786</v>
      </c>
      <c r="B499" s="11">
        <f>SUMIFS(Flux_detail!$K$2:$K$403,Flux_detail!$A$2:$A$403,A499)</f>
      </c>
      <c r="C499" s="11">
        <f>C498+B499</f>
      </c>
      <c r="D499" s="0" t="inlineStr">
        <is>
          <t xml:space="preserve">2025-05</t>
        </is>
      </c>
      <c r="E499" s="0" t="inlineStr">
        <is>
          <t xml:space="preserve">2025</t>
        </is>
      </c>
      <c r="F499" s="17">
        <v>0</v>
      </c>
      <c r="G499" s="18">
        <f>C499+F499</f>
      </c>
    </row>
    <row r="500">
      <c r="A500" s="7">
        <v>45787</v>
      </c>
      <c r="B500" s="11">
        <f>SUMIFS(Flux_detail!$K$2:$K$403,Flux_detail!$A$2:$A$403,A500)</f>
      </c>
      <c r="C500" s="11">
        <f>C499+B500</f>
      </c>
      <c r="D500" s="0" t="inlineStr">
        <is>
          <t xml:space="preserve">2025-05</t>
        </is>
      </c>
      <c r="E500" s="0" t="inlineStr">
        <is>
          <t xml:space="preserve">2025</t>
        </is>
      </c>
      <c r="F500" s="17">
        <v>0</v>
      </c>
      <c r="G500" s="18">
        <f>C500+F500</f>
      </c>
    </row>
    <row r="501">
      <c r="A501" s="7">
        <v>45788</v>
      </c>
      <c r="B501" s="11">
        <f>SUMIFS(Flux_detail!$K$2:$K$403,Flux_detail!$A$2:$A$403,A501)</f>
      </c>
      <c r="C501" s="11">
        <f>C500+B501</f>
      </c>
      <c r="D501" s="0" t="inlineStr">
        <is>
          <t xml:space="preserve">2025-05</t>
        </is>
      </c>
      <c r="E501" s="0" t="inlineStr">
        <is>
          <t xml:space="preserve">2025</t>
        </is>
      </c>
      <c r="F501" s="17">
        <v>0</v>
      </c>
      <c r="G501" s="18">
        <f>C501+F501</f>
      </c>
    </row>
    <row r="502">
      <c r="A502" s="7">
        <v>45789</v>
      </c>
      <c r="B502" s="11">
        <f>SUMIFS(Flux_detail!$K$2:$K$403,Flux_detail!$A$2:$A$403,A502)</f>
      </c>
      <c r="C502" s="11">
        <f>C501+B502</f>
      </c>
      <c r="D502" s="0" t="inlineStr">
        <is>
          <t xml:space="preserve">2025-05</t>
        </is>
      </c>
      <c r="E502" s="0" t="inlineStr">
        <is>
          <t xml:space="preserve">2025</t>
        </is>
      </c>
      <c r="F502" s="17">
        <v>0</v>
      </c>
      <c r="G502" s="18">
        <f>C502+F502</f>
      </c>
    </row>
    <row r="503">
      <c r="A503" s="7">
        <v>45790</v>
      </c>
      <c r="B503" s="11">
        <f>SUMIFS(Flux_detail!$K$2:$K$403,Flux_detail!$A$2:$A$403,A503)</f>
      </c>
      <c r="C503" s="11">
        <f>C502+B503</f>
      </c>
      <c r="D503" s="0" t="inlineStr">
        <is>
          <t xml:space="preserve">2025-05</t>
        </is>
      </c>
      <c r="E503" s="0" t="inlineStr">
        <is>
          <t xml:space="preserve">2025</t>
        </is>
      </c>
      <c r="F503" s="17">
        <v>0</v>
      </c>
      <c r="G503" s="18">
        <f>C503+F503</f>
      </c>
    </row>
    <row r="504">
      <c r="A504" s="7">
        <v>45791</v>
      </c>
      <c r="B504" s="11">
        <f>SUMIFS(Flux_detail!$K$2:$K$403,Flux_detail!$A$2:$A$403,A504)</f>
      </c>
      <c r="C504" s="11">
        <f>C503+B504</f>
      </c>
      <c r="D504" s="0" t="inlineStr">
        <is>
          <t xml:space="preserve">2025-05</t>
        </is>
      </c>
      <c r="E504" s="0" t="inlineStr">
        <is>
          <t xml:space="preserve">2025</t>
        </is>
      </c>
      <c r="F504" s="17">
        <v>0</v>
      </c>
      <c r="G504" s="18">
        <f>C504+F504</f>
      </c>
    </row>
    <row r="505">
      <c r="A505" s="7">
        <v>45792</v>
      </c>
      <c r="B505" s="11">
        <f>SUMIFS(Flux_detail!$K$2:$K$403,Flux_detail!$A$2:$A$403,A505)</f>
      </c>
      <c r="C505" s="11">
        <f>C504+B505</f>
      </c>
      <c r="D505" s="0" t="inlineStr">
        <is>
          <t xml:space="preserve">2025-05</t>
        </is>
      </c>
      <c r="E505" s="0" t="inlineStr">
        <is>
          <t xml:space="preserve">2025</t>
        </is>
      </c>
      <c r="F505" s="17">
        <v>0</v>
      </c>
      <c r="G505" s="18">
        <f>C505+F505</f>
      </c>
    </row>
    <row r="506">
      <c r="A506" s="7">
        <v>45793</v>
      </c>
      <c r="B506" s="11">
        <f>SUMIFS(Flux_detail!$K$2:$K$403,Flux_detail!$A$2:$A$403,A506)</f>
      </c>
      <c r="C506" s="11">
        <f>C505+B506</f>
      </c>
      <c r="D506" s="0" t="inlineStr">
        <is>
          <t xml:space="preserve">2025-05</t>
        </is>
      </c>
      <c r="E506" s="0" t="inlineStr">
        <is>
          <t xml:space="preserve">2025</t>
        </is>
      </c>
      <c r="F506" s="17">
        <v>0</v>
      </c>
      <c r="G506" s="18">
        <f>C506+F506</f>
      </c>
    </row>
    <row r="507">
      <c r="A507" s="7">
        <v>45794</v>
      </c>
      <c r="B507" s="11">
        <f>SUMIFS(Flux_detail!$K$2:$K$403,Flux_detail!$A$2:$A$403,A507)</f>
      </c>
      <c r="C507" s="11">
        <f>C506+B507</f>
      </c>
      <c r="D507" s="0" t="inlineStr">
        <is>
          <t xml:space="preserve">2025-05</t>
        </is>
      </c>
      <c r="E507" s="0" t="inlineStr">
        <is>
          <t xml:space="preserve">2025</t>
        </is>
      </c>
      <c r="F507" s="17">
        <v>0</v>
      </c>
      <c r="G507" s="18">
        <f>C507+F507</f>
      </c>
    </row>
    <row r="508">
      <c r="A508" s="7">
        <v>45795</v>
      </c>
      <c r="B508" s="11">
        <f>SUMIFS(Flux_detail!$K$2:$K$403,Flux_detail!$A$2:$A$403,A508)</f>
      </c>
      <c r="C508" s="11">
        <f>C507+B508</f>
      </c>
      <c r="D508" s="0" t="inlineStr">
        <is>
          <t xml:space="preserve">2025-05</t>
        </is>
      </c>
      <c r="E508" s="0" t="inlineStr">
        <is>
          <t xml:space="preserve">2025</t>
        </is>
      </c>
      <c r="F508" s="17">
        <v>0</v>
      </c>
      <c r="G508" s="18">
        <f>C508+F508</f>
      </c>
    </row>
    <row r="509">
      <c r="A509" s="7">
        <v>45796</v>
      </c>
      <c r="B509" s="11">
        <f>SUMIFS(Flux_detail!$K$2:$K$403,Flux_detail!$A$2:$A$403,A509)</f>
      </c>
      <c r="C509" s="11">
        <f>C508+B509</f>
      </c>
      <c r="D509" s="0" t="inlineStr">
        <is>
          <t xml:space="preserve">2025-05</t>
        </is>
      </c>
      <c r="E509" s="0" t="inlineStr">
        <is>
          <t xml:space="preserve">2025</t>
        </is>
      </c>
      <c r="F509" s="17">
        <v>0</v>
      </c>
      <c r="G509" s="18">
        <f>C509+F509</f>
      </c>
    </row>
    <row r="510">
      <c r="A510" s="7">
        <v>45797</v>
      </c>
      <c r="B510" s="11">
        <f>SUMIFS(Flux_detail!$K$2:$K$403,Flux_detail!$A$2:$A$403,A510)</f>
      </c>
      <c r="C510" s="11">
        <f>C509+B510</f>
      </c>
      <c r="D510" s="0" t="inlineStr">
        <is>
          <t xml:space="preserve">2025-05</t>
        </is>
      </c>
      <c r="E510" s="0" t="inlineStr">
        <is>
          <t xml:space="preserve">2025</t>
        </is>
      </c>
      <c r="F510" s="17">
        <v>0</v>
      </c>
      <c r="G510" s="18">
        <f>C510+F510</f>
      </c>
    </row>
    <row r="511">
      <c r="A511" s="7">
        <v>45798</v>
      </c>
      <c r="B511" s="11">
        <f>SUMIFS(Flux_detail!$K$2:$K$403,Flux_detail!$A$2:$A$403,A511)</f>
      </c>
      <c r="C511" s="11">
        <f>C510+B511</f>
      </c>
      <c r="D511" s="0" t="inlineStr">
        <is>
          <t xml:space="preserve">2025-05</t>
        </is>
      </c>
      <c r="E511" s="0" t="inlineStr">
        <is>
          <t xml:space="preserve">2025</t>
        </is>
      </c>
      <c r="F511" s="17">
        <v>0</v>
      </c>
      <c r="G511" s="18">
        <f>C511+F511</f>
      </c>
    </row>
    <row r="512">
      <c r="A512" s="7">
        <v>45799</v>
      </c>
      <c r="B512" s="11">
        <f>SUMIFS(Flux_detail!$K$2:$K$403,Flux_detail!$A$2:$A$403,A512)</f>
      </c>
      <c r="C512" s="11">
        <f>C511+B512</f>
      </c>
      <c r="D512" s="0" t="inlineStr">
        <is>
          <t xml:space="preserve">2025-05</t>
        </is>
      </c>
      <c r="E512" s="0" t="inlineStr">
        <is>
          <t xml:space="preserve">2025</t>
        </is>
      </c>
      <c r="F512" s="17">
        <v>0</v>
      </c>
      <c r="G512" s="18">
        <f>C512+F512</f>
      </c>
    </row>
    <row r="513">
      <c r="A513" s="7">
        <v>45800</v>
      </c>
      <c r="B513" s="11">
        <f>SUMIFS(Flux_detail!$K$2:$K$403,Flux_detail!$A$2:$A$403,A513)</f>
      </c>
      <c r="C513" s="11">
        <f>C512+B513</f>
      </c>
      <c r="D513" s="0" t="inlineStr">
        <is>
          <t xml:space="preserve">2025-05</t>
        </is>
      </c>
      <c r="E513" s="0" t="inlineStr">
        <is>
          <t xml:space="preserve">2025</t>
        </is>
      </c>
      <c r="F513" s="17">
        <v>0</v>
      </c>
      <c r="G513" s="18">
        <f>C513+F513</f>
      </c>
    </row>
    <row r="514">
      <c r="A514" s="7">
        <v>45801</v>
      </c>
      <c r="B514" s="11">
        <f>SUMIFS(Flux_detail!$K$2:$K$403,Flux_detail!$A$2:$A$403,A514)</f>
      </c>
      <c r="C514" s="11">
        <f>C513+B514</f>
      </c>
      <c r="D514" s="0" t="inlineStr">
        <is>
          <t xml:space="preserve">2025-05</t>
        </is>
      </c>
      <c r="E514" s="0" t="inlineStr">
        <is>
          <t xml:space="preserve">2025</t>
        </is>
      </c>
      <c r="F514" s="17">
        <v>0</v>
      </c>
      <c r="G514" s="18">
        <f>C514+F514</f>
      </c>
    </row>
    <row r="515">
      <c r="A515" s="7">
        <v>45802</v>
      </c>
      <c r="B515" s="11">
        <f>SUMIFS(Flux_detail!$K$2:$K$403,Flux_detail!$A$2:$A$403,A515)</f>
      </c>
      <c r="C515" s="11">
        <f>C514+B515</f>
      </c>
      <c r="D515" s="0" t="inlineStr">
        <is>
          <t xml:space="preserve">2025-05</t>
        </is>
      </c>
      <c r="E515" s="0" t="inlineStr">
        <is>
          <t xml:space="preserve">2025</t>
        </is>
      </c>
      <c r="F515" s="17">
        <v>0</v>
      </c>
      <c r="G515" s="18">
        <f>C515+F515</f>
      </c>
    </row>
    <row r="516">
      <c r="A516" s="7">
        <v>45803</v>
      </c>
      <c r="B516" s="11">
        <f>SUMIFS(Flux_detail!$K$2:$K$403,Flux_detail!$A$2:$A$403,A516)</f>
      </c>
      <c r="C516" s="11">
        <f>C515+B516</f>
      </c>
      <c r="D516" s="0" t="inlineStr">
        <is>
          <t xml:space="preserve">2025-05</t>
        </is>
      </c>
      <c r="E516" s="0" t="inlineStr">
        <is>
          <t xml:space="preserve">2025</t>
        </is>
      </c>
      <c r="F516" s="17">
        <v>0</v>
      </c>
      <c r="G516" s="18">
        <f>C516+F516</f>
      </c>
    </row>
    <row r="517">
      <c r="A517" s="7">
        <v>45804</v>
      </c>
      <c r="B517" s="11">
        <f>SUMIFS(Flux_detail!$K$2:$K$403,Flux_detail!$A$2:$A$403,A517)</f>
      </c>
      <c r="C517" s="11">
        <f>C516+B517</f>
      </c>
      <c r="D517" s="0" t="inlineStr">
        <is>
          <t xml:space="preserve">2025-05</t>
        </is>
      </c>
      <c r="E517" s="0" t="inlineStr">
        <is>
          <t xml:space="preserve">2025</t>
        </is>
      </c>
      <c r="F517" s="17">
        <v>0</v>
      </c>
      <c r="G517" s="18">
        <f>C517+F517</f>
      </c>
    </row>
    <row r="518">
      <c r="A518" s="7">
        <v>45805</v>
      </c>
      <c r="B518" s="11">
        <f>SUMIFS(Flux_detail!$K$2:$K$403,Flux_detail!$A$2:$A$403,A518)</f>
      </c>
      <c r="C518" s="11">
        <f>C517+B518</f>
      </c>
      <c r="D518" s="0" t="inlineStr">
        <is>
          <t xml:space="preserve">2025-05</t>
        </is>
      </c>
      <c r="E518" s="0" t="inlineStr">
        <is>
          <t xml:space="preserve">2025</t>
        </is>
      </c>
      <c r="F518" s="17">
        <v>0</v>
      </c>
      <c r="G518" s="18">
        <f>C518+F518</f>
      </c>
    </row>
    <row r="519">
      <c r="A519" s="7">
        <v>45806</v>
      </c>
      <c r="B519" s="11">
        <f>SUMIFS(Flux_detail!$K$2:$K$403,Flux_detail!$A$2:$A$403,A519)</f>
      </c>
      <c r="C519" s="11">
        <f>C518+B519</f>
      </c>
      <c r="D519" s="0" t="inlineStr">
        <is>
          <t xml:space="preserve">2025-05</t>
        </is>
      </c>
      <c r="E519" s="0" t="inlineStr">
        <is>
          <t xml:space="preserve">2025</t>
        </is>
      </c>
      <c r="F519" s="17">
        <v>0</v>
      </c>
      <c r="G519" s="18">
        <f>C519+F519</f>
      </c>
    </row>
    <row r="520">
      <c r="A520" s="7">
        <v>45807</v>
      </c>
      <c r="B520" s="11">
        <f>SUMIFS(Flux_detail!$K$2:$K$403,Flux_detail!$A$2:$A$403,A520)</f>
      </c>
      <c r="C520" s="11">
        <f>C519+B520</f>
      </c>
      <c r="D520" s="0" t="inlineStr">
        <is>
          <t xml:space="preserve">2025-05</t>
        </is>
      </c>
      <c r="E520" s="0" t="inlineStr">
        <is>
          <t xml:space="preserve">2025</t>
        </is>
      </c>
      <c r="F520" s="17">
        <v>0</v>
      </c>
      <c r="G520" s="18">
        <f>C520+F520</f>
      </c>
    </row>
    <row r="521">
      <c r="A521" s="7">
        <v>45808</v>
      </c>
      <c r="B521" s="11">
        <f>SUMIFS(Flux_detail!$K$2:$K$403,Flux_detail!$A$2:$A$403,A521)</f>
      </c>
      <c r="C521" s="11">
        <f>C520+B521</f>
      </c>
      <c r="D521" s="0" t="inlineStr">
        <is>
          <t xml:space="preserve">2025-05</t>
        </is>
      </c>
      <c r="E521" s="0" t="inlineStr">
        <is>
          <t xml:space="preserve">2025</t>
        </is>
      </c>
      <c r="F521" s="17">
        <v>0</v>
      </c>
      <c r="G521" s="18">
        <f>C521+F521</f>
      </c>
    </row>
    <row r="522">
      <c r="A522" s="7">
        <v>45809</v>
      </c>
      <c r="B522" s="11">
        <f>SUMIFS(Flux_detail!$K$2:$K$403,Flux_detail!$A$2:$A$403,A522)</f>
      </c>
      <c r="C522" s="11">
        <f>C521+B522</f>
      </c>
      <c r="D522" s="0" t="inlineStr">
        <is>
          <t xml:space="preserve">2025-06</t>
        </is>
      </c>
      <c r="E522" s="0" t="inlineStr">
        <is>
          <t xml:space="preserve">2025</t>
        </is>
      </c>
      <c r="F522" s="17">
        <v>0</v>
      </c>
      <c r="G522" s="18">
        <f>C522+F522</f>
      </c>
    </row>
    <row r="523">
      <c r="A523" s="7">
        <v>45810</v>
      </c>
      <c r="B523" s="11">
        <f>SUMIFS(Flux_detail!$K$2:$K$403,Flux_detail!$A$2:$A$403,A523)</f>
      </c>
      <c r="C523" s="11">
        <f>C522+B523</f>
      </c>
      <c r="D523" s="0" t="inlineStr">
        <is>
          <t xml:space="preserve">2025-06</t>
        </is>
      </c>
      <c r="E523" s="0" t="inlineStr">
        <is>
          <t xml:space="preserve">2025</t>
        </is>
      </c>
      <c r="F523" s="17">
        <v>0</v>
      </c>
      <c r="G523" s="18">
        <f>C523+F523</f>
      </c>
    </row>
    <row r="524">
      <c r="A524" s="7">
        <v>45811</v>
      </c>
      <c r="B524" s="11">
        <f>SUMIFS(Flux_detail!$K$2:$K$403,Flux_detail!$A$2:$A$403,A524)</f>
      </c>
      <c r="C524" s="11">
        <f>C523+B524</f>
      </c>
      <c r="D524" s="0" t="inlineStr">
        <is>
          <t xml:space="preserve">2025-06</t>
        </is>
      </c>
      <c r="E524" s="0" t="inlineStr">
        <is>
          <t xml:space="preserve">2025</t>
        </is>
      </c>
      <c r="F524" s="17">
        <v>0</v>
      </c>
      <c r="G524" s="18">
        <f>C524+F524</f>
      </c>
    </row>
    <row r="525">
      <c r="A525" s="7">
        <v>45812</v>
      </c>
      <c r="B525" s="11">
        <f>SUMIFS(Flux_detail!$K$2:$K$403,Flux_detail!$A$2:$A$403,A525)</f>
      </c>
      <c r="C525" s="11">
        <f>C524+B525</f>
      </c>
      <c r="D525" s="0" t="inlineStr">
        <is>
          <t xml:space="preserve">2025-06</t>
        </is>
      </c>
      <c r="E525" s="0" t="inlineStr">
        <is>
          <t xml:space="preserve">2025</t>
        </is>
      </c>
      <c r="F525" s="17">
        <v>0</v>
      </c>
      <c r="G525" s="18">
        <f>C525+F525</f>
      </c>
    </row>
    <row r="526">
      <c r="A526" s="7">
        <v>45813</v>
      </c>
      <c r="B526" s="11">
        <f>SUMIFS(Flux_detail!$K$2:$K$403,Flux_detail!$A$2:$A$403,A526)</f>
      </c>
      <c r="C526" s="11">
        <f>C525+B526</f>
      </c>
      <c r="D526" s="0" t="inlineStr">
        <is>
          <t xml:space="preserve">2025-06</t>
        </is>
      </c>
      <c r="E526" s="0" t="inlineStr">
        <is>
          <t xml:space="preserve">2025</t>
        </is>
      </c>
      <c r="F526" s="17">
        <v>0</v>
      </c>
      <c r="G526" s="18">
        <f>C526+F526</f>
      </c>
    </row>
    <row r="527">
      <c r="A527" s="7">
        <v>45814</v>
      </c>
      <c r="B527" s="11">
        <f>SUMIFS(Flux_detail!$K$2:$K$403,Flux_detail!$A$2:$A$403,A527)</f>
      </c>
      <c r="C527" s="11">
        <f>C526+B527</f>
      </c>
      <c r="D527" s="0" t="inlineStr">
        <is>
          <t xml:space="preserve">2025-06</t>
        </is>
      </c>
      <c r="E527" s="0" t="inlineStr">
        <is>
          <t xml:space="preserve">2025</t>
        </is>
      </c>
      <c r="F527" s="17">
        <v>0</v>
      </c>
      <c r="G527" s="18">
        <f>C527+F527</f>
      </c>
    </row>
    <row r="528">
      <c r="A528" s="7">
        <v>45815</v>
      </c>
      <c r="B528" s="11">
        <f>SUMIFS(Flux_detail!$K$2:$K$403,Flux_detail!$A$2:$A$403,A528)</f>
      </c>
      <c r="C528" s="11">
        <f>C527+B528</f>
      </c>
      <c r="D528" s="0" t="inlineStr">
        <is>
          <t xml:space="preserve">2025-06</t>
        </is>
      </c>
      <c r="E528" s="0" t="inlineStr">
        <is>
          <t xml:space="preserve">2025</t>
        </is>
      </c>
      <c r="F528" s="17">
        <v>0</v>
      </c>
      <c r="G528" s="18">
        <f>C528+F528</f>
      </c>
    </row>
    <row r="529">
      <c r="A529" s="7">
        <v>45816</v>
      </c>
      <c r="B529" s="11">
        <f>SUMIFS(Flux_detail!$K$2:$K$403,Flux_detail!$A$2:$A$403,A529)</f>
      </c>
      <c r="C529" s="11">
        <f>C528+B529</f>
      </c>
      <c r="D529" s="0" t="inlineStr">
        <is>
          <t xml:space="preserve">2025-06</t>
        </is>
      </c>
      <c r="E529" s="0" t="inlineStr">
        <is>
          <t xml:space="preserve">2025</t>
        </is>
      </c>
      <c r="F529" s="17">
        <v>0</v>
      </c>
      <c r="G529" s="18">
        <f>C529+F529</f>
      </c>
    </row>
    <row r="530">
      <c r="A530" s="7">
        <v>45817</v>
      </c>
      <c r="B530" s="11">
        <f>SUMIFS(Flux_detail!$K$2:$K$403,Flux_detail!$A$2:$A$403,A530)</f>
      </c>
      <c r="C530" s="11">
        <f>C529+B530</f>
      </c>
      <c r="D530" s="0" t="inlineStr">
        <is>
          <t xml:space="preserve">2025-06</t>
        </is>
      </c>
      <c r="E530" s="0" t="inlineStr">
        <is>
          <t xml:space="preserve">2025</t>
        </is>
      </c>
      <c r="F530" s="17">
        <v>0</v>
      </c>
      <c r="G530" s="18">
        <f>C530+F530</f>
      </c>
    </row>
    <row r="531">
      <c r="A531" s="7">
        <v>45818</v>
      </c>
      <c r="B531" s="11">
        <f>SUMIFS(Flux_detail!$K$2:$K$403,Flux_detail!$A$2:$A$403,A531)</f>
      </c>
      <c r="C531" s="11">
        <f>C530+B531</f>
      </c>
      <c r="D531" s="0" t="inlineStr">
        <is>
          <t xml:space="preserve">2025-06</t>
        </is>
      </c>
      <c r="E531" s="0" t="inlineStr">
        <is>
          <t xml:space="preserve">2025</t>
        </is>
      </c>
      <c r="F531" s="17">
        <v>0</v>
      </c>
      <c r="G531" s="18">
        <f>C531+F531</f>
      </c>
    </row>
    <row r="532">
      <c r="A532" s="7">
        <v>45819</v>
      </c>
      <c r="B532" s="11">
        <f>SUMIFS(Flux_detail!$K$2:$K$403,Flux_detail!$A$2:$A$403,A532)</f>
      </c>
      <c r="C532" s="11">
        <f>C531+B532</f>
      </c>
      <c r="D532" s="0" t="inlineStr">
        <is>
          <t xml:space="preserve">2025-06</t>
        </is>
      </c>
      <c r="E532" s="0" t="inlineStr">
        <is>
          <t xml:space="preserve">2025</t>
        </is>
      </c>
      <c r="F532" s="17">
        <v>0</v>
      </c>
      <c r="G532" s="18">
        <f>C532+F532</f>
      </c>
    </row>
    <row r="533">
      <c r="A533" s="7">
        <v>45820</v>
      </c>
      <c r="B533" s="11">
        <f>SUMIFS(Flux_detail!$K$2:$K$403,Flux_detail!$A$2:$A$403,A533)</f>
      </c>
      <c r="C533" s="11">
        <f>C532+B533</f>
      </c>
      <c r="D533" s="0" t="inlineStr">
        <is>
          <t xml:space="preserve">2025-06</t>
        </is>
      </c>
      <c r="E533" s="0" t="inlineStr">
        <is>
          <t xml:space="preserve">2025</t>
        </is>
      </c>
      <c r="F533" s="17">
        <v>0</v>
      </c>
      <c r="G533" s="18">
        <f>C533+F533</f>
      </c>
    </row>
    <row r="534">
      <c r="A534" s="7">
        <v>45821</v>
      </c>
      <c r="B534" s="11">
        <f>SUMIFS(Flux_detail!$K$2:$K$403,Flux_detail!$A$2:$A$403,A534)</f>
      </c>
      <c r="C534" s="11">
        <f>C533+B534</f>
      </c>
      <c r="D534" s="0" t="inlineStr">
        <is>
          <t xml:space="preserve">2025-06</t>
        </is>
      </c>
      <c r="E534" s="0" t="inlineStr">
        <is>
          <t xml:space="preserve">2025</t>
        </is>
      </c>
      <c r="F534" s="17">
        <v>0</v>
      </c>
      <c r="G534" s="18">
        <f>C534+F534</f>
      </c>
    </row>
    <row r="535">
      <c r="A535" s="7">
        <v>45822</v>
      </c>
      <c r="B535" s="11">
        <f>SUMIFS(Flux_detail!$K$2:$K$403,Flux_detail!$A$2:$A$403,A535)</f>
      </c>
      <c r="C535" s="11">
        <f>C534+B535</f>
      </c>
      <c r="D535" s="0" t="inlineStr">
        <is>
          <t xml:space="preserve">2025-06</t>
        </is>
      </c>
      <c r="E535" s="0" t="inlineStr">
        <is>
          <t xml:space="preserve">2025</t>
        </is>
      </c>
      <c r="F535" s="17">
        <v>0</v>
      </c>
      <c r="G535" s="18">
        <f>C535+F535</f>
      </c>
    </row>
    <row r="536">
      <c r="A536" s="7">
        <v>45823</v>
      </c>
      <c r="B536" s="11">
        <f>SUMIFS(Flux_detail!$K$2:$K$403,Flux_detail!$A$2:$A$403,A536)</f>
      </c>
      <c r="C536" s="11">
        <f>C535+B536</f>
      </c>
      <c r="D536" s="0" t="inlineStr">
        <is>
          <t xml:space="preserve">2025-06</t>
        </is>
      </c>
      <c r="E536" s="0" t="inlineStr">
        <is>
          <t xml:space="preserve">2025</t>
        </is>
      </c>
      <c r="F536" s="17">
        <v>0</v>
      </c>
      <c r="G536" s="18">
        <f>C536+F536</f>
      </c>
    </row>
    <row r="537">
      <c r="A537" s="7">
        <v>45824</v>
      </c>
      <c r="B537" s="11">
        <f>SUMIFS(Flux_detail!$K$2:$K$403,Flux_detail!$A$2:$A$403,A537)</f>
      </c>
      <c r="C537" s="11">
        <f>C536+B537</f>
      </c>
      <c r="D537" s="0" t="inlineStr">
        <is>
          <t xml:space="preserve">2025-06</t>
        </is>
      </c>
      <c r="E537" s="0" t="inlineStr">
        <is>
          <t xml:space="preserve">2025</t>
        </is>
      </c>
      <c r="F537" s="17">
        <v>0</v>
      </c>
      <c r="G537" s="18">
        <f>C537+F537</f>
      </c>
    </row>
    <row r="538">
      <c r="A538" s="7">
        <v>45825</v>
      </c>
      <c r="B538" s="11">
        <f>SUMIFS(Flux_detail!$K$2:$K$403,Flux_detail!$A$2:$A$403,A538)</f>
      </c>
      <c r="C538" s="11">
        <f>C537+B538</f>
      </c>
      <c r="D538" s="0" t="inlineStr">
        <is>
          <t xml:space="preserve">2025-06</t>
        </is>
      </c>
      <c r="E538" s="0" t="inlineStr">
        <is>
          <t xml:space="preserve">2025</t>
        </is>
      </c>
      <c r="F538" s="17">
        <v>0</v>
      </c>
      <c r="G538" s="18">
        <f>C538+F538</f>
      </c>
    </row>
    <row r="539">
      <c r="A539" s="7">
        <v>45826</v>
      </c>
      <c r="B539" s="11">
        <f>SUMIFS(Flux_detail!$K$2:$K$403,Flux_detail!$A$2:$A$403,A539)</f>
      </c>
      <c r="C539" s="11">
        <f>C538+B539</f>
      </c>
      <c r="D539" s="0" t="inlineStr">
        <is>
          <t xml:space="preserve">2025-06</t>
        </is>
      </c>
      <c r="E539" s="0" t="inlineStr">
        <is>
          <t xml:space="preserve">2025</t>
        </is>
      </c>
      <c r="F539" s="17">
        <v>0</v>
      </c>
      <c r="G539" s="18">
        <f>C539+F539</f>
      </c>
    </row>
    <row r="540">
      <c r="A540" s="7">
        <v>45827</v>
      </c>
      <c r="B540" s="11">
        <f>SUMIFS(Flux_detail!$K$2:$K$403,Flux_detail!$A$2:$A$403,A540)</f>
      </c>
      <c r="C540" s="11">
        <f>C539+B540</f>
      </c>
      <c r="D540" s="0" t="inlineStr">
        <is>
          <t xml:space="preserve">2025-06</t>
        </is>
      </c>
      <c r="E540" s="0" t="inlineStr">
        <is>
          <t xml:space="preserve">2025</t>
        </is>
      </c>
      <c r="F540" s="17">
        <v>0</v>
      </c>
      <c r="G540" s="18">
        <f>C540+F540</f>
      </c>
    </row>
    <row r="541">
      <c r="A541" s="7">
        <v>45828</v>
      </c>
      <c r="B541" s="11">
        <f>SUMIFS(Flux_detail!$K$2:$K$403,Flux_detail!$A$2:$A$403,A541)</f>
      </c>
      <c r="C541" s="11">
        <f>C540+B541</f>
      </c>
      <c r="D541" s="0" t="inlineStr">
        <is>
          <t xml:space="preserve">2025-06</t>
        </is>
      </c>
      <c r="E541" s="0" t="inlineStr">
        <is>
          <t xml:space="preserve">2025</t>
        </is>
      </c>
      <c r="F541" s="17">
        <v>0</v>
      </c>
      <c r="G541" s="18">
        <f>C541+F541</f>
      </c>
    </row>
    <row r="542">
      <c r="A542" s="7">
        <v>45829</v>
      </c>
      <c r="B542" s="11">
        <f>SUMIFS(Flux_detail!$K$2:$K$403,Flux_detail!$A$2:$A$403,A542)</f>
      </c>
      <c r="C542" s="11">
        <f>C541+B542</f>
      </c>
      <c r="D542" s="0" t="inlineStr">
        <is>
          <t xml:space="preserve">2025-06</t>
        </is>
      </c>
      <c r="E542" s="0" t="inlineStr">
        <is>
          <t xml:space="preserve">2025</t>
        </is>
      </c>
      <c r="F542" s="17">
        <v>0</v>
      </c>
      <c r="G542" s="18">
        <f>C542+F542</f>
      </c>
    </row>
    <row r="543">
      <c r="A543" s="7">
        <v>45830</v>
      </c>
      <c r="B543" s="11">
        <f>SUMIFS(Flux_detail!$K$2:$K$403,Flux_detail!$A$2:$A$403,A543)</f>
      </c>
      <c r="C543" s="11">
        <f>C542+B543</f>
      </c>
      <c r="D543" s="0" t="inlineStr">
        <is>
          <t xml:space="preserve">2025-06</t>
        </is>
      </c>
      <c r="E543" s="0" t="inlineStr">
        <is>
          <t xml:space="preserve">2025</t>
        </is>
      </c>
      <c r="F543" s="17">
        <v>0</v>
      </c>
      <c r="G543" s="18">
        <f>C543+F543</f>
      </c>
    </row>
    <row r="544">
      <c r="A544" s="7">
        <v>45831</v>
      </c>
      <c r="B544" s="11">
        <f>SUMIFS(Flux_detail!$K$2:$K$403,Flux_detail!$A$2:$A$403,A544)</f>
      </c>
      <c r="C544" s="11">
        <f>C543+B544</f>
      </c>
      <c r="D544" s="0" t="inlineStr">
        <is>
          <t xml:space="preserve">2025-06</t>
        </is>
      </c>
      <c r="E544" s="0" t="inlineStr">
        <is>
          <t xml:space="preserve">2025</t>
        </is>
      </c>
      <c r="F544" s="17">
        <v>0</v>
      </c>
      <c r="G544" s="18">
        <f>C544+F544</f>
      </c>
    </row>
    <row r="545">
      <c r="A545" s="7">
        <v>45832</v>
      </c>
      <c r="B545" s="11">
        <f>SUMIFS(Flux_detail!$K$2:$K$403,Flux_detail!$A$2:$A$403,A545)</f>
      </c>
      <c r="C545" s="11">
        <f>C544+B545</f>
      </c>
      <c r="D545" s="0" t="inlineStr">
        <is>
          <t xml:space="preserve">2025-06</t>
        </is>
      </c>
      <c r="E545" s="0" t="inlineStr">
        <is>
          <t xml:space="preserve">2025</t>
        </is>
      </c>
      <c r="F545" s="17">
        <v>0</v>
      </c>
      <c r="G545" s="18">
        <f>C545+F545</f>
      </c>
    </row>
    <row r="546">
      <c r="A546" s="7">
        <v>45833</v>
      </c>
      <c r="B546" s="11">
        <f>SUMIFS(Flux_detail!$K$2:$K$403,Flux_detail!$A$2:$A$403,A546)</f>
      </c>
      <c r="C546" s="11">
        <f>C545+B546</f>
      </c>
      <c r="D546" s="0" t="inlineStr">
        <is>
          <t xml:space="preserve">2025-06</t>
        </is>
      </c>
      <c r="E546" s="0" t="inlineStr">
        <is>
          <t xml:space="preserve">2025</t>
        </is>
      </c>
      <c r="F546" s="17">
        <v>0</v>
      </c>
      <c r="G546" s="18">
        <f>C546+F546</f>
      </c>
    </row>
    <row r="547">
      <c r="A547" s="7">
        <v>45834</v>
      </c>
      <c r="B547" s="11">
        <f>SUMIFS(Flux_detail!$K$2:$K$403,Flux_detail!$A$2:$A$403,A547)</f>
      </c>
      <c r="C547" s="11">
        <f>C546+B547</f>
      </c>
      <c r="D547" s="0" t="inlineStr">
        <is>
          <t xml:space="preserve">2025-06</t>
        </is>
      </c>
      <c r="E547" s="0" t="inlineStr">
        <is>
          <t xml:space="preserve">2025</t>
        </is>
      </c>
      <c r="F547" s="17">
        <v>0</v>
      </c>
      <c r="G547" s="18">
        <f>C547+F547</f>
      </c>
    </row>
    <row r="548">
      <c r="A548" s="7">
        <v>45835</v>
      </c>
      <c r="B548" s="11">
        <f>SUMIFS(Flux_detail!$K$2:$K$403,Flux_detail!$A$2:$A$403,A548)</f>
      </c>
      <c r="C548" s="11">
        <f>C547+B548</f>
      </c>
      <c r="D548" s="0" t="inlineStr">
        <is>
          <t xml:space="preserve">2025-06</t>
        </is>
      </c>
      <c r="E548" s="0" t="inlineStr">
        <is>
          <t xml:space="preserve">2025</t>
        </is>
      </c>
      <c r="F548" s="17">
        <v>0</v>
      </c>
      <c r="G548" s="18">
        <f>C548+F548</f>
      </c>
    </row>
    <row r="549">
      <c r="A549" s="7">
        <v>45836</v>
      </c>
      <c r="B549" s="11">
        <f>SUMIFS(Flux_detail!$K$2:$K$403,Flux_detail!$A$2:$A$403,A549)</f>
      </c>
      <c r="C549" s="11">
        <f>C548+B549</f>
      </c>
      <c r="D549" s="0" t="inlineStr">
        <is>
          <t xml:space="preserve">2025-06</t>
        </is>
      </c>
      <c r="E549" s="0" t="inlineStr">
        <is>
          <t xml:space="preserve">2025</t>
        </is>
      </c>
      <c r="F549" s="17">
        <v>0</v>
      </c>
      <c r="G549" s="18">
        <f>C549+F549</f>
      </c>
    </row>
    <row r="550">
      <c r="A550" s="7">
        <v>45837</v>
      </c>
      <c r="B550" s="11">
        <f>SUMIFS(Flux_detail!$K$2:$K$403,Flux_detail!$A$2:$A$403,A550)</f>
      </c>
      <c r="C550" s="11">
        <f>C549+B550</f>
      </c>
      <c r="D550" s="0" t="inlineStr">
        <is>
          <t xml:space="preserve">2025-06</t>
        </is>
      </c>
      <c r="E550" s="0" t="inlineStr">
        <is>
          <t xml:space="preserve">2025</t>
        </is>
      </c>
      <c r="F550" s="17">
        <v>0</v>
      </c>
      <c r="G550" s="18">
        <f>C550+F550</f>
      </c>
    </row>
    <row r="551">
      <c r="A551" s="7">
        <v>45838</v>
      </c>
      <c r="B551" s="11">
        <f>SUMIFS(Flux_detail!$K$2:$K$403,Flux_detail!$A$2:$A$403,A551)</f>
      </c>
      <c r="C551" s="11">
        <f>C550+B551</f>
      </c>
      <c r="D551" s="0" t="inlineStr">
        <is>
          <t xml:space="preserve">2025-06</t>
        </is>
      </c>
      <c r="E551" s="0" t="inlineStr">
        <is>
          <t xml:space="preserve">2025</t>
        </is>
      </c>
      <c r="F551" s="17">
        <v>0</v>
      </c>
      <c r="G551" s="18">
        <f>C551+F551</f>
      </c>
    </row>
    <row r="552">
      <c r="A552" s="7">
        <v>45839</v>
      </c>
      <c r="B552" s="11">
        <f>SUMIFS(Flux_detail!$K$2:$K$403,Flux_detail!$A$2:$A$403,A552)</f>
      </c>
      <c r="C552" s="11">
        <f>C551+B552</f>
      </c>
      <c r="D552" s="0" t="inlineStr">
        <is>
          <t xml:space="preserve">2025-07</t>
        </is>
      </c>
      <c r="E552" s="0" t="inlineStr">
        <is>
          <t xml:space="preserve">2025</t>
        </is>
      </c>
      <c r="F552" s="17">
        <v>0</v>
      </c>
      <c r="G552" s="18">
        <f>C552+F552</f>
      </c>
    </row>
    <row r="553">
      <c r="A553" s="7">
        <v>45840</v>
      </c>
      <c r="B553" s="11">
        <f>SUMIFS(Flux_detail!$K$2:$K$403,Flux_detail!$A$2:$A$403,A553)</f>
      </c>
      <c r="C553" s="11">
        <f>C552+B553</f>
      </c>
      <c r="D553" s="0" t="inlineStr">
        <is>
          <t xml:space="preserve">2025-07</t>
        </is>
      </c>
      <c r="E553" s="0" t="inlineStr">
        <is>
          <t xml:space="preserve">2025</t>
        </is>
      </c>
      <c r="F553" s="17">
        <v>0</v>
      </c>
      <c r="G553" s="18">
        <f>C553+F553</f>
      </c>
    </row>
    <row r="554">
      <c r="A554" s="7">
        <v>45841</v>
      </c>
      <c r="B554" s="11">
        <f>SUMIFS(Flux_detail!$K$2:$K$403,Flux_detail!$A$2:$A$403,A554)</f>
      </c>
      <c r="C554" s="11">
        <f>C553+B554</f>
      </c>
      <c r="D554" s="0" t="inlineStr">
        <is>
          <t xml:space="preserve">2025-07</t>
        </is>
      </c>
      <c r="E554" s="0" t="inlineStr">
        <is>
          <t xml:space="preserve">2025</t>
        </is>
      </c>
      <c r="F554" s="17">
        <v>0</v>
      </c>
      <c r="G554" s="18">
        <f>C554+F554</f>
      </c>
    </row>
    <row r="555">
      <c r="A555" s="7">
        <v>45842</v>
      </c>
      <c r="B555" s="11">
        <f>SUMIFS(Flux_detail!$K$2:$K$403,Flux_detail!$A$2:$A$403,A555)</f>
      </c>
      <c r="C555" s="11">
        <f>C554+B555</f>
      </c>
      <c r="D555" s="0" t="inlineStr">
        <is>
          <t xml:space="preserve">2025-07</t>
        </is>
      </c>
      <c r="E555" s="0" t="inlineStr">
        <is>
          <t xml:space="preserve">2025</t>
        </is>
      </c>
      <c r="F555" s="17">
        <v>0</v>
      </c>
      <c r="G555" s="18">
        <f>C555+F555</f>
      </c>
    </row>
    <row r="556">
      <c r="A556" s="7">
        <v>45843</v>
      </c>
      <c r="B556" s="11">
        <f>SUMIFS(Flux_detail!$K$2:$K$403,Flux_detail!$A$2:$A$403,A556)</f>
      </c>
      <c r="C556" s="11">
        <f>C555+B556</f>
      </c>
      <c r="D556" s="0" t="inlineStr">
        <is>
          <t xml:space="preserve">2025-07</t>
        </is>
      </c>
      <c r="E556" s="0" t="inlineStr">
        <is>
          <t xml:space="preserve">2025</t>
        </is>
      </c>
      <c r="F556" s="17">
        <v>0</v>
      </c>
      <c r="G556" s="18">
        <f>C556+F556</f>
      </c>
    </row>
    <row r="557">
      <c r="A557" s="7">
        <v>45844</v>
      </c>
      <c r="B557" s="11">
        <f>SUMIFS(Flux_detail!$K$2:$K$403,Flux_detail!$A$2:$A$403,A557)</f>
      </c>
      <c r="C557" s="11">
        <f>C556+B557</f>
      </c>
      <c r="D557" s="0" t="inlineStr">
        <is>
          <t xml:space="preserve">2025-07</t>
        </is>
      </c>
      <c r="E557" s="0" t="inlineStr">
        <is>
          <t xml:space="preserve">2025</t>
        </is>
      </c>
      <c r="F557" s="17">
        <v>0</v>
      </c>
      <c r="G557" s="18">
        <f>C557+F557</f>
      </c>
    </row>
    <row r="558">
      <c r="A558" s="7">
        <v>45845</v>
      </c>
      <c r="B558" s="11">
        <f>SUMIFS(Flux_detail!$K$2:$K$403,Flux_detail!$A$2:$A$403,A558)</f>
      </c>
      <c r="C558" s="11">
        <f>C557+B558</f>
      </c>
      <c r="D558" s="0" t="inlineStr">
        <is>
          <t xml:space="preserve">2025-07</t>
        </is>
      </c>
      <c r="E558" s="0" t="inlineStr">
        <is>
          <t xml:space="preserve">2025</t>
        </is>
      </c>
      <c r="F558" s="17">
        <v>0</v>
      </c>
      <c r="G558" s="18">
        <f>C558+F558</f>
      </c>
    </row>
    <row r="559">
      <c r="A559" s="7">
        <v>45846</v>
      </c>
      <c r="B559" s="11">
        <f>SUMIFS(Flux_detail!$K$2:$K$403,Flux_detail!$A$2:$A$403,A559)</f>
      </c>
      <c r="C559" s="11">
        <f>C558+B559</f>
      </c>
      <c r="D559" s="0" t="inlineStr">
        <is>
          <t xml:space="preserve">2025-07</t>
        </is>
      </c>
      <c r="E559" s="0" t="inlineStr">
        <is>
          <t xml:space="preserve">2025</t>
        </is>
      </c>
      <c r="F559" s="17">
        <v>0</v>
      </c>
      <c r="G559" s="18">
        <f>C559+F559</f>
      </c>
    </row>
    <row r="560">
      <c r="A560" s="7">
        <v>45847</v>
      </c>
      <c r="B560" s="11">
        <f>SUMIFS(Flux_detail!$K$2:$K$403,Flux_detail!$A$2:$A$403,A560)</f>
      </c>
      <c r="C560" s="11">
        <f>C559+B560</f>
      </c>
      <c r="D560" s="0" t="inlineStr">
        <is>
          <t xml:space="preserve">2025-07</t>
        </is>
      </c>
      <c r="E560" s="0" t="inlineStr">
        <is>
          <t xml:space="preserve">2025</t>
        </is>
      </c>
      <c r="F560" s="17">
        <v>0</v>
      </c>
      <c r="G560" s="18">
        <f>C560+F560</f>
      </c>
    </row>
    <row r="561">
      <c r="A561" s="7">
        <v>45848</v>
      </c>
      <c r="B561" s="11">
        <f>SUMIFS(Flux_detail!$K$2:$K$403,Flux_detail!$A$2:$A$403,A561)</f>
      </c>
      <c r="C561" s="11">
        <f>C560+B561</f>
      </c>
      <c r="D561" s="0" t="inlineStr">
        <is>
          <t xml:space="preserve">2025-07</t>
        </is>
      </c>
      <c r="E561" s="0" t="inlineStr">
        <is>
          <t xml:space="preserve">2025</t>
        </is>
      </c>
      <c r="F561" s="17">
        <v>0</v>
      </c>
      <c r="G561" s="18">
        <f>C561+F561</f>
      </c>
    </row>
    <row r="562">
      <c r="A562" s="7">
        <v>45849</v>
      </c>
      <c r="B562" s="11">
        <f>SUMIFS(Flux_detail!$K$2:$K$403,Flux_detail!$A$2:$A$403,A562)</f>
      </c>
      <c r="C562" s="11">
        <f>C561+B562</f>
      </c>
      <c r="D562" s="0" t="inlineStr">
        <is>
          <t xml:space="preserve">2025-07</t>
        </is>
      </c>
      <c r="E562" s="0" t="inlineStr">
        <is>
          <t xml:space="preserve">2025</t>
        </is>
      </c>
      <c r="F562" s="17">
        <v>0</v>
      </c>
      <c r="G562" s="18">
        <f>C562+F562</f>
      </c>
    </row>
    <row r="563">
      <c r="A563" s="7">
        <v>45850</v>
      </c>
      <c r="B563" s="11">
        <f>SUMIFS(Flux_detail!$K$2:$K$403,Flux_detail!$A$2:$A$403,A563)</f>
      </c>
      <c r="C563" s="11">
        <f>C562+B563</f>
      </c>
      <c r="D563" s="0" t="inlineStr">
        <is>
          <t xml:space="preserve">2025-07</t>
        </is>
      </c>
      <c r="E563" s="0" t="inlineStr">
        <is>
          <t xml:space="preserve">2025</t>
        </is>
      </c>
      <c r="F563" s="17">
        <v>0</v>
      </c>
      <c r="G563" s="18">
        <f>C563+F563</f>
      </c>
    </row>
    <row r="564">
      <c r="A564" s="7">
        <v>45851</v>
      </c>
      <c r="B564" s="11">
        <f>SUMIFS(Flux_detail!$K$2:$K$403,Flux_detail!$A$2:$A$403,A564)</f>
      </c>
      <c r="C564" s="11">
        <f>C563+B564</f>
      </c>
      <c r="D564" s="0" t="inlineStr">
        <is>
          <t xml:space="preserve">2025-07</t>
        </is>
      </c>
      <c r="E564" s="0" t="inlineStr">
        <is>
          <t xml:space="preserve">2025</t>
        </is>
      </c>
      <c r="F564" s="17">
        <v>0</v>
      </c>
      <c r="G564" s="18">
        <f>C564+F564</f>
      </c>
    </row>
    <row r="565">
      <c r="A565" s="7">
        <v>45852</v>
      </c>
      <c r="B565" s="11">
        <f>SUMIFS(Flux_detail!$K$2:$K$403,Flux_detail!$A$2:$A$403,A565)</f>
      </c>
      <c r="C565" s="11">
        <f>C564+B565</f>
      </c>
      <c r="D565" s="0" t="inlineStr">
        <is>
          <t xml:space="preserve">2025-07</t>
        </is>
      </c>
      <c r="E565" s="0" t="inlineStr">
        <is>
          <t xml:space="preserve">2025</t>
        </is>
      </c>
      <c r="F565" s="17">
        <v>0</v>
      </c>
      <c r="G565" s="18">
        <f>C565+F565</f>
      </c>
    </row>
    <row r="566">
      <c r="A566" s="7">
        <v>45853</v>
      </c>
      <c r="B566" s="11">
        <f>SUMIFS(Flux_detail!$K$2:$K$403,Flux_detail!$A$2:$A$403,A566)</f>
      </c>
      <c r="C566" s="11">
        <f>C565+B566</f>
      </c>
      <c r="D566" s="0" t="inlineStr">
        <is>
          <t xml:space="preserve">2025-07</t>
        </is>
      </c>
      <c r="E566" s="0" t="inlineStr">
        <is>
          <t xml:space="preserve">2025</t>
        </is>
      </c>
      <c r="F566" s="17">
        <v>0</v>
      </c>
      <c r="G566" s="18">
        <f>C566+F566</f>
      </c>
    </row>
    <row r="567">
      <c r="A567" s="7">
        <v>45854</v>
      </c>
      <c r="B567" s="11">
        <f>SUMIFS(Flux_detail!$K$2:$K$403,Flux_detail!$A$2:$A$403,A567)</f>
      </c>
      <c r="C567" s="11">
        <f>C566+B567</f>
      </c>
      <c r="D567" s="0" t="inlineStr">
        <is>
          <t xml:space="preserve">2025-07</t>
        </is>
      </c>
      <c r="E567" s="0" t="inlineStr">
        <is>
          <t xml:space="preserve">2025</t>
        </is>
      </c>
      <c r="F567" s="17">
        <v>0</v>
      </c>
      <c r="G567" s="18">
        <f>C567+F567</f>
      </c>
    </row>
    <row r="568">
      <c r="A568" s="7">
        <v>45855</v>
      </c>
      <c r="B568" s="11">
        <f>SUMIFS(Flux_detail!$K$2:$K$403,Flux_detail!$A$2:$A$403,A568)</f>
      </c>
      <c r="C568" s="11">
        <f>C567+B568</f>
      </c>
      <c r="D568" s="0" t="inlineStr">
        <is>
          <t xml:space="preserve">2025-07</t>
        </is>
      </c>
      <c r="E568" s="0" t="inlineStr">
        <is>
          <t xml:space="preserve">2025</t>
        </is>
      </c>
      <c r="F568" s="17">
        <v>0</v>
      </c>
      <c r="G568" s="18">
        <f>C568+F568</f>
      </c>
    </row>
    <row r="569">
      <c r="A569" s="7">
        <v>45856</v>
      </c>
      <c r="B569" s="11">
        <f>SUMIFS(Flux_detail!$K$2:$K$403,Flux_detail!$A$2:$A$403,A569)</f>
      </c>
      <c r="C569" s="11">
        <f>C568+B569</f>
      </c>
      <c r="D569" s="0" t="inlineStr">
        <is>
          <t xml:space="preserve">2025-07</t>
        </is>
      </c>
      <c r="E569" s="0" t="inlineStr">
        <is>
          <t xml:space="preserve">2025</t>
        </is>
      </c>
      <c r="F569" s="17">
        <v>0</v>
      </c>
      <c r="G569" s="18">
        <f>C569+F569</f>
      </c>
    </row>
    <row r="570">
      <c r="A570" s="7">
        <v>45857</v>
      </c>
      <c r="B570" s="11">
        <f>SUMIFS(Flux_detail!$K$2:$K$403,Flux_detail!$A$2:$A$403,A570)</f>
      </c>
      <c r="C570" s="11">
        <f>C569+B570</f>
      </c>
      <c r="D570" s="0" t="inlineStr">
        <is>
          <t xml:space="preserve">2025-07</t>
        </is>
      </c>
      <c r="E570" s="0" t="inlineStr">
        <is>
          <t xml:space="preserve">2025</t>
        </is>
      </c>
      <c r="F570" s="17">
        <v>0</v>
      </c>
      <c r="G570" s="18">
        <f>C570+F570</f>
      </c>
    </row>
    <row r="571">
      <c r="A571" s="7">
        <v>45858</v>
      </c>
      <c r="B571" s="11">
        <f>SUMIFS(Flux_detail!$K$2:$K$403,Flux_detail!$A$2:$A$403,A571)</f>
      </c>
      <c r="C571" s="11">
        <f>C570+B571</f>
      </c>
      <c r="D571" s="0" t="inlineStr">
        <is>
          <t xml:space="preserve">2025-07</t>
        </is>
      </c>
      <c r="E571" s="0" t="inlineStr">
        <is>
          <t xml:space="preserve">2025</t>
        </is>
      </c>
      <c r="F571" s="17">
        <v>0</v>
      </c>
      <c r="G571" s="18">
        <f>C571+F571</f>
      </c>
    </row>
    <row r="572">
      <c r="A572" s="7">
        <v>45859</v>
      </c>
      <c r="B572" s="11">
        <f>SUMIFS(Flux_detail!$K$2:$K$403,Flux_detail!$A$2:$A$403,A572)</f>
      </c>
      <c r="C572" s="11">
        <f>C571+B572</f>
      </c>
      <c r="D572" s="0" t="inlineStr">
        <is>
          <t xml:space="preserve">2025-07</t>
        </is>
      </c>
      <c r="E572" s="0" t="inlineStr">
        <is>
          <t xml:space="preserve">2025</t>
        </is>
      </c>
      <c r="F572" s="17">
        <v>0</v>
      </c>
      <c r="G572" s="18">
        <f>C572+F572</f>
      </c>
    </row>
    <row r="573">
      <c r="A573" s="7">
        <v>45860</v>
      </c>
      <c r="B573" s="11">
        <f>SUMIFS(Flux_detail!$K$2:$K$403,Flux_detail!$A$2:$A$403,A573)</f>
      </c>
      <c r="C573" s="11">
        <f>C572+B573</f>
      </c>
      <c r="D573" s="0" t="inlineStr">
        <is>
          <t xml:space="preserve">2025-07</t>
        </is>
      </c>
      <c r="E573" s="0" t="inlineStr">
        <is>
          <t xml:space="preserve">2025</t>
        </is>
      </c>
      <c r="F573" s="17">
        <v>0</v>
      </c>
      <c r="G573" s="18">
        <f>C573+F573</f>
      </c>
    </row>
    <row r="574">
      <c r="A574" s="7">
        <v>45861</v>
      </c>
      <c r="B574" s="11">
        <f>SUMIFS(Flux_detail!$K$2:$K$403,Flux_detail!$A$2:$A$403,A574)</f>
      </c>
      <c r="C574" s="11">
        <f>C573+B574</f>
      </c>
      <c r="D574" s="0" t="inlineStr">
        <is>
          <t xml:space="preserve">2025-07</t>
        </is>
      </c>
      <c r="E574" s="0" t="inlineStr">
        <is>
          <t xml:space="preserve">2025</t>
        </is>
      </c>
      <c r="F574" s="17">
        <v>0</v>
      </c>
      <c r="G574" s="18">
        <f>C574+F574</f>
      </c>
    </row>
    <row r="575">
      <c r="A575" s="7">
        <v>45862</v>
      </c>
      <c r="B575" s="11">
        <f>SUMIFS(Flux_detail!$K$2:$K$403,Flux_detail!$A$2:$A$403,A575)</f>
      </c>
      <c r="C575" s="11">
        <f>C574+B575</f>
      </c>
      <c r="D575" s="0" t="inlineStr">
        <is>
          <t xml:space="preserve">2025-07</t>
        </is>
      </c>
      <c r="E575" s="0" t="inlineStr">
        <is>
          <t xml:space="preserve">2025</t>
        </is>
      </c>
      <c r="F575" s="17">
        <v>0</v>
      </c>
      <c r="G575" s="18">
        <f>C575+F575</f>
      </c>
    </row>
    <row r="576">
      <c r="A576" s="7">
        <v>45863</v>
      </c>
      <c r="B576" s="11">
        <f>SUMIFS(Flux_detail!$K$2:$K$403,Flux_detail!$A$2:$A$403,A576)</f>
      </c>
      <c r="C576" s="11">
        <f>C575+B576</f>
      </c>
      <c r="D576" s="0" t="inlineStr">
        <is>
          <t xml:space="preserve">2025-07</t>
        </is>
      </c>
      <c r="E576" s="0" t="inlineStr">
        <is>
          <t xml:space="preserve">2025</t>
        </is>
      </c>
      <c r="F576" s="17">
        <v>0</v>
      </c>
      <c r="G576" s="18">
        <f>C576+F576</f>
      </c>
    </row>
    <row r="577">
      <c r="A577" s="7">
        <v>45864</v>
      </c>
      <c r="B577" s="11">
        <f>SUMIFS(Flux_detail!$K$2:$K$403,Flux_detail!$A$2:$A$403,A577)</f>
      </c>
      <c r="C577" s="11">
        <f>C576+B577</f>
      </c>
      <c r="D577" s="0" t="inlineStr">
        <is>
          <t xml:space="preserve">2025-07</t>
        </is>
      </c>
      <c r="E577" s="0" t="inlineStr">
        <is>
          <t xml:space="preserve">2025</t>
        </is>
      </c>
      <c r="F577" s="17">
        <v>0</v>
      </c>
      <c r="G577" s="18">
        <f>C577+F577</f>
      </c>
    </row>
    <row r="578">
      <c r="A578" s="7">
        <v>45865</v>
      </c>
      <c r="B578" s="11">
        <f>SUMIFS(Flux_detail!$K$2:$K$403,Flux_detail!$A$2:$A$403,A578)</f>
      </c>
      <c r="C578" s="11">
        <f>C577+B578</f>
      </c>
      <c r="D578" s="0" t="inlineStr">
        <is>
          <t xml:space="preserve">2025-07</t>
        </is>
      </c>
      <c r="E578" s="0" t="inlineStr">
        <is>
          <t xml:space="preserve">2025</t>
        </is>
      </c>
      <c r="F578" s="17">
        <v>0</v>
      </c>
      <c r="G578" s="18">
        <f>C578+F578</f>
      </c>
    </row>
    <row r="579">
      <c r="A579" s="7">
        <v>45866</v>
      </c>
      <c r="B579" s="11">
        <f>SUMIFS(Flux_detail!$K$2:$K$403,Flux_detail!$A$2:$A$403,A579)</f>
      </c>
      <c r="C579" s="11">
        <f>C578+B579</f>
      </c>
      <c r="D579" s="0" t="inlineStr">
        <is>
          <t xml:space="preserve">2025-07</t>
        </is>
      </c>
      <c r="E579" s="0" t="inlineStr">
        <is>
          <t xml:space="preserve">2025</t>
        </is>
      </c>
      <c r="F579" s="17">
        <v>0</v>
      </c>
      <c r="G579" s="18">
        <f>C579+F579</f>
      </c>
    </row>
    <row r="580">
      <c r="A580" s="7">
        <v>45867</v>
      </c>
      <c r="B580" s="11">
        <f>SUMIFS(Flux_detail!$K$2:$K$403,Flux_detail!$A$2:$A$403,A580)</f>
      </c>
      <c r="C580" s="11">
        <f>C579+B580</f>
      </c>
      <c r="D580" s="0" t="inlineStr">
        <is>
          <t xml:space="preserve">2025-07</t>
        </is>
      </c>
      <c r="E580" s="0" t="inlineStr">
        <is>
          <t xml:space="preserve">2025</t>
        </is>
      </c>
      <c r="F580" s="17">
        <v>0</v>
      </c>
      <c r="G580" s="18">
        <f>C580+F580</f>
      </c>
    </row>
    <row r="581">
      <c r="A581" s="7">
        <v>45868</v>
      </c>
      <c r="B581" s="11">
        <f>SUMIFS(Flux_detail!$K$2:$K$403,Flux_detail!$A$2:$A$403,A581)</f>
      </c>
      <c r="C581" s="11">
        <f>C580+B581</f>
      </c>
      <c r="D581" s="0" t="inlineStr">
        <is>
          <t xml:space="preserve">2025-07</t>
        </is>
      </c>
      <c r="E581" s="0" t="inlineStr">
        <is>
          <t xml:space="preserve">2025</t>
        </is>
      </c>
      <c r="F581" s="17">
        <v>0</v>
      </c>
      <c r="G581" s="18">
        <f>C581+F581</f>
      </c>
    </row>
    <row r="582">
      <c r="A582" s="7">
        <v>45869</v>
      </c>
      <c r="B582" s="11">
        <f>SUMIFS(Flux_detail!$K$2:$K$403,Flux_detail!$A$2:$A$403,A582)</f>
      </c>
      <c r="C582" s="11">
        <f>C581+B582</f>
      </c>
      <c r="D582" s="0" t="inlineStr">
        <is>
          <t xml:space="preserve">2025-07</t>
        </is>
      </c>
      <c r="E582" s="0" t="inlineStr">
        <is>
          <t xml:space="preserve">2025</t>
        </is>
      </c>
      <c r="F582" s="17">
        <v>0</v>
      </c>
      <c r="G582" s="18">
        <f>C582+F582</f>
      </c>
    </row>
    <row r="583">
      <c r="A583" s="7">
        <v>45870</v>
      </c>
      <c r="B583" s="11">
        <f>SUMIFS(Flux_detail!$K$2:$K$403,Flux_detail!$A$2:$A$403,A583)</f>
      </c>
      <c r="C583" s="11">
        <f>C582+B583</f>
      </c>
      <c r="D583" s="0" t="inlineStr">
        <is>
          <t xml:space="preserve">2025-08</t>
        </is>
      </c>
      <c r="E583" s="0" t="inlineStr">
        <is>
          <t xml:space="preserve">2025</t>
        </is>
      </c>
      <c r="F583" s="17">
        <v>0</v>
      </c>
      <c r="G583" s="18">
        <f>C583+F583</f>
      </c>
    </row>
    <row r="584">
      <c r="A584" s="7">
        <v>45871</v>
      </c>
      <c r="B584" s="11">
        <f>SUMIFS(Flux_detail!$K$2:$K$403,Flux_detail!$A$2:$A$403,A584)</f>
      </c>
      <c r="C584" s="11">
        <f>C583+B584</f>
      </c>
      <c r="D584" s="0" t="inlineStr">
        <is>
          <t xml:space="preserve">2025-08</t>
        </is>
      </c>
      <c r="E584" s="0" t="inlineStr">
        <is>
          <t xml:space="preserve">2025</t>
        </is>
      </c>
      <c r="F584" s="17">
        <v>0</v>
      </c>
      <c r="G584" s="18">
        <f>C584+F584</f>
      </c>
    </row>
    <row r="585">
      <c r="A585" s="7">
        <v>45872</v>
      </c>
      <c r="B585" s="11">
        <f>SUMIFS(Flux_detail!$K$2:$K$403,Flux_detail!$A$2:$A$403,A585)</f>
      </c>
      <c r="C585" s="11">
        <f>C584+B585</f>
      </c>
      <c r="D585" s="0" t="inlineStr">
        <is>
          <t xml:space="preserve">2025-08</t>
        </is>
      </c>
      <c r="E585" s="0" t="inlineStr">
        <is>
          <t xml:space="preserve">2025</t>
        </is>
      </c>
      <c r="F585" s="17">
        <v>0</v>
      </c>
      <c r="G585" s="18">
        <f>C585+F585</f>
      </c>
    </row>
    <row r="586">
      <c r="A586" s="7">
        <v>45873</v>
      </c>
      <c r="B586" s="11">
        <f>SUMIFS(Flux_detail!$K$2:$K$403,Flux_detail!$A$2:$A$403,A586)</f>
      </c>
      <c r="C586" s="11">
        <f>C585+B586</f>
      </c>
      <c r="D586" s="0" t="inlineStr">
        <is>
          <t xml:space="preserve">2025-08</t>
        </is>
      </c>
      <c r="E586" s="0" t="inlineStr">
        <is>
          <t xml:space="preserve">2025</t>
        </is>
      </c>
      <c r="F586" s="17">
        <v>0</v>
      </c>
      <c r="G586" s="18">
        <f>C586+F586</f>
      </c>
    </row>
    <row r="587">
      <c r="A587" s="7">
        <v>45874</v>
      </c>
      <c r="B587" s="11">
        <f>SUMIFS(Flux_detail!$K$2:$K$403,Flux_detail!$A$2:$A$403,A587)</f>
      </c>
      <c r="C587" s="11">
        <f>C586+B587</f>
      </c>
      <c r="D587" s="0" t="inlineStr">
        <is>
          <t xml:space="preserve">2025-08</t>
        </is>
      </c>
      <c r="E587" s="0" t="inlineStr">
        <is>
          <t xml:space="preserve">2025</t>
        </is>
      </c>
      <c r="F587" s="17">
        <v>0</v>
      </c>
      <c r="G587" s="18">
        <f>C587+F587</f>
      </c>
    </row>
    <row r="588">
      <c r="A588" s="7">
        <v>45875</v>
      </c>
      <c r="B588" s="11">
        <f>SUMIFS(Flux_detail!$K$2:$K$403,Flux_detail!$A$2:$A$403,A588)</f>
      </c>
      <c r="C588" s="11">
        <f>C587+B588</f>
      </c>
      <c r="D588" s="0" t="inlineStr">
        <is>
          <t xml:space="preserve">2025-08</t>
        </is>
      </c>
      <c r="E588" s="0" t="inlineStr">
        <is>
          <t xml:space="preserve">2025</t>
        </is>
      </c>
      <c r="F588" s="17">
        <v>0</v>
      </c>
      <c r="G588" s="18">
        <f>C588+F588</f>
      </c>
    </row>
    <row r="589">
      <c r="A589" s="7">
        <v>45876</v>
      </c>
      <c r="B589" s="11">
        <f>SUMIFS(Flux_detail!$K$2:$K$403,Flux_detail!$A$2:$A$403,A589)</f>
      </c>
      <c r="C589" s="11">
        <f>C588+B589</f>
      </c>
      <c r="D589" s="0" t="inlineStr">
        <is>
          <t xml:space="preserve">2025-08</t>
        </is>
      </c>
      <c r="E589" s="0" t="inlineStr">
        <is>
          <t xml:space="preserve">2025</t>
        </is>
      </c>
      <c r="F589" s="17">
        <v>0</v>
      </c>
      <c r="G589" s="18">
        <f>C589+F589</f>
      </c>
    </row>
    <row r="590">
      <c r="A590" s="7">
        <v>45877</v>
      </c>
      <c r="B590" s="11">
        <f>SUMIFS(Flux_detail!$K$2:$K$403,Flux_detail!$A$2:$A$403,A590)</f>
      </c>
      <c r="C590" s="11">
        <f>C589+B590</f>
      </c>
      <c r="D590" s="0" t="inlineStr">
        <is>
          <t xml:space="preserve">2025-08</t>
        </is>
      </c>
      <c r="E590" s="0" t="inlineStr">
        <is>
          <t xml:space="preserve">2025</t>
        </is>
      </c>
      <c r="F590" s="17">
        <v>0</v>
      </c>
      <c r="G590" s="18">
        <f>C590+F590</f>
      </c>
    </row>
    <row r="591">
      <c r="A591" s="7">
        <v>45878</v>
      </c>
      <c r="B591" s="11">
        <f>SUMIFS(Flux_detail!$K$2:$K$403,Flux_detail!$A$2:$A$403,A591)</f>
      </c>
      <c r="C591" s="11">
        <f>C590+B591</f>
      </c>
      <c r="D591" s="0" t="inlineStr">
        <is>
          <t xml:space="preserve">2025-08</t>
        </is>
      </c>
      <c r="E591" s="0" t="inlineStr">
        <is>
          <t xml:space="preserve">2025</t>
        </is>
      </c>
      <c r="F591" s="17">
        <v>0</v>
      </c>
      <c r="G591" s="18">
        <f>C591+F591</f>
      </c>
    </row>
    <row r="592">
      <c r="A592" s="7">
        <v>45879</v>
      </c>
      <c r="B592" s="11">
        <f>SUMIFS(Flux_detail!$K$2:$K$403,Flux_detail!$A$2:$A$403,A592)</f>
      </c>
      <c r="C592" s="11">
        <f>C591+B592</f>
      </c>
      <c r="D592" s="0" t="inlineStr">
        <is>
          <t xml:space="preserve">2025-08</t>
        </is>
      </c>
      <c r="E592" s="0" t="inlineStr">
        <is>
          <t xml:space="preserve">2025</t>
        </is>
      </c>
      <c r="F592" s="17">
        <v>0</v>
      </c>
      <c r="G592" s="18">
        <f>C592+F592</f>
      </c>
    </row>
    <row r="593">
      <c r="A593" s="7">
        <v>45880</v>
      </c>
      <c r="B593" s="11">
        <f>SUMIFS(Flux_detail!$K$2:$K$403,Flux_detail!$A$2:$A$403,A593)</f>
      </c>
      <c r="C593" s="11">
        <f>C592+B593</f>
      </c>
      <c r="D593" s="0" t="inlineStr">
        <is>
          <t xml:space="preserve">2025-08</t>
        </is>
      </c>
      <c r="E593" s="0" t="inlineStr">
        <is>
          <t xml:space="preserve">2025</t>
        </is>
      </c>
      <c r="F593" s="17">
        <v>0</v>
      </c>
      <c r="G593" s="18">
        <f>C593+F593</f>
      </c>
    </row>
    <row r="594">
      <c r="A594" s="7">
        <v>45881</v>
      </c>
      <c r="B594" s="11">
        <f>SUMIFS(Flux_detail!$K$2:$K$403,Flux_detail!$A$2:$A$403,A594)</f>
      </c>
      <c r="C594" s="11">
        <f>C593+B594</f>
      </c>
      <c r="D594" s="0" t="inlineStr">
        <is>
          <t xml:space="preserve">2025-08</t>
        </is>
      </c>
      <c r="E594" s="0" t="inlineStr">
        <is>
          <t xml:space="preserve">2025</t>
        </is>
      </c>
      <c r="F594" s="17">
        <v>0</v>
      </c>
      <c r="G594" s="18">
        <f>C594+F594</f>
      </c>
    </row>
    <row r="595">
      <c r="A595" s="7">
        <v>45882</v>
      </c>
      <c r="B595" s="11">
        <f>SUMIFS(Flux_detail!$K$2:$K$403,Flux_detail!$A$2:$A$403,A595)</f>
      </c>
      <c r="C595" s="11">
        <f>C594+B595</f>
      </c>
      <c r="D595" s="0" t="inlineStr">
        <is>
          <t xml:space="preserve">2025-08</t>
        </is>
      </c>
      <c r="E595" s="0" t="inlineStr">
        <is>
          <t xml:space="preserve">2025</t>
        </is>
      </c>
      <c r="F595" s="17">
        <v>0</v>
      </c>
      <c r="G595" s="18">
        <f>C595+F595</f>
      </c>
    </row>
    <row r="596">
      <c r="A596" s="7">
        <v>45883</v>
      </c>
      <c r="B596" s="11">
        <f>SUMIFS(Flux_detail!$K$2:$K$403,Flux_detail!$A$2:$A$403,A596)</f>
      </c>
      <c r="C596" s="11">
        <f>C595+B596</f>
      </c>
      <c r="D596" s="0" t="inlineStr">
        <is>
          <t xml:space="preserve">2025-08</t>
        </is>
      </c>
      <c r="E596" s="0" t="inlineStr">
        <is>
          <t xml:space="preserve">2025</t>
        </is>
      </c>
      <c r="F596" s="17">
        <v>0</v>
      </c>
      <c r="G596" s="18">
        <f>C596+F596</f>
      </c>
    </row>
    <row r="597">
      <c r="A597" s="7">
        <v>45884</v>
      </c>
      <c r="B597" s="11">
        <f>SUMIFS(Flux_detail!$K$2:$K$403,Flux_detail!$A$2:$A$403,A597)</f>
      </c>
      <c r="C597" s="11">
        <f>C596+B597</f>
      </c>
      <c r="D597" s="0" t="inlineStr">
        <is>
          <t xml:space="preserve">2025-08</t>
        </is>
      </c>
      <c r="E597" s="0" t="inlineStr">
        <is>
          <t xml:space="preserve">2025</t>
        </is>
      </c>
      <c r="F597" s="17">
        <v>0</v>
      </c>
      <c r="G597" s="18">
        <f>C597+F597</f>
      </c>
    </row>
    <row r="598">
      <c r="A598" s="7">
        <v>45885</v>
      </c>
      <c r="B598" s="11">
        <f>SUMIFS(Flux_detail!$K$2:$K$403,Flux_detail!$A$2:$A$403,A598)</f>
      </c>
      <c r="C598" s="11">
        <f>C597+B598</f>
      </c>
      <c r="D598" s="0" t="inlineStr">
        <is>
          <t xml:space="preserve">2025-08</t>
        </is>
      </c>
      <c r="E598" s="0" t="inlineStr">
        <is>
          <t xml:space="preserve">2025</t>
        </is>
      </c>
      <c r="F598" s="17">
        <v>0</v>
      </c>
      <c r="G598" s="18">
        <f>C598+F598</f>
      </c>
    </row>
    <row r="599">
      <c r="A599" s="7">
        <v>45886</v>
      </c>
      <c r="B599" s="11">
        <f>SUMIFS(Flux_detail!$K$2:$K$403,Flux_detail!$A$2:$A$403,A599)</f>
      </c>
      <c r="C599" s="11">
        <f>C598+B599</f>
      </c>
      <c r="D599" s="0" t="inlineStr">
        <is>
          <t xml:space="preserve">2025-08</t>
        </is>
      </c>
      <c r="E599" s="0" t="inlineStr">
        <is>
          <t xml:space="preserve">2025</t>
        </is>
      </c>
      <c r="F599" s="17">
        <v>0</v>
      </c>
      <c r="G599" s="18">
        <f>C599+F599</f>
      </c>
    </row>
    <row r="600">
      <c r="A600" s="7">
        <v>45887</v>
      </c>
      <c r="B600" s="11">
        <f>SUMIFS(Flux_detail!$K$2:$K$403,Flux_detail!$A$2:$A$403,A600)</f>
      </c>
      <c r="C600" s="11">
        <f>C599+B600</f>
      </c>
      <c r="D600" s="0" t="inlineStr">
        <is>
          <t xml:space="preserve">2025-08</t>
        </is>
      </c>
      <c r="E600" s="0" t="inlineStr">
        <is>
          <t xml:space="preserve">2025</t>
        </is>
      </c>
      <c r="F600" s="17">
        <v>0</v>
      </c>
      <c r="G600" s="18">
        <f>C600+F600</f>
      </c>
    </row>
    <row r="601">
      <c r="A601" s="7">
        <v>45888</v>
      </c>
      <c r="B601" s="11">
        <f>SUMIFS(Flux_detail!$K$2:$K$403,Flux_detail!$A$2:$A$403,A601)</f>
      </c>
      <c r="C601" s="11">
        <f>C600+B601</f>
      </c>
      <c r="D601" s="0" t="inlineStr">
        <is>
          <t xml:space="preserve">2025-08</t>
        </is>
      </c>
      <c r="E601" s="0" t="inlineStr">
        <is>
          <t xml:space="preserve">2025</t>
        </is>
      </c>
      <c r="F601" s="17">
        <v>0</v>
      </c>
      <c r="G601" s="18">
        <f>C601+F601</f>
      </c>
    </row>
    <row r="602">
      <c r="A602" s="7">
        <v>45889</v>
      </c>
      <c r="B602" s="11">
        <f>SUMIFS(Flux_detail!$K$2:$K$403,Flux_detail!$A$2:$A$403,A602)</f>
      </c>
      <c r="C602" s="11">
        <f>C601+B602</f>
      </c>
      <c r="D602" s="0" t="inlineStr">
        <is>
          <t xml:space="preserve">2025-08</t>
        </is>
      </c>
      <c r="E602" s="0" t="inlineStr">
        <is>
          <t xml:space="preserve">2025</t>
        </is>
      </c>
      <c r="F602" s="17">
        <v>0</v>
      </c>
      <c r="G602" s="18">
        <f>C602+F602</f>
      </c>
    </row>
    <row r="603">
      <c r="A603" s="7">
        <v>45890</v>
      </c>
      <c r="B603" s="11">
        <f>SUMIFS(Flux_detail!$K$2:$K$403,Flux_detail!$A$2:$A$403,A603)</f>
      </c>
      <c r="C603" s="11">
        <f>C602+B603</f>
      </c>
      <c r="D603" s="0" t="inlineStr">
        <is>
          <t xml:space="preserve">2025-08</t>
        </is>
      </c>
      <c r="E603" s="0" t="inlineStr">
        <is>
          <t xml:space="preserve">2025</t>
        </is>
      </c>
      <c r="F603" s="17">
        <v>0</v>
      </c>
      <c r="G603" s="18">
        <f>C603+F603</f>
      </c>
    </row>
    <row r="604">
      <c r="A604" s="7">
        <v>45891</v>
      </c>
      <c r="B604" s="11">
        <f>SUMIFS(Flux_detail!$K$2:$K$403,Flux_detail!$A$2:$A$403,A604)</f>
      </c>
      <c r="C604" s="11">
        <f>C603+B604</f>
      </c>
      <c r="D604" s="0" t="inlineStr">
        <is>
          <t xml:space="preserve">2025-08</t>
        </is>
      </c>
      <c r="E604" s="0" t="inlineStr">
        <is>
          <t xml:space="preserve">2025</t>
        </is>
      </c>
      <c r="F604" s="17">
        <v>0</v>
      </c>
      <c r="G604" s="18">
        <f>C604+F604</f>
      </c>
    </row>
    <row r="605">
      <c r="A605" s="7">
        <v>45892</v>
      </c>
      <c r="B605" s="11">
        <f>SUMIFS(Flux_detail!$K$2:$K$403,Flux_detail!$A$2:$A$403,A605)</f>
      </c>
      <c r="C605" s="11">
        <f>C604+B605</f>
      </c>
      <c r="D605" s="0" t="inlineStr">
        <is>
          <t xml:space="preserve">2025-08</t>
        </is>
      </c>
      <c r="E605" s="0" t="inlineStr">
        <is>
          <t xml:space="preserve">2025</t>
        </is>
      </c>
      <c r="F605" s="17">
        <v>0</v>
      </c>
      <c r="G605" s="18">
        <f>C605+F605</f>
      </c>
    </row>
    <row r="606">
      <c r="A606" s="7">
        <v>45893</v>
      </c>
      <c r="B606" s="11">
        <f>SUMIFS(Flux_detail!$K$2:$K$403,Flux_detail!$A$2:$A$403,A606)</f>
      </c>
      <c r="C606" s="11">
        <f>C605+B606</f>
      </c>
      <c r="D606" s="0" t="inlineStr">
        <is>
          <t xml:space="preserve">2025-08</t>
        </is>
      </c>
      <c r="E606" s="0" t="inlineStr">
        <is>
          <t xml:space="preserve">2025</t>
        </is>
      </c>
      <c r="F606" s="17">
        <v>0</v>
      </c>
      <c r="G606" s="18">
        <f>C606+F606</f>
      </c>
    </row>
    <row r="607">
      <c r="A607" s="7">
        <v>45894</v>
      </c>
      <c r="B607" s="11">
        <f>SUMIFS(Flux_detail!$K$2:$K$403,Flux_detail!$A$2:$A$403,A607)</f>
      </c>
      <c r="C607" s="11">
        <f>C606+B607</f>
      </c>
      <c r="D607" s="0" t="inlineStr">
        <is>
          <t xml:space="preserve">2025-08</t>
        </is>
      </c>
      <c r="E607" s="0" t="inlineStr">
        <is>
          <t xml:space="preserve">2025</t>
        </is>
      </c>
      <c r="F607" s="17">
        <v>0</v>
      </c>
      <c r="G607" s="18">
        <f>C607+F607</f>
      </c>
    </row>
    <row r="608">
      <c r="A608" s="7">
        <v>45895</v>
      </c>
      <c r="B608" s="11">
        <f>SUMIFS(Flux_detail!$K$2:$K$403,Flux_detail!$A$2:$A$403,A608)</f>
      </c>
      <c r="C608" s="11">
        <f>C607+B608</f>
      </c>
      <c r="D608" s="0" t="inlineStr">
        <is>
          <t xml:space="preserve">2025-08</t>
        </is>
      </c>
      <c r="E608" s="0" t="inlineStr">
        <is>
          <t xml:space="preserve">2025</t>
        </is>
      </c>
      <c r="F608" s="17">
        <v>0</v>
      </c>
      <c r="G608" s="18">
        <f>C608+F608</f>
      </c>
    </row>
    <row r="609">
      <c r="A609" s="7">
        <v>45896</v>
      </c>
      <c r="B609" s="11">
        <f>SUMIFS(Flux_detail!$K$2:$K$403,Flux_detail!$A$2:$A$403,A609)</f>
      </c>
      <c r="C609" s="11">
        <f>C608+B609</f>
      </c>
      <c r="D609" s="0" t="inlineStr">
        <is>
          <t xml:space="preserve">2025-08</t>
        </is>
      </c>
      <c r="E609" s="0" t="inlineStr">
        <is>
          <t xml:space="preserve">2025</t>
        </is>
      </c>
      <c r="F609" s="17">
        <v>0</v>
      </c>
      <c r="G609" s="18">
        <f>C609+F609</f>
      </c>
    </row>
    <row r="610">
      <c r="A610" s="7">
        <v>45897</v>
      </c>
      <c r="B610" s="11">
        <f>SUMIFS(Flux_detail!$K$2:$K$403,Flux_detail!$A$2:$A$403,A610)</f>
      </c>
      <c r="C610" s="11">
        <f>C609+B610</f>
      </c>
      <c r="D610" s="0" t="inlineStr">
        <is>
          <t xml:space="preserve">2025-08</t>
        </is>
      </c>
      <c r="E610" s="0" t="inlineStr">
        <is>
          <t xml:space="preserve">2025</t>
        </is>
      </c>
      <c r="F610" s="17">
        <v>0</v>
      </c>
      <c r="G610" s="18">
        <f>C610+F610</f>
      </c>
    </row>
    <row r="611">
      <c r="A611" s="7">
        <v>45898</v>
      </c>
      <c r="B611" s="11">
        <f>SUMIFS(Flux_detail!$K$2:$K$403,Flux_detail!$A$2:$A$403,A611)</f>
      </c>
      <c r="C611" s="11">
        <f>C610+B611</f>
      </c>
      <c r="D611" s="0" t="inlineStr">
        <is>
          <t xml:space="preserve">2025-08</t>
        </is>
      </c>
      <c r="E611" s="0" t="inlineStr">
        <is>
          <t xml:space="preserve">2025</t>
        </is>
      </c>
      <c r="F611" s="17">
        <v>0</v>
      </c>
      <c r="G611" s="18">
        <f>C611+F611</f>
      </c>
    </row>
    <row r="612">
      <c r="A612" s="7">
        <v>45899</v>
      </c>
      <c r="B612" s="11">
        <f>SUMIFS(Flux_detail!$K$2:$K$403,Flux_detail!$A$2:$A$403,A612)</f>
      </c>
      <c r="C612" s="11">
        <f>C611+B612</f>
      </c>
      <c r="D612" s="0" t="inlineStr">
        <is>
          <t xml:space="preserve">2025-08</t>
        </is>
      </c>
      <c r="E612" s="0" t="inlineStr">
        <is>
          <t xml:space="preserve">2025</t>
        </is>
      </c>
      <c r="F612" s="17">
        <v>0</v>
      </c>
      <c r="G612" s="18">
        <f>C612+F612</f>
      </c>
    </row>
    <row r="613">
      <c r="A613" s="7">
        <v>45900</v>
      </c>
      <c r="B613" s="11">
        <f>SUMIFS(Flux_detail!$K$2:$K$403,Flux_detail!$A$2:$A$403,A613)</f>
      </c>
      <c r="C613" s="11">
        <f>C612+B613</f>
      </c>
      <c r="D613" s="0" t="inlineStr">
        <is>
          <t xml:space="preserve">2025-08</t>
        </is>
      </c>
      <c r="E613" s="0" t="inlineStr">
        <is>
          <t xml:space="preserve">2025</t>
        </is>
      </c>
      <c r="F613" s="17">
        <v>0</v>
      </c>
      <c r="G613" s="18">
        <f>C613+F613</f>
      </c>
    </row>
    <row r="614">
      <c r="A614" s="7">
        <v>45901</v>
      </c>
      <c r="B614" s="11">
        <f>SUMIFS(Flux_detail!$K$2:$K$403,Flux_detail!$A$2:$A$403,A614)</f>
      </c>
      <c r="C614" s="11">
        <f>C613+B614</f>
      </c>
      <c r="D614" s="0" t="inlineStr">
        <is>
          <t xml:space="preserve">2025-09</t>
        </is>
      </c>
      <c r="E614" s="0" t="inlineStr">
        <is>
          <t xml:space="preserve">2025</t>
        </is>
      </c>
      <c r="F614" s="17">
        <v>0</v>
      </c>
      <c r="G614" s="18">
        <f>C614+F614</f>
      </c>
    </row>
    <row r="615">
      <c r="A615" s="7">
        <v>45902</v>
      </c>
      <c r="B615" s="11">
        <f>SUMIFS(Flux_detail!$K$2:$K$403,Flux_detail!$A$2:$A$403,A615)</f>
      </c>
      <c r="C615" s="11">
        <f>C614+B615</f>
      </c>
      <c r="D615" s="0" t="inlineStr">
        <is>
          <t xml:space="preserve">2025-09</t>
        </is>
      </c>
      <c r="E615" s="0" t="inlineStr">
        <is>
          <t xml:space="preserve">2025</t>
        </is>
      </c>
      <c r="F615" s="17">
        <v>0</v>
      </c>
      <c r="G615" s="18">
        <f>C615+F615</f>
      </c>
    </row>
    <row r="616">
      <c r="A616" s="7">
        <v>45903</v>
      </c>
      <c r="B616" s="11">
        <f>SUMIFS(Flux_detail!$K$2:$K$403,Flux_detail!$A$2:$A$403,A616)</f>
      </c>
      <c r="C616" s="11">
        <f>C615+B616</f>
      </c>
      <c r="D616" s="0" t="inlineStr">
        <is>
          <t xml:space="preserve">2025-09</t>
        </is>
      </c>
      <c r="E616" s="0" t="inlineStr">
        <is>
          <t xml:space="preserve">2025</t>
        </is>
      </c>
      <c r="F616" s="17">
        <v>0</v>
      </c>
      <c r="G616" s="18">
        <f>C616+F616</f>
      </c>
    </row>
    <row r="617">
      <c r="A617" s="7">
        <v>45904</v>
      </c>
      <c r="B617" s="11">
        <f>SUMIFS(Flux_detail!$K$2:$K$403,Flux_detail!$A$2:$A$403,A617)</f>
      </c>
      <c r="C617" s="11">
        <f>C616+B617</f>
      </c>
      <c r="D617" s="0" t="inlineStr">
        <is>
          <t xml:space="preserve">2025-09</t>
        </is>
      </c>
      <c r="E617" s="0" t="inlineStr">
        <is>
          <t xml:space="preserve">2025</t>
        </is>
      </c>
      <c r="F617" s="17">
        <v>0</v>
      </c>
      <c r="G617" s="18">
        <f>C617+F617</f>
      </c>
    </row>
    <row r="618">
      <c r="A618" s="7">
        <v>45905</v>
      </c>
      <c r="B618" s="11">
        <f>SUMIFS(Flux_detail!$K$2:$K$403,Flux_detail!$A$2:$A$403,A618)</f>
      </c>
      <c r="C618" s="11">
        <f>C617+B618</f>
      </c>
      <c r="D618" s="0" t="inlineStr">
        <is>
          <t xml:space="preserve">2025-09</t>
        </is>
      </c>
      <c r="E618" s="0" t="inlineStr">
        <is>
          <t xml:space="preserve">2025</t>
        </is>
      </c>
      <c r="F618" s="17">
        <v>0</v>
      </c>
      <c r="G618" s="18">
        <f>C618+F618</f>
      </c>
    </row>
    <row r="619">
      <c r="A619" s="7">
        <v>45906</v>
      </c>
      <c r="B619" s="11">
        <f>SUMIFS(Flux_detail!$K$2:$K$403,Flux_detail!$A$2:$A$403,A619)</f>
      </c>
      <c r="C619" s="11">
        <f>C618+B619</f>
      </c>
      <c r="D619" s="0" t="inlineStr">
        <is>
          <t xml:space="preserve">2025-09</t>
        </is>
      </c>
      <c r="E619" s="0" t="inlineStr">
        <is>
          <t xml:space="preserve">2025</t>
        </is>
      </c>
      <c r="F619" s="17">
        <v>0</v>
      </c>
      <c r="G619" s="18">
        <f>C619+F619</f>
      </c>
    </row>
    <row r="620">
      <c r="A620" s="7">
        <v>45907</v>
      </c>
      <c r="B620" s="11">
        <f>SUMIFS(Flux_detail!$K$2:$K$403,Flux_detail!$A$2:$A$403,A620)</f>
      </c>
      <c r="C620" s="11">
        <f>C619+B620</f>
      </c>
      <c r="D620" s="0" t="inlineStr">
        <is>
          <t xml:space="preserve">2025-09</t>
        </is>
      </c>
      <c r="E620" s="0" t="inlineStr">
        <is>
          <t xml:space="preserve">2025</t>
        </is>
      </c>
      <c r="F620" s="17">
        <v>0</v>
      </c>
      <c r="G620" s="18">
        <f>C620+F620</f>
      </c>
    </row>
    <row r="621">
      <c r="A621" s="7">
        <v>45908</v>
      </c>
      <c r="B621" s="11">
        <f>SUMIFS(Flux_detail!$K$2:$K$403,Flux_detail!$A$2:$A$403,A621)</f>
      </c>
      <c r="C621" s="11">
        <f>C620+B621</f>
      </c>
      <c r="D621" s="0" t="inlineStr">
        <is>
          <t xml:space="preserve">2025-09</t>
        </is>
      </c>
      <c r="E621" s="0" t="inlineStr">
        <is>
          <t xml:space="preserve">2025</t>
        </is>
      </c>
      <c r="F621" s="17">
        <v>0</v>
      </c>
      <c r="G621" s="18">
        <f>C621+F621</f>
      </c>
    </row>
    <row r="622">
      <c r="A622" s="7">
        <v>45909</v>
      </c>
      <c r="B622" s="11">
        <f>SUMIFS(Flux_detail!$K$2:$K$403,Flux_detail!$A$2:$A$403,A622)</f>
      </c>
      <c r="C622" s="11">
        <f>C621+B622</f>
      </c>
      <c r="D622" s="0" t="inlineStr">
        <is>
          <t xml:space="preserve">2025-09</t>
        </is>
      </c>
      <c r="E622" s="0" t="inlineStr">
        <is>
          <t xml:space="preserve">2025</t>
        </is>
      </c>
      <c r="F622" s="17">
        <v>0</v>
      </c>
      <c r="G622" s="18">
        <f>C622+F622</f>
      </c>
    </row>
    <row r="623">
      <c r="A623" s="7">
        <v>45910</v>
      </c>
      <c r="B623" s="11">
        <f>SUMIFS(Flux_detail!$K$2:$K$403,Flux_detail!$A$2:$A$403,A623)</f>
      </c>
      <c r="C623" s="11">
        <f>C622+B623</f>
      </c>
      <c r="D623" s="0" t="inlineStr">
        <is>
          <t xml:space="preserve">2025-09</t>
        </is>
      </c>
      <c r="E623" s="0" t="inlineStr">
        <is>
          <t xml:space="preserve">2025</t>
        </is>
      </c>
      <c r="F623" s="17">
        <v>0</v>
      </c>
      <c r="G623" s="18">
        <f>C623+F623</f>
      </c>
    </row>
    <row r="624">
      <c r="A624" s="7">
        <v>45911</v>
      </c>
      <c r="B624" s="11">
        <f>SUMIFS(Flux_detail!$K$2:$K$403,Flux_detail!$A$2:$A$403,A624)</f>
      </c>
      <c r="C624" s="11">
        <f>C623+B624</f>
      </c>
      <c r="D624" s="0" t="inlineStr">
        <is>
          <t xml:space="preserve">2025-09</t>
        </is>
      </c>
      <c r="E624" s="0" t="inlineStr">
        <is>
          <t xml:space="preserve">2025</t>
        </is>
      </c>
      <c r="F624" s="17">
        <v>0</v>
      </c>
      <c r="G624" s="18">
        <f>C624+F624</f>
      </c>
    </row>
    <row r="625">
      <c r="A625" s="7">
        <v>45912</v>
      </c>
      <c r="B625" s="11">
        <f>SUMIFS(Flux_detail!$K$2:$K$403,Flux_detail!$A$2:$A$403,A625)</f>
      </c>
      <c r="C625" s="11">
        <f>C624+B625</f>
      </c>
      <c r="D625" s="0" t="inlineStr">
        <is>
          <t xml:space="preserve">2025-09</t>
        </is>
      </c>
      <c r="E625" s="0" t="inlineStr">
        <is>
          <t xml:space="preserve">2025</t>
        </is>
      </c>
      <c r="F625" s="17">
        <v>0</v>
      </c>
      <c r="G625" s="18">
        <f>C625+F625</f>
      </c>
    </row>
    <row r="626">
      <c r="A626" s="7">
        <v>45913</v>
      </c>
      <c r="B626" s="11">
        <f>SUMIFS(Flux_detail!$K$2:$K$403,Flux_detail!$A$2:$A$403,A626)</f>
      </c>
      <c r="C626" s="11">
        <f>C625+B626</f>
      </c>
      <c r="D626" s="0" t="inlineStr">
        <is>
          <t xml:space="preserve">2025-09</t>
        </is>
      </c>
      <c r="E626" s="0" t="inlineStr">
        <is>
          <t xml:space="preserve">2025</t>
        </is>
      </c>
      <c r="F626" s="17">
        <v>0</v>
      </c>
      <c r="G626" s="18">
        <f>C626+F626</f>
      </c>
    </row>
    <row r="627">
      <c r="A627" s="7">
        <v>45914</v>
      </c>
      <c r="B627" s="11">
        <f>SUMIFS(Flux_detail!$K$2:$K$403,Flux_detail!$A$2:$A$403,A627)</f>
      </c>
      <c r="C627" s="11">
        <f>C626+B627</f>
      </c>
      <c r="D627" s="0" t="inlineStr">
        <is>
          <t xml:space="preserve">2025-09</t>
        </is>
      </c>
      <c r="E627" s="0" t="inlineStr">
        <is>
          <t xml:space="preserve">2025</t>
        </is>
      </c>
      <c r="F627" s="17">
        <v>0</v>
      </c>
      <c r="G627" s="18">
        <f>C627+F627</f>
      </c>
    </row>
    <row r="628">
      <c r="A628" s="7">
        <v>45915</v>
      </c>
      <c r="B628" s="11">
        <f>SUMIFS(Flux_detail!$K$2:$K$403,Flux_detail!$A$2:$A$403,A628)</f>
      </c>
      <c r="C628" s="11">
        <f>C627+B628</f>
      </c>
      <c r="D628" s="0" t="inlineStr">
        <is>
          <t xml:space="preserve">2025-09</t>
        </is>
      </c>
      <c r="E628" s="0" t="inlineStr">
        <is>
          <t xml:space="preserve">2025</t>
        </is>
      </c>
      <c r="F628" s="17">
        <v>0</v>
      </c>
      <c r="G628" s="18">
        <f>C628+F628</f>
      </c>
    </row>
    <row r="629">
      <c r="A629" s="7">
        <v>45916</v>
      </c>
      <c r="B629" s="11">
        <f>SUMIFS(Flux_detail!$K$2:$K$403,Flux_detail!$A$2:$A$403,A629)</f>
      </c>
      <c r="C629" s="11">
        <f>C628+B629</f>
      </c>
      <c r="D629" s="0" t="inlineStr">
        <is>
          <t xml:space="preserve">2025-09</t>
        </is>
      </c>
      <c r="E629" s="0" t="inlineStr">
        <is>
          <t xml:space="preserve">2025</t>
        </is>
      </c>
      <c r="F629" s="17">
        <v>0</v>
      </c>
      <c r="G629" s="18">
        <f>C629+F629</f>
      </c>
    </row>
    <row r="630">
      <c r="A630" s="7">
        <v>45917</v>
      </c>
      <c r="B630" s="11">
        <f>SUMIFS(Flux_detail!$K$2:$K$403,Flux_detail!$A$2:$A$403,A630)</f>
      </c>
      <c r="C630" s="11">
        <f>C629+B630</f>
      </c>
      <c r="D630" s="0" t="inlineStr">
        <is>
          <t xml:space="preserve">2025-09</t>
        </is>
      </c>
      <c r="E630" s="0" t="inlineStr">
        <is>
          <t xml:space="preserve">2025</t>
        </is>
      </c>
      <c r="F630" s="17">
        <v>0</v>
      </c>
      <c r="G630" s="18">
        <f>C630+F630</f>
      </c>
    </row>
    <row r="631">
      <c r="A631" s="7">
        <v>45918</v>
      </c>
      <c r="B631" s="11">
        <f>SUMIFS(Flux_detail!$K$2:$K$403,Flux_detail!$A$2:$A$403,A631)</f>
      </c>
      <c r="C631" s="11">
        <f>C630+B631</f>
      </c>
      <c r="D631" s="0" t="inlineStr">
        <is>
          <t xml:space="preserve">2025-09</t>
        </is>
      </c>
      <c r="E631" s="0" t="inlineStr">
        <is>
          <t xml:space="preserve">2025</t>
        </is>
      </c>
      <c r="F631" s="17">
        <v>0</v>
      </c>
      <c r="G631" s="18">
        <f>C631+F631</f>
      </c>
    </row>
    <row r="632">
      <c r="A632" s="7">
        <v>45919</v>
      </c>
      <c r="B632" s="11">
        <f>SUMIFS(Flux_detail!$K$2:$K$403,Flux_detail!$A$2:$A$403,A632)</f>
      </c>
      <c r="C632" s="11">
        <f>C631+B632</f>
      </c>
      <c r="D632" s="0" t="inlineStr">
        <is>
          <t xml:space="preserve">2025-09</t>
        </is>
      </c>
      <c r="E632" s="0" t="inlineStr">
        <is>
          <t xml:space="preserve">2025</t>
        </is>
      </c>
      <c r="F632" s="17">
        <v>0</v>
      </c>
      <c r="G632" s="18">
        <f>C632+F632</f>
      </c>
    </row>
    <row r="633">
      <c r="A633" s="7">
        <v>45920</v>
      </c>
      <c r="B633" s="11">
        <f>SUMIFS(Flux_detail!$K$2:$K$403,Flux_detail!$A$2:$A$403,A633)</f>
      </c>
      <c r="C633" s="11">
        <f>C632+B633</f>
      </c>
      <c r="D633" s="0" t="inlineStr">
        <is>
          <t xml:space="preserve">2025-09</t>
        </is>
      </c>
      <c r="E633" s="0" t="inlineStr">
        <is>
          <t xml:space="preserve">2025</t>
        </is>
      </c>
      <c r="F633" s="17">
        <v>0</v>
      </c>
      <c r="G633" s="18">
        <f>C633+F633</f>
      </c>
    </row>
    <row r="634">
      <c r="A634" s="7">
        <v>45921</v>
      </c>
      <c r="B634" s="11">
        <f>SUMIFS(Flux_detail!$K$2:$K$403,Flux_detail!$A$2:$A$403,A634)</f>
      </c>
      <c r="C634" s="11">
        <f>C633+B634</f>
      </c>
      <c r="D634" s="0" t="inlineStr">
        <is>
          <t xml:space="preserve">2025-09</t>
        </is>
      </c>
      <c r="E634" s="0" t="inlineStr">
        <is>
          <t xml:space="preserve">2025</t>
        </is>
      </c>
      <c r="F634" s="17">
        <v>0</v>
      </c>
      <c r="G634" s="18">
        <f>C634+F634</f>
      </c>
    </row>
    <row r="635">
      <c r="A635" s="7">
        <v>45922</v>
      </c>
      <c r="B635" s="11">
        <f>SUMIFS(Flux_detail!$K$2:$K$403,Flux_detail!$A$2:$A$403,A635)</f>
      </c>
      <c r="C635" s="11">
        <f>C634+B635</f>
      </c>
      <c r="D635" s="0" t="inlineStr">
        <is>
          <t xml:space="preserve">2025-09</t>
        </is>
      </c>
      <c r="E635" s="0" t="inlineStr">
        <is>
          <t xml:space="preserve">2025</t>
        </is>
      </c>
      <c r="F635" s="17">
        <v>0</v>
      </c>
      <c r="G635" s="18">
        <f>C635+F635</f>
      </c>
    </row>
    <row r="636">
      <c r="A636" s="7">
        <v>45923</v>
      </c>
      <c r="B636" s="11">
        <f>SUMIFS(Flux_detail!$K$2:$K$403,Flux_detail!$A$2:$A$403,A636)</f>
      </c>
      <c r="C636" s="11">
        <f>C635+B636</f>
      </c>
      <c r="D636" s="0" t="inlineStr">
        <is>
          <t xml:space="preserve">2025-09</t>
        </is>
      </c>
      <c r="E636" s="0" t="inlineStr">
        <is>
          <t xml:space="preserve">2025</t>
        </is>
      </c>
      <c r="F636" s="17">
        <v>0</v>
      </c>
      <c r="G636" s="18">
        <f>C636+F636</f>
      </c>
    </row>
    <row r="637">
      <c r="A637" s="7">
        <v>45924</v>
      </c>
      <c r="B637" s="11">
        <f>SUMIFS(Flux_detail!$K$2:$K$403,Flux_detail!$A$2:$A$403,A637)</f>
      </c>
      <c r="C637" s="11">
        <f>C636+B637</f>
      </c>
      <c r="D637" s="0" t="inlineStr">
        <is>
          <t xml:space="preserve">2025-09</t>
        </is>
      </c>
      <c r="E637" s="0" t="inlineStr">
        <is>
          <t xml:space="preserve">2025</t>
        </is>
      </c>
      <c r="F637" s="17">
        <v>0</v>
      </c>
      <c r="G637" s="18">
        <f>C637+F637</f>
      </c>
    </row>
    <row r="638">
      <c r="A638" s="7">
        <v>45925</v>
      </c>
      <c r="B638" s="11">
        <f>SUMIFS(Flux_detail!$K$2:$K$403,Flux_detail!$A$2:$A$403,A638)</f>
      </c>
      <c r="C638" s="11">
        <f>C637+B638</f>
      </c>
      <c r="D638" s="0" t="inlineStr">
        <is>
          <t xml:space="preserve">2025-09</t>
        </is>
      </c>
      <c r="E638" s="0" t="inlineStr">
        <is>
          <t xml:space="preserve">2025</t>
        </is>
      </c>
      <c r="F638" s="17">
        <v>0</v>
      </c>
      <c r="G638" s="18">
        <f>C638+F638</f>
      </c>
    </row>
    <row r="639">
      <c r="A639" s="7">
        <v>45926</v>
      </c>
      <c r="B639" s="11">
        <f>SUMIFS(Flux_detail!$K$2:$K$403,Flux_detail!$A$2:$A$403,A639)</f>
      </c>
      <c r="C639" s="11">
        <f>C638+B639</f>
      </c>
      <c r="D639" s="0" t="inlineStr">
        <is>
          <t xml:space="preserve">2025-09</t>
        </is>
      </c>
      <c r="E639" s="0" t="inlineStr">
        <is>
          <t xml:space="preserve">2025</t>
        </is>
      </c>
      <c r="F639" s="17">
        <v>0</v>
      </c>
      <c r="G639" s="18">
        <f>C639+F639</f>
      </c>
    </row>
    <row r="640">
      <c r="A640" s="7">
        <v>45927</v>
      </c>
      <c r="B640" s="11">
        <f>SUMIFS(Flux_detail!$K$2:$K$403,Flux_detail!$A$2:$A$403,A640)</f>
      </c>
      <c r="C640" s="11">
        <f>C639+B640</f>
      </c>
      <c r="D640" s="0" t="inlineStr">
        <is>
          <t xml:space="preserve">2025-09</t>
        </is>
      </c>
      <c r="E640" s="0" t="inlineStr">
        <is>
          <t xml:space="preserve">2025</t>
        </is>
      </c>
      <c r="F640" s="17">
        <v>0</v>
      </c>
      <c r="G640" s="18">
        <f>C640+F640</f>
      </c>
    </row>
    <row r="641">
      <c r="A641" s="7">
        <v>45928</v>
      </c>
      <c r="B641" s="11">
        <f>SUMIFS(Flux_detail!$K$2:$K$403,Flux_detail!$A$2:$A$403,A641)</f>
      </c>
      <c r="C641" s="11">
        <f>C640+B641</f>
      </c>
      <c r="D641" s="0" t="inlineStr">
        <is>
          <t xml:space="preserve">2025-09</t>
        </is>
      </c>
      <c r="E641" s="0" t="inlineStr">
        <is>
          <t xml:space="preserve">2025</t>
        </is>
      </c>
      <c r="F641" s="17">
        <v>0</v>
      </c>
      <c r="G641" s="18">
        <f>C641+F641</f>
      </c>
    </row>
    <row r="642">
      <c r="A642" s="7">
        <v>45929</v>
      </c>
      <c r="B642" s="11">
        <f>SUMIFS(Flux_detail!$K$2:$K$403,Flux_detail!$A$2:$A$403,A642)</f>
      </c>
      <c r="C642" s="11">
        <f>C641+B642</f>
      </c>
      <c r="D642" s="0" t="inlineStr">
        <is>
          <t xml:space="preserve">2025-09</t>
        </is>
      </c>
      <c r="E642" s="0" t="inlineStr">
        <is>
          <t xml:space="preserve">2025</t>
        </is>
      </c>
      <c r="F642" s="17">
        <v>0</v>
      </c>
      <c r="G642" s="18">
        <f>C642+F642</f>
      </c>
    </row>
    <row r="643">
      <c r="A643" s="7">
        <v>45930</v>
      </c>
      <c r="B643" s="11">
        <f>SUMIFS(Flux_detail!$K$2:$K$403,Flux_detail!$A$2:$A$403,A643)</f>
      </c>
      <c r="C643" s="11">
        <f>C642+B643</f>
      </c>
      <c r="D643" s="0" t="inlineStr">
        <is>
          <t xml:space="preserve">2025-09</t>
        </is>
      </c>
      <c r="E643" s="0" t="inlineStr">
        <is>
          <t xml:space="preserve">2025</t>
        </is>
      </c>
      <c r="F643" s="17">
        <v>0</v>
      </c>
      <c r="G643" s="18">
        <f>C643+F643</f>
      </c>
    </row>
    <row r="644">
      <c r="A644" s="7">
        <v>45931</v>
      </c>
      <c r="B644" s="11">
        <f>SUMIFS(Flux_detail!$K$2:$K$403,Flux_detail!$A$2:$A$403,A644)</f>
      </c>
      <c r="C644" s="11">
        <f>C643+B644</f>
      </c>
      <c r="D644" s="0" t="inlineStr">
        <is>
          <t xml:space="preserve">2025-10</t>
        </is>
      </c>
      <c r="E644" s="0" t="inlineStr">
        <is>
          <t xml:space="preserve">2025</t>
        </is>
      </c>
      <c r="F644" s="17">
        <v>0</v>
      </c>
      <c r="G644" s="18">
        <f>C644+F644</f>
      </c>
    </row>
    <row r="645">
      <c r="A645" s="7">
        <v>45932</v>
      </c>
      <c r="B645" s="11">
        <f>SUMIFS(Flux_detail!$K$2:$K$403,Flux_detail!$A$2:$A$403,A645)</f>
      </c>
      <c r="C645" s="11">
        <f>C644+B645</f>
      </c>
      <c r="D645" s="0" t="inlineStr">
        <is>
          <t xml:space="preserve">2025-10</t>
        </is>
      </c>
      <c r="E645" s="0" t="inlineStr">
        <is>
          <t xml:space="preserve">2025</t>
        </is>
      </c>
      <c r="F645" s="17">
        <v>0</v>
      </c>
      <c r="G645" s="18">
        <f>C645+F645</f>
      </c>
    </row>
    <row r="646">
      <c r="A646" s="7">
        <v>45933</v>
      </c>
      <c r="B646" s="11">
        <f>SUMIFS(Flux_detail!$K$2:$K$403,Flux_detail!$A$2:$A$403,A646)</f>
      </c>
      <c r="C646" s="11">
        <f>C645+B646</f>
      </c>
      <c r="D646" s="0" t="inlineStr">
        <is>
          <t xml:space="preserve">2025-10</t>
        </is>
      </c>
      <c r="E646" s="0" t="inlineStr">
        <is>
          <t xml:space="preserve">2025</t>
        </is>
      </c>
      <c r="F646" s="17">
        <v>0</v>
      </c>
      <c r="G646" s="18">
        <f>C646+F646</f>
      </c>
    </row>
    <row r="647">
      <c r="A647" s="7">
        <v>45934</v>
      </c>
      <c r="B647" s="11">
        <f>SUMIFS(Flux_detail!$K$2:$K$403,Flux_detail!$A$2:$A$403,A647)</f>
      </c>
      <c r="C647" s="11">
        <f>C646+B647</f>
      </c>
      <c r="D647" s="0" t="inlineStr">
        <is>
          <t xml:space="preserve">2025-10</t>
        </is>
      </c>
      <c r="E647" s="0" t="inlineStr">
        <is>
          <t xml:space="preserve">2025</t>
        </is>
      </c>
      <c r="F647" s="17">
        <v>0</v>
      </c>
      <c r="G647" s="18">
        <f>C647+F647</f>
      </c>
    </row>
    <row r="648">
      <c r="A648" s="7">
        <v>45935</v>
      </c>
      <c r="B648" s="11">
        <f>SUMIFS(Flux_detail!$K$2:$K$403,Flux_detail!$A$2:$A$403,A648)</f>
      </c>
      <c r="C648" s="11">
        <f>C647+B648</f>
      </c>
      <c r="D648" s="0" t="inlineStr">
        <is>
          <t xml:space="preserve">2025-10</t>
        </is>
      </c>
      <c r="E648" s="0" t="inlineStr">
        <is>
          <t xml:space="preserve">2025</t>
        </is>
      </c>
      <c r="F648" s="17">
        <v>0</v>
      </c>
      <c r="G648" s="18">
        <f>C648+F648</f>
      </c>
    </row>
    <row r="649">
      <c r="A649" s="7">
        <v>45936</v>
      </c>
      <c r="B649" s="11">
        <f>SUMIFS(Flux_detail!$K$2:$K$403,Flux_detail!$A$2:$A$403,A649)</f>
      </c>
      <c r="C649" s="11">
        <f>C648+B649</f>
      </c>
      <c r="D649" s="0" t="inlineStr">
        <is>
          <t xml:space="preserve">2025-10</t>
        </is>
      </c>
      <c r="E649" s="0" t="inlineStr">
        <is>
          <t xml:space="preserve">2025</t>
        </is>
      </c>
      <c r="F649" s="17">
        <v>0</v>
      </c>
      <c r="G649" s="18">
        <f>C649+F649</f>
      </c>
    </row>
    <row r="650">
      <c r="A650" s="7">
        <v>45937</v>
      </c>
      <c r="B650" s="11">
        <f>SUMIFS(Flux_detail!$K$2:$K$403,Flux_detail!$A$2:$A$403,A650)</f>
      </c>
      <c r="C650" s="11">
        <f>C649+B650</f>
      </c>
      <c r="D650" s="0" t="inlineStr">
        <is>
          <t xml:space="preserve">2025-10</t>
        </is>
      </c>
      <c r="E650" s="0" t="inlineStr">
        <is>
          <t xml:space="preserve">2025</t>
        </is>
      </c>
      <c r="F650" s="17">
        <v>0</v>
      </c>
      <c r="G650" s="18">
        <f>C650+F650</f>
      </c>
    </row>
    <row r="651">
      <c r="A651" s="7">
        <v>45938</v>
      </c>
      <c r="B651" s="11">
        <f>SUMIFS(Flux_detail!$K$2:$K$403,Flux_detail!$A$2:$A$403,A651)</f>
      </c>
      <c r="C651" s="11">
        <f>C650+B651</f>
      </c>
      <c r="D651" s="0" t="inlineStr">
        <is>
          <t xml:space="preserve">2025-10</t>
        </is>
      </c>
      <c r="E651" s="0" t="inlineStr">
        <is>
          <t xml:space="preserve">2025</t>
        </is>
      </c>
      <c r="F651" s="17">
        <v>0</v>
      </c>
      <c r="G651" s="18">
        <f>C651+F651</f>
      </c>
    </row>
    <row r="652">
      <c r="A652" s="7">
        <v>45939</v>
      </c>
      <c r="B652" s="11">
        <f>SUMIFS(Flux_detail!$K$2:$K$403,Flux_detail!$A$2:$A$403,A652)</f>
      </c>
      <c r="C652" s="11">
        <f>C651+B652</f>
      </c>
      <c r="D652" s="0" t="inlineStr">
        <is>
          <t xml:space="preserve">2025-10</t>
        </is>
      </c>
      <c r="E652" s="0" t="inlineStr">
        <is>
          <t xml:space="preserve">2025</t>
        </is>
      </c>
      <c r="F652" s="17">
        <v>0</v>
      </c>
      <c r="G652" s="18">
        <f>C652+F652</f>
      </c>
    </row>
    <row r="653">
      <c r="A653" s="7">
        <v>45940</v>
      </c>
      <c r="B653" s="11">
        <f>SUMIFS(Flux_detail!$K$2:$K$403,Flux_detail!$A$2:$A$403,A653)</f>
      </c>
      <c r="C653" s="11">
        <f>C652+B653</f>
      </c>
      <c r="D653" s="0" t="inlineStr">
        <is>
          <t xml:space="preserve">2025-10</t>
        </is>
      </c>
      <c r="E653" s="0" t="inlineStr">
        <is>
          <t xml:space="preserve">2025</t>
        </is>
      </c>
      <c r="F653" s="17">
        <v>0</v>
      </c>
      <c r="G653" s="18">
        <f>C653+F653</f>
      </c>
    </row>
    <row r="654">
      <c r="A654" s="7">
        <v>45941</v>
      </c>
      <c r="B654" s="11">
        <f>SUMIFS(Flux_detail!$K$2:$K$403,Flux_detail!$A$2:$A$403,A654)</f>
      </c>
      <c r="C654" s="11">
        <f>C653+B654</f>
      </c>
      <c r="D654" s="0" t="inlineStr">
        <is>
          <t xml:space="preserve">2025-10</t>
        </is>
      </c>
      <c r="E654" s="0" t="inlineStr">
        <is>
          <t xml:space="preserve">2025</t>
        </is>
      </c>
      <c r="F654" s="17">
        <v>0</v>
      </c>
      <c r="G654" s="18">
        <f>C654+F654</f>
      </c>
    </row>
    <row r="655">
      <c r="A655" s="7">
        <v>45942</v>
      </c>
      <c r="B655" s="11">
        <f>SUMIFS(Flux_detail!$K$2:$K$403,Flux_detail!$A$2:$A$403,A655)</f>
      </c>
      <c r="C655" s="11">
        <f>C654+B655</f>
      </c>
      <c r="D655" s="0" t="inlineStr">
        <is>
          <t xml:space="preserve">2025-10</t>
        </is>
      </c>
      <c r="E655" s="0" t="inlineStr">
        <is>
          <t xml:space="preserve">2025</t>
        </is>
      </c>
      <c r="F655" s="17">
        <v>0</v>
      </c>
      <c r="G655" s="18">
        <f>C655+F655</f>
      </c>
    </row>
    <row r="656">
      <c r="A656" s="7">
        <v>45943</v>
      </c>
      <c r="B656" s="11">
        <f>SUMIFS(Flux_detail!$K$2:$K$403,Flux_detail!$A$2:$A$403,A656)</f>
      </c>
      <c r="C656" s="11">
        <f>C655+B656</f>
      </c>
      <c r="D656" s="0" t="inlineStr">
        <is>
          <t xml:space="preserve">2025-10</t>
        </is>
      </c>
      <c r="E656" s="0" t="inlineStr">
        <is>
          <t xml:space="preserve">2025</t>
        </is>
      </c>
      <c r="F656" s="17">
        <v>0</v>
      </c>
      <c r="G656" s="18">
        <f>C656+F656</f>
      </c>
    </row>
    <row r="657">
      <c r="A657" s="7">
        <v>45944</v>
      </c>
      <c r="B657" s="11">
        <f>SUMIFS(Flux_detail!$K$2:$K$403,Flux_detail!$A$2:$A$403,A657)</f>
      </c>
      <c r="C657" s="11">
        <f>C656+B657</f>
      </c>
      <c r="D657" s="0" t="inlineStr">
        <is>
          <t xml:space="preserve">2025-10</t>
        </is>
      </c>
      <c r="E657" s="0" t="inlineStr">
        <is>
          <t xml:space="preserve">2025</t>
        </is>
      </c>
      <c r="F657" s="17">
        <v>0</v>
      </c>
      <c r="G657" s="18">
        <f>C657+F657</f>
      </c>
    </row>
    <row r="658">
      <c r="A658" s="7">
        <v>45945</v>
      </c>
      <c r="B658" s="11">
        <f>SUMIFS(Flux_detail!$K$2:$K$403,Flux_detail!$A$2:$A$403,A658)</f>
      </c>
      <c r="C658" s="11">
        <f>C657+B658</f>
      </c>
      <c r="D658" s="0" t="inlineStr">
        <is>
          <t xml:space="preserve">2025-10</t>
        </is>
      </c>
      <c r="E658" s="0" t="inlineStr">
        <is>
          <t xml:space="preserve">2025</t>
        </is>
      </c>
      <c r="F658" s="17">
        <v>0</v>
      </c>
      <c r="G658" s="18">
        <f>C658+F658</f>
      </c>
    </row>
    <row r="659">
      <c r="A659" s="7">
        <v>45946</v>
      </c>
      <c r="B659" s="11">
        <f>SUMIFS(Flux_detail!$K$2:$K$403,Flux_detail!$A$2:$A$403,A659)</f>
      </c>
      <c r="C659" s="11">
        <f>C658+B659</f>
      </c>
      <c r="D659" s="0" t="inlineStr">
        <is>
          <t xml:space="preserve">2025-10</t>
        </is>
      </c>
      <c r="E659" s="0" t="inlineStr">
        <is>
          <t xml:space="preserve">2025</t>
        </is>
      </c>
      <c r="F659" s="17">
        <v>0</v>
      </c>
      <c r="G659" s="18">
        <f>C659+F659</f>
      </c>
    </row>
    <row r="660">
      <c r="A660" s="7">
        <v>45947</v>
      </c>
      <c r="B660" s="11">
        <f>SUMIFS(Flux_detail!$K$2:$K$403,Flux_detail!$A$2:$A$403,A660)</f>
      </c>
      <c r="C660" s="11">
        <f>C659+B660</f>
      </c>
      <c r="D660" s="0" t="inlineStr">
        <is>
          <t xml:space="preserve">2025-10</t>
        </is>
      </c>
      <c r="E660" s="0" t="inlineStr">
        <is>
          <t xml:space="preserve">2025</t>
        </is>
      </c>
      <c r="F660" s="17">
        <v>0</v>
      </c>
      <c r="G660" s="18">
        <f>C660+F660</f>
      </c>
    </row>
    <row r="661">
      <c r="A661" s="7">
        <v>45948</v>
      </c>
      <c r="B661" s="11">
        <f>SUMIFS(Flux_detail!$K$2:$K$403,Flux_detail!$A$2:$A$403,A661)</f>
      </c>
      <c r="C661" s="11">
        <f>C660+B661</f>
      </c>
      <c r="D661" s="0" t="inlineStr">
        <is>
          <t xml:space="preserve">2025-10</t>
        </is>
      </c>
      <c r="E661" s="0" t="inlineStr">
        <is>
          <t xml:space="preserve">2025</t>
        </is>
      </c>
      <c r="F661" s="17">
        <v>0</v>
      </c>
      <c r="G661" s="18">
        <f>C661+F661</f>
      </c>
    </row>
    <row r="662">
      <c r="A662" s="7">
        <v>45949</v>
      </c>
      <c r="B662" s="11">
        <f>SUMIFS(Flux_detail!$K$2:$K$403,Flux_detail!$A$2:$A$403,A662)</f>
      </c>
      <c r="C662" s="11">
        <f>C661+B662</f>
      </c>
      <c r="D662" s="0" t="inlineStr">
        <is>
          <t xml:space="preserve">2025-10</t>
        </is>
      </c>
      <c r="E662" s="0" t="inlineStr">
        <is>
          <t xml:space="preserve">2025</t>
        </is>
      </c>
      <c r="F662" s="17">
        <v>0</v>
      </c>
      <c r="G662" s="18">
        <f>C662+F662</f>
      </c>
    </row>
    <row r="663">
      <c r="A663" s="7">
        <v>45950</v>
      </c>
      <c r="B663" s="11">
        <f>SUMIFS(Flux_detail!$K$2:$K$403,Flux_detail!$A$2:$A$403,A663)</f>
      </c>
      <c r="C663" s="11">
        <f>C662+B663</f>
      </c>
      <c r="D663" s="0" t="inlineStr">
        <is>
          <t xml:space="preserve">2025-10</t>
        </is>
      </c>
      <c r="E663" s="0" t="inlineStr">
        <is>
          <t xml:space="preserve">2025</t>
        </is>
      </c>
      <c r="F663" s="17">
        <v>0</v>
      </c>
      <c r="G663" s="18">
        <f>C663+F663</f>
      </c>
    </row>
    <row r="664">
      <c r="A664" s="7">
        <v>45951</v>
      </c>
      <c r="B664" s="11">
        <f>SUMIFS(Flux_detail!$K$2:$K$403,Flux_detail!$A$2:$A$403,A664)</f>
      </c>
      <c r="C664" s="11">
        <f>C663+B664</f>
      </c>
      <c r="D664" s="0" t="inlineStr">
        <is>
          <t xml:space="preserve">2025-10</t>
        </is>
      </c>
      <c r="E664" s="0" t="inlineStr">
        <is>
          <t xml:space="preserve">2025</t>
        </is>
      </c>
      <c r="F664" s="17">
        <v>0</v>
      </c>
      <c r="G664" s="18">
        <f>C664+F664</f>
      </c>
    </row>
    <row r="665">
      <c r="A665" s="7">
        <v>45952</v>
      </c>
      <c r="B665" s="11">
        <f>SUMIFS(Flux_detail!$K$2:$K$403,Flux_detail!$A$2:$A$403,A665)</f>
      </c>
      <c r="C665" s="11">
        <f>C664+B665</f>
      </c>
      <c r="D665" s="0" t="inlineStr">
        <is>
          <t xml:space="preserve">2025-10</t>
        </is>
      </c>
      <c r="E665" s="0" t="inlineStr">
        <is>
          <t xml:space="preserve">2025</t>
        </is>
      </c>
      <c r="F665" s="17">
        <v>0</v>
      </c>
      <c r="G665" s="18">
        <f>C665+F665</f>
      </c>
    </row>
    <row r="666">
      <c r="A666" s="7">
        <v>45953</v>
      </c>
      <c r="B666" s="11">
        <f>SUMIFS(Flux_detail!$K$2:$K$403,Flux_detail!$A$2:$A$403,A666)</f>
      </c>
      <c r="C666" s="11">
        <f>C665+B666</f>
      </c>
      <c r="D666" s="0" t="inlineStr">
        <is>
          <t xml:space="preserve">2025-10</t>
        </is>
      </c>
      <c r="E666" s="0" t="inlineStr">
        <is>
          <t xml:space="preserve">2025</t>
        </is>
      </c>
      <c r="F666" s="17">
        <v>0</v>
      </c>
      <c r="G666" s="18">
        <f>C666+F666</f>
      </c>
    </row>
    <row r="667">
      <c r="A667" s="7">
        <v>45954</v>
      </c>
      <c r="B667" s="11">
        <f>SUMIFS(Flux_detail!$K$2:$K$403,Flux_detail!$A$2:$A$403,A667)</f>
      </c>
      <c r="C667" s="11">
        <f>C666+B667</f>
      </c>
      <c r="D667" s="0" t="inlineStr">
        <is>
          <t xml:space="preserve">2025-10</t>
        </is>
      </c>
      <c r="E667" s="0" t="inlineStr">
        <is>
          <t xml:space="preserve">2025</t>
        </is>
      </c>
      <c r="F667" s="17">
        <v>0</v>
      </c>
      <c r="G667" s="18">
        <f>C667+F667</f>
      </c>
    </row>
    <row r="668">
      <c r="A668" s="7">
        <v>45955</v>
      </c>
      <c r="B668" s="11">
        <f>SUMIFS(Flux_detail!$K$2:$K$403,Flux_detail!$A$2:$A$403,A668)</f>
      </c>
      <c r="C668" s="11">
        <f>C667+B668</f>
      </c>
      <c r="D668" s="0" t="inlineStr">
        <is>
          <t xml:space="preserve">2025-10</t>
        </is>
      </c>
      <c r="E668" s="0" t="inlineStr">
        <is>
          <t xml:space="preserve">2025</t>
        </is>
      </c>
      <c r="F668" s="17">
        <v>0</v>
      </c>
      <c r="G668" s="18">
        <f>C668+F668</f>
      </c>
    </row>
    <row r="669">
      <c r="A669" s="7">
        <v>45956</v>
      </c>
      <c r="B669" s="11">
        <f>SUMIFS(Flux_detail!$K$2:$K$403,Flux_detail!$A$2:$A$403,A669)</f>
      </c>
      <c r="C669" s="11">
        <f>C668+B669</f>
      </c>
      <c r="D669" s="0" t="inlineStr">
        <is>
          <t xml:space="preserve">2025-10</t>
        </is>
      </c>
      <c r="E669" s="0" t="inlineStr">
        <is>
          <t xml:space="preserve">2025</t>
        </is>
      </c>
      <c r="F669" s="17">
        <v>0</v>
      </c>
      <c r="G669" s="18">
        <f>C669+F669</f>
      </c>
    </row>
    <row r="670">
      <c r="A670" s="7">
        <v>45957</v>
      </c>
      <c r="B670" s="11">
        <f>SUMIFS(Flux_detail!$K$2:$K$403,Flux_detail!$A$2:$A$403,A670)</f>
      </c>
      <c r="C670" s="11">
        <f>C669+B670</f>
      </c>
      <c r="D670" s="0" t="inlineStr">
        <is>
          <t xml:space="preserve">2025-10</t>
        </is>
      </c>
      <c r="E670" s="0" t="inlineStr">
        <is>
          <t xml:space="preserve">2025</t>
        </is>
      </c>
      <c r="F670" s="17">
        <v>0</v>
      </c>
      <c r="G670" s="18">
        <f>C670+F670</f>
      </c>
    </row>
    <row r="671">
      <c r="A671" s="7">
        <v>45958</v>
      </c>
      <c r="B671" s="11">
        <f>SUMIFS(Flux_detail!$K$2:$K$403,Flux_detail!$A$2:$A$403,A671)</f>
      </c>
      <c r="C671" s="11">
        <f>C670+B671</f>
      </c>
      <c r="D671" s="0" t="inlineStr">
        <is>
          <t xml:space="preserve">2025-10</t>
        </is>
      </c>
      <c r="E671" s="0" t="inlineStr">
        <is>
          <t xml:space="preserve">2025</t>
        </is>
      </c>
      <c r="F671" s="17">
        <v>0</v>
      </c>
      <c r="G671" s="18">
        <f>C671+F671</f>
      </c>
    </row>
    <row r="672">
      <c r="A672" s="7">
        <v>45959</v>
      </c>
      <c r="B672" s="11">
        <f>SUMIFS(Flux_detail!$K$2:$K$403,Flux_detail!$A$2:$A$403,A672)</f>
      </c>
      <c r="C672" s="11">
        <f>C671+B672</f>
      </c>
      <c r="D672" s="0" t="inlineStr">
        <is>
          <t xml:space="preserve">2025-10</t>
        </is>
      </c>
      <c r="E672" s="0" t="inlineStr">
        <is>
          <t xml:space="preserve">2025</t>
        </is>
      </c>
      <c r="F672" s="17">
        <v>0</v>
      </c>
      <c r="G672" s="18">
        <f>C672+F672</f>
      </c>
    </row>
    <row r="673">
      <c r="A673" s="7">
        <v>45960</v>
      </c>
      <c r="B673" s="11">
        <f>SUMIFS(Flux_detail!$K$2:$K$403,Flux_detail!$A$2:$A$403,A673)</f>
      </c>
      <c r="C673" s="11">
        <f>C672+B673</f>
      </c>
      <c r="D673" s="0" t="inlineStr">
        <is>
          <t xml:space="preserve">2025-10</t>
        </is>
      </c>
      <c r="E673" s="0" t="inlineStr">
        <is>
          <t xml:space="preserve">2025</t>
        </is>
      </c>
      <c r="F673" s="17">
        <v>0</v>
      </c>
      <c r="G673" s="18">
        <f>C673+F673</f>
      </c>
    </row>
    <row r="674">
      <c r="A674" s="7">
        <v>45961</v>
      </c>
      <c r="B674" s="11">
        <f>SUMIFS(Flux_detail!$K$2:$K$403,Flux_detail!$A$2:$A$403,A674)</f>
      </c>
      <c r="C674" s="11">
        <f>C673+B674</f>
      </c>
      <c r="D674" s="0" t="inlineStr">
        <is>
          <t xml:space="preserve">2025-10</t>
        </is>
      </c>
      <c r="E674" s="0" t="inlineStr">
        <is>
          <t xml:space="preserve">2025</t>
        </is>
      </c>
      <c r="F674" s="17">
        <v>0</v>
      </c>
      <c r="G674" s="18">
        <f>C674+F674</f>
      </c>
    </row>
    <row r="675">
      <c r="A675" s="7">
        <v>45962</v>
      </c>
      <c r="B675" s="11">
        <f>SUMIFS(Flux_detail!$K$2:$K$403,Flux_detail!$A$2:$A$403,A675)</f>
      </c>
      <c r="C675" s="11">
        <f>C674+B675</f>
      </c>
      <c r="D675" s="0" t="inlineStr">
        <is>
          <t xml:space="preserve">2025-11</t>
        </is>
      </c>
      <c r="E675" s="0" t="inlineStr">
        <is>
          <t xml:space="preserve">2025</t>
        </is>
      </c>
      <c r="F675" s="17">
        <v>0</v>
      </c>
      <c r="G675" s="18">
        <f>C675+F675</f>
      </c>
    </row>
    <row r="676">
      <c r="A676" s="7">
        <v>45963</v>
      </c>
      <c r="B676" s="11">
        <f>SUMIFS(Flux_detail!$K$2:$K$403,Flux_detail!$A$2:$A$403,A676)</f>
      </c>
      <c r="C676" s="11">
        <f>C675+B676</f>
      </c>
      <c r="D676" s="0" t="inlineStr">
        <is>
          <t xml:space="preserve">2025-11</t>
        </is>
      </c>
      <c r="E676" s="0" t="inlineStr">
        <is>
          <t xml:space="preserve">2025</t>
        </is>
      </c>
      <c r="F676" s="17">
        <v>0</v>
      </c>
      <c r="G676" s="18">
        <f>C676+F676</f>
      </c>
    </row>
    <row r="677">
      <c r="A677" s="7">
        <v>45964</v>
      </c>
      <c r="B677" s="11">
        <f>SUMIFS(Flux_detail!$K$2:$K$403,Flux_detail!$A$2:$A$403,A677)</f>
      </c>
      <c r="C677" s="11">
        <f>C676+B677</f>
      </c>
      <c r="D677" s="0" t="inlineStr">
        <is>
          <t xml:space="preserve">2025-11</t>
        </is>
      </c>
      <c r="E677" s="0" t="inlineStr">
        <is>
          <t xml:space="preserve">2025</t>
        </is>
      </c>
      <c r="F677" s="17">
        <v>0</v>
      </c>
      <c r="G677" s="18">
        <f>C677+F677</f>
      </c>
    </row>
    <row r="678">
      <c r="A678" s="7">
        <v>45965</v>
      </c>
      <c r="B678" s="11">
        <f>SUMIFS(Flux_detail!$K$2:$K$403,Flux_detail!$A$2:$A$403,A678)</f>
      </c>
      <c r="C678" s="11">
        <f>C677+B678</f>
      </c>
      <c r="D678" s="0" t="inlineStr">
        <is>
          <t xml:space="preserve">2025-11</t>
        </is>
      </c>
      <c r="E678" s="0" t="inlineStr">
        <is>
          <t xml:space="preserve">2025</t>
        </is>
      </c>
      <c r="F678" s="17">
        <v>0</v>
      </c>
      <c r="G678" s="18">
        <f>C678+F678</f>
      </c>
    </row>
    <row r="679">
      <c r="A679" s="7">
        <v>45966</v>
      </c>
      <c r="B679" s="11">
        <f>SUMIFS(Flux_detail!$K$2:$K$403,Flux_detail!$A$2:$A$403,A679)</f>
      </c>
      <c r="C679" s="11">
        <f>C678+B679</f>
      </c>
      <c r="D679" s="0" t="inlineStr">
        <is>
          <t xml:space="preserve">2025-11</t>
        </is>
      </c>
      <c r="E679" s="0" t="inlineStr">
        <is>
          <t xml:space="preserve">2025</t>
        </is>
      </c>
      <c r="F679" s="17">
        <v>0</v>
      </c>
      <c r="G679" s="18">
        <f>C679+F679</f>
      </c>
    </row>
    <row r="680">
      <c r="A680" s="7">
        <v>45967</v>
      </c>
      <c r="B680" s="11">
        <f>SUMIFS(Flux_detail!$K$2:$K$403,Flux_detail!$A$2:$A$403,A680)</f>
      </c>
      <c r="C680" s="11">
        <f>C679+B680</f>
      </c>
      <c r="D680" s="0" t="inlineStr">
        <is>
          <t xml:space="preserve">2025-11</t>
        </is>
      </c>
      <c r="E680" s="0" t="inlineStr">
        <is>
          <t xml:space="preserve">2025</t>
        </is>
      </c>
      <c r="F680" s="17">
        <v>0</v>
      </c>
      <c r="G680" s="18">
        <f>C680+F680</f>
      </c>
    </row>
    <row r="681">
      <c r="A681" s="7">
        <v>45968</v>
      </c>
      <c r="B681" s="11">
        <f>SUMIFS(Flux_detail!$K$2:$K$403,Flux_detail!$A$2:$A$403,A681)</f>
      </c>
      <c r="C681" s="11">
        <f>C680+B681</f>
      </c>
      <c r="D681" s="0" t="inlineStr">
        <is>
          <t xml:space="preserve">2025-11</t>
        </is>
      </c>
      <c r="E681" s="0" t="inlineStr">
        <is>
          <t xml:space="preserve">2025</t>
        </is>
      </c>
      <c r="F681" s="17">
        <v>0</v>
      </c>
      <c r="G681" s="18">
        <f>C681+F681</f>
      </c>
    </row>
    <row r="682">
      <c r="A682" s="7">
        <v>45969</v>
      </c>
      <c r="B682" s="11">
        <f>SUMIFS(Flux_detail!$K$2:$K$403,Flux_detail!$A$2:$A$403,A682)</f>
      </c>
      <c r="C682" s="11">
        <f>C681+B682</f>
      </c>
      <c r="D682" s="0" t="inlineStr">
        <is>
          <t xml:space="preserve">2025-11</t>
        </is>
      </c>
      <c r="E682" s="0" t="inlineStr">
        <is>
          <t xml:space="preserve">2025</t>
        </is>
      </c>
      <c r="F682" s="17">
        <v>0</v>
      </c>
      <c r="G682" s="18">
        <f>C682+F682</f>
      </c>
    </row>
    <row r="683">
      <c r="A683" s="7">
        <v>45970</v>
      </c>
      <c r="B683" s="11">
        <f>SUMIFS(Flux_detail!$K$2:$K$403,Flux_detail!$A$2:$A$403,A683)</f>
      </c>
      <c r="C683" s="11">
        <f>C682+B683</f>
      </c>
      <c r="D683" s="0" t="inlineStr">
        <is>
          <t xml:space="preserve">2025-11</t>
        </is>
      </c>
      <c r="E683" s="0" t="inlineStr">
        <is>
          <t xml:space="preserve">2025</t>
        </is>
      </c>
      <c r="F683" s="17">
        <v>0</v>
      </c>
      <c r="G683" s="18">
        <f>C683+F683</f>
      </c>
    </row>
    <row r="684">
      <c r="A684" s="7">
        <v>45971</v>
      </c>
      <c r="B684" s="11">
        <f>SUMIFS(Flux_detail!$K$2:$K$403,Flux_detail!$A$2:$A$403,A684)</f>
      </c>
      <c r="C684" s="11">
        <f>C683+B684</f>
      </c>
      <c r="D684" s="0" t="inlineStr">
        <is>
          <t xml:space="preserve">2025-11</t>
        </is>
      </c>
      <c r="E684" s="0" t="inlineStr">
        <is>
          <t xml:space="preserve">2025</t>
        </is>
      </c>
      <c r="F684" s="17">
        <v>0</v>
      </c>
      <c r="G684" s="18">
        <f>C684+F684</f>
      </c>
    </row>
    <row r="685">
      <c r="A685" s="7">
        <v>45972</v>
      </c>
      <c r="B685" s="11">
        <f>SUMIFS(Flux_detail!$K$2:$K$403,Flux_detail!$A$2:$A$403,A685)</f>
      </c>
      <c r="C685" s="11">
        <f>C684+B685</f>
      </c>
      <c r="D685" s="0" t="inlineStr">
        <is>
          <t xml:space="preserve">2025-11</t>
        </is>
      </c>
      <c r="E685" s="0" t="inlineStr">
        <is>
          <t xml:space="preserve">2025</t>
        </is>
      </c>
      <c r="F685" s="17">
        <v>0</v>
      </c>
      <c r="G685" s="18">
        <f>C685+F685</f>
      </c>
    </row>
    <row r="686">
      <c r="A686" s="7">
        <v>45973</v>
      </c>
      <c r="B686" s="11">
        <f>SUMIFS(Flux_detail!$K$2:$K$403,Flux_detail!$A$2:$A$403,A686)</f>
      </c>
      <c r="C686" s="11">
        <f>C685+B686</f>
      </c>
      <c r="D686" s="0" t="inlineStr">
        <is>
          <t xml:space="preserve">2025-11</t>
        </is>
      </c>
      <c r="E686" s="0" t="inlineStr">
        <is>
          <t xml:space="preserve">2025</t>
        </is>
      </c>
      <c r="F686" s="17">
        <v>0</v>
      </c>
      <c r="G686" s="18">
        <f>C686+F686</f>
      </c>
    </row>
    <row r="687">
      <c r="A687" s="7">
        <v>45974</v>
      </c>
      <c r="B687" s="11">
        <f>SUMIFS(Flux_detail!$K$2:$K$403,Flux_detail!$A$2:$A$403,A687)</f>
      </c>
      <c r="C687" s="11">
        <f>C686+B687</f>
      </c>
      <c r="D687" s="0" t="inlineStr">
        <is>
          <t xml:space="preserve">2025-11</t>
        </is>
      </c>
      <c r="E687" s="0" t="inlineStr">
        <is>
          <t xml:space="preserve">2025</t>
        </is>
      </c>
      <c r="F687" s="17">
        <v>0</v>
      </c>
      <c r="G687" s="18">
        <f>C687+F687</f>
      </c>
    </row>
    <row r="688">
      <c r="A688" s="7">
        <v>45975</v>
      </c>
      <c r="B688" s="11">
        <f>SUMIFS(Flux_detail!$K$2:$K$403,Flux_detail!$A$2:$A$403,A688)</f>
      </c>
      <c r="C688" s="11">
        <f>C687+B688</f>
      </c>
      <c r="D688" s="0" t="inlineStr">
        <is>
          <t xml:space="preserve">2025-11</t>
        </is>
      </c>
      <c r="E688" s="0" t="inlineStr">
        <is>
          <t xml:space="preserve">2025</t>
        </is>
      </c>
      <c r="F688" s="17">
        <v>0</v>
      </c>
      <c r="G688" s="18">
        <f>C688+F688</f>
      </c>
    </row>
    <row r="689">
      <c r="A689" s="7">
        <v>45976</v>
      </c>
      <c r="B689" s="11">
        <f>SUMIFS(Flux_detail!$K$2:$K$403,Flux_detail!$A$2:$A$403,A689)</f>
      </c>
      <c r="C689" s="11">
        <f>C688+B689</f>
      </c>
      <c r="D689" s="0" t="inlineStr">
        <is>
          <t xml:space="preserve">2025-11</t>
        </is>
      </c>
      <c r="E689" s="0" t="inlineStr">
        <is>
          <t xml:space="preserve">2025</t>
        </is>
      </c>
      <c r="F689" s="17">
        <v>0</v>
      </c>
      <c r="G689" s="18">
        <f>C689+F689</f>
      </c>
    </row>
    <row r="690">
      <c r="A690" s="7">
        <v>45977</v>
      </c>
      <c r="B690" s="11">
        <f>SUMIFS(Flux_detail!$K$2:$K$403,Flux_detail!$A$2:$A$403,A690)</f>
      </c>
      <c r="C690" s="11">
        <f>C689+B690</f>
      </c>
      <c r="D690" s="0" t="inlineStr">
        <is>
          <t xml:space="preserve">2025-11</t>
        </is>
      </c>
      <c r="E690" s="0" t="inlineStr">
        <is>
          <t xml:space="preserve">2025</t>
        </is>
      </c>
      <c r="F690" s="17">
        <v>0</v>
      </c>
      <c r="G690" s="18">
        <f>C690+F690</f>
      </c>
    </row>
    <row r="691">
      <c r="A691" s="7">
        <v>45978</v>
      </c>
      <c r="B691" s="11">
        <f>SUMIFS(Flux_detail!$K$2:$K$403,Flux_detail!$A$2:$A$403,A691)</f>
      </c>
      <c r="C691" s="11">
        <f>C690+B691</f>
      </c>
      <c r="D691" s="0" t="inlineStr">
        <is>
          <t xml:space="preserve">2025-11</t>
        </is>
      </c>
      <c r="E691" s="0" t="inlineStr">
        <is>
          <t xml:space="preserve">2025</t>
        </is>
      </c>
      <c r="F691" s="17">
        <v>0</v>
      </c>
      <c r="G691" s="18">
        <f>C691+F691</f>
      </c>
    </row>
    <row r="692">
      <c r="A692" s="7">
        <v>45979</v>
      </c>
      <c r="B692" s="11">
        <f>SUMIFS(Flux_detail!$K$2:$K$403,Flux_detail!$A$2:$A$403,A692)</f>
      </c>
      <c r="C692" s="11">
        <f>C691+B692</f>
      </c>
      <c r="D692" s="0" t="inlineStr">
        <is>
          <t xml:space="preserve">2025-11</t>
        </is>
      </c>
      <c r="E692" s="0" t="inlineStr">
        <is>
          <t xml:space="preserve">2025</t>
        </is>
      </c>
      <c r="F692" s="17">
        <v>0</v>
      </c>
      <c r="G692" s="18">
        <f>C692+F692</f>
      </c>
    </row>
    <row r="693">
      <c r="A693" s="7">
        <v>45980</v>
      </c>
      <c r="B693" s="11">
        <f>SUMIFS(Flux_detail!$K$2:$K$403,Flux_detail!$A$2:$A$403,A693)</f>
      </c>
      <c r="C693" s="11">
        <f>C692+B693</f>
      </c>
      <c r="D693" s="0" t="inlineStr">
        <is>
          <t xml:space="preserve">2025-11</t>
        </is>
      </c>
      <c r="E693" s="0" t="inlineStr">
        <is>
          <t xml:space="preserve">2025</t>
        </is>
      </c>
      <c r="F693" s="17">
        <v>0</v>
      </c>
      <c r="G693" s="18">
        <f>C693+F693</f>
      </c>
    </row>
    <row r="694">
      <c r="A694" s="7">
        <v>45981</v>
      </c>
      <c r="B694" s="11">
        <f>SUMIFS(Flux_detail!$K$2:$K$403,Flux_detail!$A$2:$A$403,A694)</f>
      </c>
      <c r="C694" s="11">
        <f>C693+B694</f>
      </c>
      <c r="D694" s="0" t="inlineStr">
        <is>
          <t xml:space="preserve">2025-11</t>
        </is>
      </c>
      <c r="E694" s="0" t="inlineStr">
        <is>
          <t xml:space="preserve">2025</t>
        </is>
      </c>
      <c r="F694" s="17">
        <v>0</v>
      </c>
      <c r="G694" s="18">
        <f>C694+F694</f>
      </c>
    </row>
    <row r="695">
      <c r="A695" s="7">
        <v>45982</v>
      </c>
      <c r="B695" s="11">
        <f>SUMIFS(Flux_detail!$K$2:$K$403,Flux_detail!$A$2:$A$403,A695)</f>
      </c>
      <c r="C695" s="11">
        <f>C694+B695</f>
      </c>
      <c r="D695" s="0" t="inlineStr">
        <is>
          <t xml:space="preserve">2025-11</t>
        </is>
      </c>
      <c r="E695" s="0" t="inlineStr">
        <is>
          <t xml:space="preserve">2025</t>
        </is>
      </c>
      <c r="F695" s="17">
        <v>0</v>
      </c>
      <c r="G695" s="18">
        <f>C695+F695</f>
      </c>
    </row>
    <row r="696">
      <c r="A696" s="7">
        <v>45983</v>
      </c>
      <c r="B696" s="11">
        <f>SUMIFS(Flux_detail!$K$2:$K$403,Flux_detail!$A$2:$A$403,A696)</f>
      </c>
      <c r="C696" s="11">
        <f>C695+B696</f>
      </c>
      <c r="D696" s="0" t="inlineStr">
        <is>
          <t xml:space="preserve">2025-11</t>
        </is>
      </c>
      <c r="E696" s="0" t="inlineStr">
        <is>
          <t xml:space="preserve">2025</t>
        </is>
      </c>
      <c r="F696" s="17">
        <v>0</v>
      </c>
      <c r="G696" s="18">
        <f>C696+F696</f>
      </c>
    </row>
    <row r="697">
      <c r="A697" s="7">
        <v>45984</v>
      </c>
      <c r="B697" s="11">
        <f>SUMIFS(Flux_detail!$K$2:$K$403,Flux_detail!$A$2:$A$403,A697)</f>
      </c>
      <c r="C697" s="11">
        <f>C696+B697</f>
      </c>
      <c r="D697" s="0" t="inlineStr">
        <is>
          <t xml:space="preserve">2025-11</t>
        </is>
      </c>
      <c r="E697" s="0" t="inlineStr">
        <is>
          <t xml:space="preserve">2025</t>
        </is>
      </c>
      <c r="F697" s="17">
        <v>0</v>
      </c>
      <c r="G697" s="18">
        <f>C697+F697</f>
      </c>
    </row>
    <row r="698">
      <c r="A698" s="7">
        <v>45985</v>
      </c>
      <c r="B698" s="11">
        <f>SUMIFS(Flux_detail!$K$2:$K$403,Flux_detail!$A$2:$A$403,A698)</f>
      </c>
      <c r="C698" s="11">
        <f>C697+B698</f>
      </c>
      <c r="D698" s="0" t="inlineStr">
        <is>
          <t xml:space="preserve">2025-11</t>
        </is>
      </c>
      <c r="E698" s="0" t="inlineStr">
        <is>
          <t xml:space="preserve">2025</t>
        </is>
      </c>
      <c r="F698" s="17">
        <v>0</v>
      </c>
      <c r="G698" s="18">
        <f>C698+F698</f>
      </c>
    </row>
    <row r="699">
      <c r="A699" s="7">
        <v>45986</v>
      </c>
      <c r="B699" s="11">
        <f>SUMIFS(Flux_detail!$K$2:$K$403,Flux_detail!$A$2:$A$403,A699)</f>
      </c>
      <c r="C699" s="11">
        <f>C698+B699</f>
      </c>
      <c r="D699" s="0" t="inlineStr">
        <is>
          <t xml:space="preserve">2025-11</t>
        </is>
      </c>
      <c r="E699" s="0" t="inlineStr">
        <is>
          <t xml:space="preserve">2025</t>
        </is>
      </c>
      <c r="F699" s="17">
        <v>0</v>
      </c>
      <c r="G699" s="18">
        <f>C699+F699</f>
      </c>
    </row>
    <row r="700">
      <c r="A700" s="7">
        <v>45987</v>
      </c>
      <c r="B700" s="11">
        <f>SUMIFS(Flux_detail!$K$2:$K$403,Flux_detail!$A$2:$A$403,A700)</f>
      </c>
      <c r="C700" s="11">
        <f>C699+B700</f>
      </c>
      <c r="D700" s="0" t="inlineStr">
        <is>
          <t xml:space="preserve">2025-11</t>
        </is>
      </c>
      <c r="E700" s="0" t="inlineStr">
        <is>
          <t xml:space="preserve">2025</t>
        </is>
      </c>
      <c r="F700" s="17">
        <v>0</v>
      </c>
      <c r="G700" s="18">
        <f>C700+F700</f>
      </c>
    </row>
    <row r="701">
      <c r="A701" s="7">
        <v>45988</v>
      </c>
      <c r="B701" s="11">
        <f>SUMIFS(Flux_detail!$K$2:$K$403,Flux_detail!$A$2:$A$403,A701)</f>
      </c>
      <c r="C701" s="11">
        <f>C700+B701</f>
      </c>
      <c r="D701" s="0" t="inlineStr">
        <is>
          <t xml:space="preserve">2025-11</t>
        </is>
      </c>
      <c r="E701" s="0" t="inlineStr">
        <is>
          <t xml:space="preserve">2025</t>
        </is>
      </c>
      <c r="F701" s="17">
        <v>0</v>
      </c>
      <c r="G701" s="18">
        <f>C701+F701</f>
      </c>
    </row>
    <row r="702">
      <c r="A702" s="7">
        <v>45989</v>
      </c>
      <c r="B702" s="11">
        <f>SUMIFS(Flux_detail!$K$2:$K$403,Flux_detail!$A$2:$A$403,A702)</f>
      </c>
      <c r="C702" s="11">
        <f>C701+B702</f>
      </c>
      <c r="D702" s="0" t="inlineStr">
        <is>
          <t xml:space="preserve">2025-11</t>
        </is>
      </c>
      <c r="E702" s="0" t="inlineStr">
        <is>
          <t xml:space="preserve">2025</t>
        </is>
      </c>
      <c r="F702" s="17">
        <v>0</v>
      </c>
      <c r="G702" s="18">
        <f>C702+F702</f>
      </c>
    </row>
    <row r="703">
      <c r="A703" s="7">
        <v>45990</v>
      </c>
      <c r="B703" s="11">
        <f>SUMIFS(Flux_detail!$K$2:$K$403,Flux_detail!$A$2:$A$403,A703)</f>
      </c>
      <c r="C703" s="11">
        <f>C702+B703</f>
      </c>
      <c r="D703" s="0" t="inlineStr">
        <is>
          <t xml:space="preserve">2025-11</t>
        </is>
      </c>
      <c r="E703" s="0" t="inlineStr">
        <is>
          <t xml:space="preserve">2025</t>
        </is>
      </c>
      <c r="F703" s="17">
        <v>0</v>
      </c>
      <c r="G703" s="18">
        <f>C703+F703</f>
      </c>
    </row>
    <row r="704">
      <c r="A704" s="7">
        <v>45991</v>
      </c>
      <c r="B704" s="11">
        <f>SUMIFS(Flux_detail!$K$2:$K$403,Flux_detail!$A$2:$A$403,A704)</f>
      </c>
      <c r="C704" s="11">
        <f>C703+B704</f>
      </c>
      <c r="D704" s="0" t="inlineStr">
        <is>
          <t xml:space="preserve">2025-11</t>
        </is>
      </c>
      <c r="E704" s="0" t="inlineStr">
        <is>
          <t xml:space="preserve">2025</t>
        </is>
      </c>
      <c r="F704" s="17">
        <v>0</v>
      </c>
      <c r="G704" s="18">
        <f>C704+F704</f>
      </c>
    </row>
    <row r="705">
      <c r="A705" s="7">
        <v>45992</v>
      </c>
      <c r="B705" s="11">
        <f>SUMIFS(Flux_detail!$K$2:$K$403,Flux_detail!$A$2:$A$403,A705)</f>
      </c>
      <c r="C705" s="11">
        <f>C704+B705</f>
      </c>
      <c r="D705" s="0" t="inlineStr">
        <is>
          <t xml:space="preserve">2025-12</t>
        </is>
      </c>
      <c r="E705" s="0" t="inlineStr">
        <is>
          <t xml:space="preserve">2025</t>
        </is>
      </c>
      <c r="F705" s="17">
        <v>0</v>
      </c>
      <c r="G705" s="18">
        <f>C705+F705</f>
      </c>
    </row>
    <row r="706">
      <c r="A706" s="7">
        <v>45993</v>
      </c>
      <c r="B706" s="11">
        <f>SUMIFS(Flux_detail!$K$2:$K$403,Flux_detail!$A$2:$A$403,A706)</f>
      </c>
      <c r="C706" s="11">
        <f>C705+B706</f>
      </c>
      <c r="D706" s="0" t="inlineStr">
        <is>
          <t xml:space="preserve">2025-12</t>
        </is>
      </c>
      <c r="E706" s="0" t="inlineStr">
        <is>
          <t xml:space="preserve">2025</t>
        </is>
      </c>
      <c r="F706" s="17">
        <v>0</v>
      </c>
      <c r="G706" s="18">
        <f>C706+F706</f>
      </c>
    </row>
    <row r="707">
      <c r="A707" s="7">
        <v>45994</v>
      </c>
      <c r="B707" s="11">
        <f>SUMIFS(Flux_detail!$K$2:$K$403,Flux_detail!$A$2:$A$403,A707)</f>
      </c>
      <c r="C707" s="11">
        <f>C706+B707</f>
      </c>
      <c r="D707" s="0" t="inlineStr">
        <is>
          <t xml:space="preserve">2025-12</t>
        </is>
      </c>
      <c r="E707" s="0" t="inlineStr">
        <is>
          <t xml:space="preserve">2025</t>
        </is>
      </c>
      <c r="F707" s="17">
        <v>0</v>
      </c>
      <c r="G707" s="18">
        <f>C707+F707</f>
      </c>
    </row>
    <row r="708">
      <c r="A708" s="7">
        <v>45995</v>
      </c>
      <c r="B708" s="11">
        <f>SUMIFS(Flux_detail!$K$2:$K$403,Flux_detail!$A$2:$A$403,A708)</f>
      </c>
      <c r="C708" s="11">
        <f>C707+B708</f>
      </c>
      <c r="D708" s="0" t="inlineStr">
        <is>
          <t xml:space="preserve">2025-12</t>
        </is>
      </c>
      <c r="E708" s="0" t="inlineStr">
        <is>
          <t xml:space="preserve">2025</t>
        </is>
      </c>
      <c r="F708" s="17">
        <v>0</v>
      </c>
      <c r="G708" s="18">
        <f>C708+F708</f>
      </c>
    </row>
    <row r="709">
      <c r="A709" s="7">
        <v>45996</v>
      </c>
      <c r="B709" s="11">
        <f>SUMIFS(Flux_detail!$K$2:$K$403,Flux_detail!$A$2:$A$403,A709)</f>
      </c>
      <c r="C709" s="11">
        <f>C708+B709</f>
      </c>
      <c r="D709" s="0" t="inlineStr">
        <is>
          <t xml:space="preserve">2025-12</t>
        </is>
      </c>
      <c r="E709" s="0" t="inlineStr">
        <is>
          <t xml:space="preserve">2025</t>
        </is>
      </c>
      <c r="F709" s="17">
        <v>0</v>
      </c>
      <c r="G709" s="18">
        <f>C709+F709</f>
      </c>
    </row>
    <row r="710">
      <c r="A710" s="7">
        <v>45997</v>
      </c>
      <c r="B710" s="11">
        <f>SUMIFS(Flux_detail!$K$2:$K$403,Flux_detail!$A$2:$A$403,A710)</f>
      </c>
      <c r="C710" s="11">
        <f>C709+B710</f>
      </c>
      <c r="D710" s="0" t="inlineStr">
        <is>
          <t xml:space="preserve">2025-12</t>
        </is>
      </c>
      <c r="E710" s="0" t="inlineStr">
        <is>
          <t xml:space="preserve">2025</t>
        </is>
      </c>
      <c r="F710" s="17">
        <v>0</v>
      </c>
      <c r="G710" s="18">
        <f>C710+F710</f>
      </c>
    </row>
    <row r="711">
      <c r="A711" s="7">
        <v>45998</v>
      </c>
      <c r="B711" s="11">
        <f>SUMIFS(Flux_detail!$K$2:$K$403,Flux_detail!$A$2:$A$403,A711)</f>
      </c>
      <c r="C711" s="11">
        <f>C710+B711</f>
      </c>
      <c r="D711" s="0" t="inlineStr">
        <is>
          <t xml:space="preserve">2025-12</t>
        </is>
      </c>
      <c r="E711" s="0" t="inlineStr">
        <is>
          <t xml:space="preserve">2025</t>
        </is>
      </c>
      <c r="F711" s="17">
        <v>0</v>
      </c>
      <c r="G711" s="18">
        <f>C711+F711</f>
      </c>
    </row>
    <row r="712">
      <c r="A712" s="7">
        <v>45999</v>
      </c>
      <c r="B712" s="11">
        <f>SUMIFS(Flux_detail!$K$2:$K$403,Flux_detail!$A$2:$A$403,A712)</f>
      </c>
      <c r="C712" s="11">
        <f>C711+B712</f>
      </c>
      <c r="D712" s="0" t="inlineStr">
        <is>
          <t xml:space="preserve">2025-12</t>
        </is>
      </c>
      <c r="E712" s="0" t="inlineStr">
        <is>
          <t xml:space="preserve">2025</t>
        </is>
      </c>
      <c r="F712" s="17">
        <v>0</v>
      </c>
      <c r="G712" s="18">
        <f>C712+F712</f>
      </c>
    </row>
    <row r="713">
      <c r="A713" s="7">
        <v>46000</v>
      </c>
      <c r="B713" s="11">
        <f>SUMIFS(Flux_detail!$K$2:$K$403,Flux_detail!$A$2:$A$403,A713)</f>
      </c>
      <c r="C713" s="11">
        <f>C712+B713</f>
      </c>
      <c r="D713" s="0" t="inlineStr">
        <is>
          <t xml:space="preserve">2025-12</t>
        </is>
      </c>
      <c r="E713" s="0" t="inlineStr">
        <is>
          <t xml:space="preserve">2025</t>
        </is>
      </c>
      <c r="F713" s="17">
        <v>0</v>
      </c>
      <c r="G713" s="18">
        <f>C713+F713</f>
      </c>
    </row>
    <row r="714">
      <c r="A714" s="7">
        <v>46001</v>
      </c>
      <c r="B714" s="11">
        <f>SUMIFS(Flux_detail!$K$2:$K$403,Flux_detail!$A$2:$A$403,A714)</f>
      </c>
      <c r="C714" s="11">
        <f>C713+B714</f>
      </c>
      <c r="D714" s="0" t="inlineStr">
        <is>
          <t xml:space="preserve">2025-12</t>
        </is>
      </c>
      <c r="E714" s="0" t="inlineStr">
        <is>
          <t xml:space="preserve">2025</t>
        </is>
      </c>
      <c r="F714" s="17">
        <v>0</v>
      </c>
      <c r="G714" s="18">
        <f>C714+F714</f>
      </c>
    </row>
    <row r="715">
      <c r="A715" s="7">
        <v>46002</v>
      </c>
      <c r="B715" s="11">
        <f>SUMIFS(Flux_detail!$K$2:$K$403,Flux_detail!$A$2:$A$403,A715)</f>
      </c>
      <c r="C715" s="11">
        <f>C714+B715</f>
      </c>
      <c r="D715" s="0" t="inlineStr">
        <is>
          <t xml:space="preserve">2025-12</t>
        </is>
      </c>
      <c r="E715" s="0" t="inlineStr">
        <is>
          <t xml:space="preserve">2025</t>
        </is>
      </c>
      <c r="F715" s="17">
        <v>0</v>
      </c>
      <c r="G715" s="18">
        <f>C715+F715</f>
      </c>
    </row>
    <row r="716">
      <c r="A716" s="7">
        <v>46003</v>
      </c>
      <c r="B716" s="11">
        <f>SUMIFS(Flux_detail!$K$2:$K$403,Flux_detail!$A$2:$A$403,A716)</f>
      </c>
      <c r="C716" s="11">
        <f>C715+B716</f>
      </c>
      <c r="D716" s="0" t="inlineStr">
        <is>
          <t xml:space="preserve">2025-12</t>
        </is>
      </c>
      <c r="E716" s="0" t="inlineStr">
        <is>
          <t xml:space="preserve">2025</t>
        </is>
      </c>
      <c r="F716" s="17">
        <v>0</v>
      </c>
      <c r="G716" s="18">
        <f>C716+F716</f>
      </c>
    </row>
    <row r="717">
      <c r="A717" s="7">
        <v>46004</v>
      </c>
      <c r="B717" s="11">
        <f>SUMIFS(Flux_detail!$K$2:$K$403,Flux_detail!$A$2:$A$403,A717)</f>
      </c>
      <c r="C717" s="11">
        <f>C716+B717</f>
      </c>
      <c r="D717" s="0" t="inlineStr">
        <is>
          <t xml:space="preserve">2025-12</t>
        </is>
      </c>
      <c r="E717" s="0" t="inlineStr">
        <is>
          <t xml:space="preserve">2025</t>
        </is>
      </c>
      <c r="F717" s="17">
        <v>0</v>
      </c>
      <c r="G717" s="18">
        <f>C717+F717</f>
      </c>
    </row>
    <row r="718">
      <c r="A718" s="7">
        <v>46005</v>
      </c>
      <c r="B718" s="11">
        <f>SUMIFS(Flux_detail!$K$2:$K$403,Flux_detail!$A$2:$A$403,A718)</f>
      </c>
      <c r="C718" s="11">
        <f>C717+B718</f>
      </c>
      <c r="D718" s="0" t="inlineStr">
        <is>
          <t xml:space="preserve">2025-12</t>
        </is>
      </c>
      <c r="E718" s="0" t="inlineStr">
        <is>
          <t xml:space="preserve">2025</t>
        </is>
      </c>
      <c r="F718" s="17">
        <v>0</v>
      </c>
      <c r="G718" s="18">
        <f>C718+F718</f>
      </c>
    </row>
    <row r="719">
      <c r="A719" s="7">
        <v>46006</v>
      </c>
      <c r="B719" s="11">
        <f>SUMIFS(Flux_detail!$K$2:$K$403,Flux_detail!$A$2:$A$403,A719)</f>
      </c>
      <c r="C719" s="11">
        <f>C718+B719</f>
      </c>
      <c r="D719" s="0" t="inlineStr">
        <is>
          <t xml:space="preserve">2025-12</t>
        </is>
      </c>
      <c r="E719" s="0" t="inlineStr">
        <is>
          <t xml:space="preserve">2025</t>
        </is>
      </c>
      <c r="F719" s="17">
        <v>0</v>
      </c>
      <c r="G719" s="18">
        <f>C719+F719</f>
      </c>
    </row>
    <row r="720">
      <c r="A720" s="7">
        <v>46007</v>
      </c>
      <c r="B720" s="11">
        <f>SUMIFS(Flux_detail!$K$2:$K$403,Flux_detail!$A$2:$A$403,A720)</f>
      </c>
      <c r="C720" s="11">
        <f>C719+B720</f>
      </c>
      <c r="D720" s="0" t="inlineStr">
        <is>
          <t xml:space="preserve">2025-12</t>
        </is>
      </c>
      <c r="E720" s="0" t="inlineStr">
        <is>
          <t xml:space="preserve">2025</t>
        </is>
      </c>
      <c r="F720" s="17">
        <v>0</v>
      </c>
      <c r="G720" s="18">
        <f>C720+F720</f>
      </c>
    </row>
    <row r="721">
      <c r="A721" s="7">
        <v>46008</v>
      </c>
      <c r="B721" s="11">
        <f>SUMIFS(Flux_detail!$K$2:$K$403,Flux_detail!$A$2:$A$403,A721)</f>
      </c>
      <c r="C721" s="11">
        <f>C720+B721</f>
      </c>
      <c r="D721" s="0" t="inlineStr">
        <is>
          <t xml:space="preserve">2025-12</t>
        </is>
      </c>
      <c r="E721" s="0" t="inlineStr">
        <is>
          <t xml:space="preserve">2025</t>
        </is>
      </c>
      <c r="F721" s="17">
        <v>0</v>
      </c>
      <c r="G721" s="18">
        <f>C721+F721</f>
      </c>
    </row>
    <row r="722">
      <c r="A722" s="7">
        <v>46009</v>
      </c>
      <c r="B722" s="11">
        <f>SUMIFS(Flux_detail!$K$2:$K$403,Flux_detail!$A$2:$A$403,A722)</f>
      </c>
      <c r="C722" s="11">
        <f>C721+B722</f>
      </c>
      <c r="D722" s="0" t="inlineStr">
        <is>
          <t xml:space="preserve">2025-12</t>
        </is>
      </c>
      <c r="E722" s="0" t="inlineStr">
        <is>
          <t xml:space="preserve">2025</t>
        </is>
      </c>
      <c r="F722" s="17">
        <v>0</v>
      </c>
      <c r="G722" s="18">
        <f>C722+F722</f>
      </c>
    </row>
    <row r="723">
      <c r="A723" s="7">
        <v>46010</v>
      </c>
      <c r="B723" s="11">
        <f>SUMIFS(Flux_detail!$K$2:$K$403,Flux_detail!$A$2:$A$403,A723)</f>
      </c>
      <c r="C723" s="11">
        <f>C722+B723</f>
      </c>
      <c r="D723" s="0" t="inlineStr">
        <is>
          <t xml:space="preserve">2025-12</t>
        </is>
      </c>
      <c r="E723" s="0" t="inlineStr">
        <is>
          <t xml:space="preserve">2025</t>
        </is>
      </c>
      <c r="F723" s="17">
        <v>0</v>
      </c>
      <c r="G723" s="18">
        <f>C723+F723</f>
      </c>
    </row>
    <row r="724">
      <c r="A724" s="7">
        <v>46011</v>
      </c>
      <c r="B724" s="11">
        <f>SUMIFS(Flux_detail!$K$2:$K$403,Flux_detail!$A$2:$A$403,A724)</f>
      </c>
      <c r="C724" s="11">
        <f>C723+B724</f>
      </c>
      <c r="D724" s="0" t="inlineStr">
        <is>
          <t xml:space="preserve">2025-12</t>
        </is>
      </c>
      <c r="E724" s="0" t="inlineStr">
        <is>
          <t xml:space="preserve">2025</t>
        </is>
      </c>
      <c r="F724" s="17">
        <v>0</v>
      </c>
      <c r="G724" s="18">
        <f>C724+F724</f>
      </c>
    </row>
    <row r="725">
      <c r="A725" s="7">
        <v>46012</v>
      </c>
      <c r="B725" s="11">
        <f>SUMIFS(Flux_detail!$K$2:$K$403,Flux_detail!$A$2:$A$403,A725)</f>
      </c>
      <c r="C725" s="11">
        <f>C724+B725</f>
      </c>
      <c r="D725" s="0" t="inlineStr">
        <is>
          <t xml:space="preserve">2025-12</t>
        </is>
      </c>
      <c r="E725" s="0" t="inlineStr">
        <is>
          <t xml:space="preserve">2025</t>
        </is>
      </c>
      <c r="F725" s="17">
        <v>0</v>
      </c>
      <c r="G725" s="18">
        <f>C725+F725</f>
      </c>
    </row>
    <row r="726">
      <c r="A726" s="7">
        <v>46013</v>
      </c>
      <c r="B726" s="11">
        <f>SUMIFS(Flux_detail!$K$2:$K$403,Flux_detail!$A$2:$A$403,A726)</f>
      </c>
      <c r="C726" s="11">
        <f>C725+B726</f>
      </c>
      <c r="D726" s="0" t="inlineStr">
        <is>
          <t xml:space="preserve">2025-12</t>
        </is>
      </c>
      <c r="E726" s="0" t="inlineStr">
        <is>
          <t xml:space="preserve">2025</t>
        </is>
      </c>
      <c r="F726" s="17">
        <v>0</v>
      </c>
      <c r="G726" s="18">
        <f>C726+F726</f>
      </c>
    </row>
    <row r="727">
      <c r="A727" s="7">
        <v>46014</v>
      </c>
      <c r="B727" s="11">
        <f>SUMIFS(Flux_detail!$K$2:$K$403,Flux_detail!$A$2:$A$403,A727)</f>
      </c>
      <c r="C727" s="11">
        <f>C726+B727</f>
      </c>
      <c r="D727" s="0" t="inlineStr">
        <is>
          <t xml:space="preserve">2025-12</t>
        </is>
      </c>
      <c r="E727" s="0" t="inlineStr">
        <is>
          <t xml:space="preserve">2025</t>
        </is>
      </c>
      <c r="F727" s="17">
        <v>0</v>
      </c>
      <c r="G727" s="18">
        <f>C727+F727</f>
      </c>
    </row>
    <row r="728">
      <c r="A728" s="7">
        <v>46015</v>
      </c>
      <c r="B728" s="11">
        <f>SUMIFS(Flux_detail!$K$2:$K$403,Flux_detail!$A$2:$A$403,A728)</f>
      </c>
      <c r="C728" s="11">
        <f>C727+B728</f>
      </c>
      <c r="D728" s="0" t="inlineStr">
        <is>
          <t xml:space="preserve">2025-12</t>
        </is>
      </c>
      <c r="E728" s="0" t="inlineStr">
        <is>
          <t xml:space="preserve">2025</t>
        </is>
      </c>
      <c r="F728" s="17">
        <v>0</v>
      </c>
      <c r="G728" s="18">
        <f>C728+F728</f>
      </c>
    </row>
    <row r="729">
      <c r="A729" s="7">
        <v>46016</v>
      </c>
      <c r="B729" s="11">
        <f>SUMIFS(Flux_detail!$K$2:$K$403,Flux_detail!$A$2:$A$403,A729)</f>
      </c>
      <c r="C729" s="11">
        <f>C728+B729</f>
      </c>
      <c r="D729" s="0" t="inlineStr">
        <is>
          <t xml:space="preserve">2025-12</t>
        </is>
      </c>
      <c r="E729" s="0" t="inlineStr">
        <is>
          <t xml:space="preserve">2025</t>
        </is>
      </c>
      <c r="F729" s="17">
        <v>0</v>
      </c>
      <c r="G729" s="18">
        <f>C729+F729</f>
      </c>
    </row>
    <row r="730">
      <c r="A730" s="7">
        <v>46017</v>
      </c>
      <c r="B730" s="11">
        <f>SUMIFS(Flux_detail!$K$2:$K$403,Flux_detail!$A$2:$A$403,A730)</f>
      </c>
      <c r="C730" s="11">
        <f>C729+B730</f>
      </c>
      <c r="D730" s="0" t="inlineStr">
        <is>
          <t xml:space="preserve">2025-12</t>
        </is>
      </c>
      <c r="E730" s="0" t="inlineStr">
        <is>
          <t xml:space="preserve">2025</t>
        </is>
      </c>
      <c r="F730" s="17">
        <v>0</v>
      </c>
      <c r="G730" s="18">
        <f>C730+F730</f>
      </c>
    </row>
    <row r="731">
      <c r="A731" s="7">
        <v>46018</v>
      </c>
      <c r="B731" s="11">
        <f>SUMIFS(Flux_detail!$K$2:$K$403,Flux_detail!$A$2:$A$403,A731)</f>
      </c>
      <c r="C731" s="11">
        <f>C730+B731</f>
      </c>
      <c r="D731" s="0" t="inlineStr">
        <is>
          <t xml:space="preserve">2025-12</t>
        </is>
      </c>
      <c r="E731" s="0" t="inlineStr">
        <is>
          <t xml:space="preserve">2025</t>
        </is>
      </c>
      <c r="F731" s="17">
        <v>0</v>
      </c>
      <c r="G731" s="18">
        <f>C731+F731</f>
      </c>
    </row>
    <row r="732">
      <c r="A732" s="7">
        <v>46019</v>
      </c>
      <c r="B732" s="11">
        <f>SUMIFS(Flux_detail!$K$2:$K$403,Flux_detail!$A$2:$A$403,A732)</f>
      </c>
      <c r="C732" s="11">
        <f>C731+B732</f>
      </c>
      <c r="D732" s="0" t="inlineStr">
        <is>
          <t xml:space="preserve">2025-12</t>
        </is>
      </c>
      <c r="E732" s="0" t="inlineStr">
        <is>
          <t xml:space="preserve">2025</t>
        </is>
      </c>
      <c r="F732" s="17">
        <v>0</v>
      </c>
      <c r="G732" s="18">
        <f>C732+F732</f>
      </c>
    </row>
    <row r="733">
      <c r="A733" s="7">
        <v>46020</v>
      </c>
      <c r="B733" s="11">
        <f>SUMIFS(Flux_detail!$K$2:$K$403,Flux_detail!$A$2:$A$403,A733)</f>
      </c>
      <c r="C733" s="11">
        <f>C732+B733</f>
      </c>
      <c r="D733" s="0" t="inlineStr">
        <is>
          <t xml:space="preserve">2025-12</t>
        </is>
      </c>
      <c r="E733" s="0" t="inlineStr">
        <is>
          <t xml:space="preserve">2025</t>
        </is>
      </c>
      <c r="F733" s="17">
        <v>0</v>
      </c>
      <c r="G733" s="18">
        <f>C733+F733</f>
      </c>
    </row>
    <row r="734">
      <c r="A734" s="7">
        <v>46021</v>
      </c>
      <c r="B734" s="11">
        <f>SUMIFS(Flux_detail!$K$2:$K$403,Flux_detail!$A$2:$A$403,A734)</f>
      </c>
      <c r="C734" s="11">
        <f>C733+B734</f>
      </c>
      <c r="D734" s="0" t="inlineStr">
        <is>
          <t xml:space="preserve">2025-12</t>
        </is>
      </c>
      <c r="E734" s="0" t="inlineStr">
        <is>
          <t xml:space="preserve">2025</t>
        </is>
      </c>
      <c r="F734" s="17">
        <v>0</v>
      </c>
      <c r="G734" s="18">
        <f>C734+F734</f>
      </c>
    </row>
    <row r="735">
      <c r="A735" s="7">
        <v>46022</v>
      </c>
      <c r="B735" s="11">
        <f>SUMIFS(Flux_detail!$K$2:$K$403,Flux_detail!$A$2:$A$403,A735)</f>
      </c>
      <c r="C735" s="11">
        <f>C734+B735</f>
      </c>
      <c r="D735" s="0" t="inlineStr">
        <is>
          <t xml:space="preserve">2025-12</t>
        </is>
      </c>
      <c r="E735" s="0" t="inlineStr">
        <is>
          <t xml:space="preserve">2025</t>
        </is>
      </c>
      <c r="F735" s="17">
        <v>0</v>
      </c>
      <c r="G735" s="18">
        <f>C735+F735</f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2.75"/>
  <cols>
    <col min="1" max="1" width="40" customWidth="1"/>
    <col min="2" max="2" width="14" customWidth="1"/>
    <col min="3" max="3" width="12" customWidth="1"/>
    <col min="4" max="4" width="10" customWidth="1"/>
  </cols>
  <sheetData>
    <row r="1">
      <c r="A1" s="1" t="inlineStr">
        <is>
          <t xml:space="preserve">Délais réels d'encaissement et de paiement</t>
        </is>
      </c>
    </row>
    <row r="2">
      <c r="A2" s="2" t="inlineStr">
        <is>
          <t xml:space="preserve">Calculés sur les factures lettrées avec un règlement bancaire : date de pièce de la facture → date du règlement, pondéré par les montants. Valeurs calculées par l'application.</t>
        </is>
      </c>
    </row>
    <row r="4">
      <c r="A4" s="5" t="inlineStr">
        <is>
          <t xml:space="preserve">2024 — Clients : délai d'encaissement : 37 jours en moyenne pondérée (56 lettrages, 2 241 761 €)</t>
        </is>
      </c>
    </row>
    <row r="5">
      <c r="A5" s="3" t="inlineStr">
        <is>
          <t xml:space="preserve">Trimestre de règlement</t>
        </is>
      </c>
      <c r="B5" s="3" t="inlineStr">
        <is>
          <t xml:space="preserve">Délai moyen (jours)</t>
        </is>
      </c>
      <c r="C5" s="3" t="inlineStr">
        <is>
          <t xml:space="preserve">Montant réglé</t>
        </is>
      </c>
    </row>
    <row r="6">
      <c r="A6" s="0" t="inlineStr">
        <is>
          <t xml:space="preserve">2024-T1</t>
        </is>
      </c>
      <c r="B6" s="21">
        <v>31</v>
      </c>
      <c r="C6" s="11">
        <v>353472</v>
      </c>
    </row>
    <row r="7">
      <c r="A7" s="0" t="inlineStr">
        <is>
          <t xml:space="preserve">2024-T2</t>
        </is>
      </c>
      <c r="B7" s="21">
        <v>40</v>
      </c>
      <c r="C7" s="11">
        <v>643203</v>
      </c>
    </row>
    <row r="8">
      <c r="A8" s="0" t="inlineStr">
        <is>
          <t xml:space="preserve">2024-T3</t>
        </is>
      </c>
      <c r="B8" s="21">
        <v>38</v>
      </c>
      <c r="C8" s="11">
        <v>632247</v>
      </c>
    </row>
    <row r="9">
      <c r="A9" s="0" t="inlineStr">
        <is>
          <t xml:space="preserve">2024-T4</t>
        </is>
      </c>
      <c r="B9" s="21">
        <v>37</v>
      </c>
      <c r="C9" s="11">
        <v>612839</v>
      </c>
    </row>
    <row r="11">
      <c r="A11" s="3" t="inlineStr">
        <is>
          <t xml:space="preserve">Tiers (15 premiers en volume)</t>
        </is>
      </c>
      <c r="B11" s="3" t="inlineStr">
        <is>
          <t xml:space="preserve">Montant réglé</t>
        </is>
      </c>
      <c r="C11" s="3" t="inlineStr">
        <is>
          <t xml:space="preserve">Délai (jours)</t>
        </is>
      </c>
      <c r="D11" s="3" t="inlineStr">
        <is>
          <t xml:space="preserve">Nb</t>
        </is>
      </c>
    </row>
    <row r="12">
      <c r="A12" s="0" t="inlineStr">
        <is>
          <t xml:space="preserve">Residence Bel Air</t>
        </is>
      </c>
      <c r="B12" s="11">
        <v>387556</v>
      </c>
      <c r="C12" s="21">
        <v>37</v>
      </c>
      <c r="D12" s="21">
        <v>9</v>
      </c>
    </row>
    <row r="13">
      <c r="A13" s="0" t="inlineStr">
        <is>
          <t xml:space="preserve">Agence Mobilis</t>
        </is>
      </c>
      <c r="B13" s="11">
        <v>321775</v>
      </c>
      <c r="C13" s="21">
        <v>40</v>
      </c>
      <c r="D13" s="21">
        <v>8</v>
      </c>
    </row>
    <row r="14">
      <c r="A14" s="0" t="inlineStr">
        <is>
          <t xml:space="preserve">Clinique du Parc</t>
        </is>
      </c>
      <c r="B14" s="11">
        <v>315491</v>
      </c>
      <c r="C14" s="21">
        <v>39</v>
      </c>
      <c r="D14" s="21">
        <v>8</v>
      </c>
    </row>
    <row r="15">
      <c r="A15" s="0" t="inlineStr">
        <is>
          <t xml:space="preserve">Cabinet Varenne Associes</t>
        </is>
      </c>
      <c r="B15" s="11">
        <v>299328</v>
      </c>
      <c r="C15" s="21">
        <v>36</v>
      </c>
      <c r="D15" s="21">
        <v>7</v>
      </c>
    </row>
    <row r="16">
      <c r="A16" s="0" t="inlineStr">
        <is>
          <t xml:space="preserve">Coworking Atelier 9</t>
        </is>
      </c>
      <c r="B16" s="11">
        <v>292816</v>
      </c>
      <c r="C16" s="21">
        <v>38</v>
      </c>
      <c r="D16" s="21">
        <v>7</v>
      </c>
    </row>
    <row r="17">
      <c r="A17" s="0" t="inlineStr">
        <is>
          <t xml:space="preserve">Hotel Les Tilleuls</t>
        </is>
      </c>
      <c r="B17" s="11">
        <v>283521</v>
      </c>
      <c r="C17" s="21">
        <v>36</v>
      </c>
      <c r="D17" s="21">
        <v>8</v>
      </c>
    </row>
    <row r="18">
      <c r="A18" s="0" t="inlineStr">
        <is>
          <t xml:space="preserve">Restaurant Le Comptoir</t>
        </is>
      </c>
      <c r="B18" s="11">
        <v>275105</v>
      </c>
      <c r="C18" s="21">
        <v>35</v>
      </c>
      <c r="D18" s="21">
        <v>7</v>
      </c>
    </row>
    <row r="19">
      <c r="A19" s="0" t="inlineStr">
        <is>
          <t xml:space="preserve">Boutique Hetre et Chene</t>
        </is>
      </c>
      <c r="B19" s="11">
        <v>66170</v>
      </c>
      <c r="C19" s="21">
        <v>30</v>
      </c>
      <c r="D19" s="21">
        <v>2</v>
      </c>
    </row>
    <row r="22">
      <c r="A22" s="5" t="inlineStr">
        <is>
          <t xml:space="preserve">2024 — Fournisseurs : délai de paiement : 47 jours en moyenne pondérée (70 lettrages, 1 119 606 €)</t>
        </is>
      </c>
    </row>
    <row r="23">
      <c r="A23" s="3" t="inlineStr">
        <is>
          <t xml:space="preserve">Trimestre de règlement</t>
        </is>
      </c>
      <c r="B23" s="3" t="inlineStr">
        <is>
          <t xml:space="preserve">Délai moyen (jours)</t>
        </is>
      </c>
      <c r="C23" s="3" t="inlineStr">
        <is>
          <t xml:space="preserve">Montant réglé</t>
        </is>
      </c>
    </row>
    <row r="24">
      <c r="A24" s="0" t="inlineStr">
        <is>
          <t xml:space="preserve">2024-T1</t>
        </is>
      </c>
      <c r="B24" s="21">
        <v>38</v>
      </c>
      <c r="C24" s="11">
        <v>198333</v>
      </c>
    </row>
    <row r="25">
      <c r="A25" s="0" t="inlineStr">
        <is>
          <t xml:space="preserve">2024-T2</t>
        </is>
      </c>
      <c r="B25" s="21">
        <v>46</v>
      </c>
      <c r="C25" s="11">
        <v>269806</v>
      </c>
    </row>
    <row r="26">
      <c r="A26" s="0" t="inlineStr">
        <is>
          <t xml:space="preserve">2024-T3</t>
        </is>
      </c>
      <c r="B26" s="21">
        <v>50</v>
      </c>
      <c r="C26" s="11">
        <v>318432</v>
      </c>
    </row>
    <row r="27">
      <c r="A27" s="0" t="inlineStr">
        <is>
          <t xml:space="preserve">2024-T4</t>
        </is>
      </c>
      <c r="B27" s="21">
        <v>50</v>
      </c>
      <c r="C27" s="11">
        <v>333035</v>
      </c>
    </row>
    <row r="29">
      <c r="A29" s="3" t="inlineStr">
        <is>
          <t xml:space="preserve">Tiers (15 premiers en volume)</t>
        </is>
      </c>
      <c r="B29" s="3" t="inlineStr">
        <is>
          <t xml:space="preserve">Montant réglé</t>
        </is>
      </c>
      <c r="C29" s="3" t="inlineStr">
        <is>
          <t xml:space="preserve">Délai (jours)</t>
        </is>
      </c>
      <c r="D29" s="3" t="inlineStr">
        <is>
          <t xml:space="preserve">Nb</t>
        </is>
      </c>
    </row>
    <row r="30">
      <c r="A30" s="0" t="inlineStr">
        <is>
          <t xml:space="preserve">Scierie du Nord</t>
        </is>
      </c>
      <c r="B30" s="11">
        <v>471982</v>
      </c>
      <c r="C30" s="21">
        <v>50</v>
      </c>
      <c r="D30" s="21">
        <v>14</v>
      </c>
    </row>
    <row r="31">
      <c r="A31" s="0" t="inlineStr">
        <is>
          <t xml:space="preserve">Quincaillerie Pro Est</t>
        </is>
      </c>
      <c r="B31" s="11">
        <v>296051</v>
      </c>
      <c r="C31" s="21">
        <v>51</v>
      </c>
      <c r="D31" s="21">
        <v>8</v>
      </c>
    </row>
    <row r="32">
      <c r="A32" s="0" t="inlineStr">
        <is>
          <t xml:space="preserve">Vernis et Finitions</t>
        </is>
      </c>
      <c r="B32" s="11">
        <v>148178</v>
      </c>
      <c r="C32" s="21">
        <v>53</v>
      </c>
      <c r="D32" s="21">
        <v>6</v>
      </c>
    </row>
    <row r="33">
      <c r="A33" s="0" t="inlineStr">
        <is>
          <t xml:space="preserve">SCI Les Halles</t>
        </is>
      </c>
      <c r="B33" s="11">
        <v>119200</v>
      </c>
      <c r="C33" s="21">
        <v>30</v>
      </c>
      <c r="D33" s="21">
        <v>12</v>
      </c>
    </row>
    <row r="34">
      <c r="A34" s="0" t="inlineStr">
        <is>
          <t xml:space="preserve">Energie Plus</t>
        </is>
      </c>
      <c r="B34" s="11">
        <v>44260</v>
      </c>
      <c r="C34" s="21">
        <v>30</v>
      </c>
      <c r="D34" s="21">
        <v>12</v>
      </c>
    </row>
    <row r="35">
      <c r="A35" s="0" t="inlineStr">
        <is>
          <t xml:space="preserve">Cabinet Comptable Exemple</t>
        </is>
      </c>
      <c r="B35" s="11">
        <v>21600</v>
      </c>
      <c r="C35" s="21">
        <v>31</v>
      </c>
      <c r="D35" s="21">
        <v>3</v>
      </c>
    </row>
    <row r="36">
      <c r="A36" s="0" t="inlineStr">
        <is>
          <t xml:space="preserve">Assurances Mutuelles Exemple</t>
        </is>
      </c>
      <c r="B36" s="11">
        <v>12000</v>
      </c>
      <c r="C36" s="21">
        <v>31</v>
      </c>
      <c r="D36" s="21">
        <v>4</v>
      </c>
    </row>
    <row r="37">
      <c r="A37" s="0" t="inlineStr">
        <is>
          <t xml:space="preserve">Telecom Pro</t>
        </is>
      </c>
      <c r="B37" s="11">
        <v>6336</v>
      </c>
      <c r="C37" s="21">
        <v>30</v>
      </c>
      <c r="D37" s="21">
        <v>11</v>
      </c>
    </row>
    <row r="40">
      <c r="A40" s="5" t="inlineStr">
        <is>
          <t xml:space="preserve">2025 — Clients : délai d'encaissement : 55 jours en moyenne pondérée (46 lettrages, 1 566 782 €)</t>
        </is>
      </c>
    </row>
    <row r="41">
      <c r="A41" s="3" t="inlineStr">
        <is>
          <t xml:space="preserve">Trimestre de règlement</t>
        </is>
      </c>
      <c r="B41" s="3" t="inlineStr">
        <is>
          <t xml:space="preserve">Délai moyen (jours)</t>
        </is>
      </c>
      <c r="C41" s="3" t="inlineStr">
        <is>
          <t xml:space="preserve">Montant réglé</t>
        </is>
      </c>
    </row>
    <row r="42">
      <c r="A42" s="0" t="inlineStr">
        <is>
          <t xml:space="preserve">2025-T1</t>
        </is>
      </c>
      <c r="B42" s="21">
        <v>34</v>
      </c>
      <c r="C42" s="11">
        <v>257900</v>
      </c>
    </row>
    <row r="43">
      <c r="A43" s="0" t="inlineStr">
        <is>
          <t xml:space="preserve">2025-T2</t>
        </is>
      </c>
      <c r="B43" s="21">
        <v>61</v>
      </c>
      <c r="C43" s="11">
        <v>286729</v>
      </c>
    </row>
    <row r="44">
      <c r="A44" s="0" t="inlineStr">
        <is>
          <t xml:space="preserve">2025-T3</t>
        </is>
      </c>
      <c r="B44" s="21">
        <v>57</v>
      </c>
      <c r="C44" s="11">
        <v>570112</v>
      </c>
    </row>
    <row r="45">
      <c r="A45" s="0" t="inlineStr">
        <is>
          <t xml:space="preserve">2025-T4</t>
        </is>
      </c>
      <c r="B45" s="21">
        <v>62</v>
      </c>
      <c r="C45" s="11">
        <v>452040</v>
      </c>
    </row>
    <row r="47">
      <c r="A47" s="3" t="inlineStr">
        <is>
          <t xml:space="preserve">Tiers (15 premiers en volume)</t>
        </is>
      </c>
      <c r="B47" s="3" t="inlineStr">
        <is>
          <t xml:space="preserve">Montant réglé</t>
        </is>
      </c>
      <c r="C47" s="3" t="inlineStr">
        <is>
          <t xml:space="preserve">Délai (jours)</t>
        </is>
      </c>
      <c r="D47" s="3" t="inlineStr">
        <is>
          <t xml:space="preserve">Nb</t>
        </is>
      </c>
    </row>
    <row r="48">
      <c r="A48" s="0" t="inlineStr">
        <is>
          <t xml:space="preserve">Coworking Atelier 9</t>
        </is>
      </c>
      <c r="B48" s="11">
        <v>334739</v>
      </c>
      <c r="C48" s="21">
        <v>54</v>
      </c>
      <c r="D48" s="21">
        <v>10</v>
      </c>
    </row>
    <row r="49">
      <c r="A49" s="0" t="inlineStr">
        <is>
          <t xml:space="preserve">Agence Mobilis</t>
        </is>
      </c>
      <c r="B49" s="11">
        <v>245110</v>
      </c>
      <c r="C49" s="21">
        <v>47</v>
      </c>
      <c r="D49" s="21">
        <v>6</v>
      </c>
    </row>
    <row r="50">
      <c r="A50" s="0" t="inlineStr">
        <is>
          <t xml:space="preserve">Hotel Les Tilleuls</t>
        </is>
      </c>
      <c r="B50" s="11">
        <v>204378</v>
      </c>
      <c r="C50" s="21">
        <v>65</v>
      </c>
      <c r="D50" s="21">
        <v>6</v>
      </c>
    </row>
    <row r="51">
      <c r="A51" s="0" t="inlineStr">
        <is>
          <t xml:space="preserve">Boutique Hetre et Chene</t>
        </is>
      </c>
      <c r="B51" s="11">
        <v>188709</v>
      </c>
      <c r="C51" s="21">
        <v>65</v>
      </c>
      <c r="D51" s="21">
        <v>7</v>
      </c>
    </row>
    <row r="52">
      <c r="A52" s="0" t="inlineStr">
        <is>
          <t xml:space="preserve">Residence Bel Air</t>
        </is>
      </c>
      <c r="B52" s="11">
        <v>165990</v>
      </c>
      <c r="C52" s="21">
        <v>50</v>
      </c>
      <c r="D52" s="21">
        <v>4</v>
      </c>
    </row>
    <row r="53">
      <c r="A53" s="0" t="inlineStr">
        <is>
          <t xml:space="preserve">Cabinet Varenne Associes</t>
        </is>
      </c>
      <c r="B53" s="11">
        <v>155041</v>
      </c>
      <c r="C53" s="21">
        <v>51</v>
      </c>
      <c r="D53" s="21">
        <v>6</v>
      </c>
    </row>
    <row r="54">
      <c r="A54" s="0" t="inlineStr">
        <is>
          <t xml:space="preserve">Restaurant Le Comptoir</t>
        </is>
      </c>
      <c r="B54" s="11">
        <v>152247</v>
      </c>
      <c r="C54" s="21">
        <v>62</v>
      </c>
      <c r="D54" s="21">
        <v>3</v>
      </c>
    </row>
    <row r="55">
      <c r="A55" s="0" t="inlineStr">
        <is>
          <t xml:space="preserve">Clinique du Parc</t>
        </is>
      </c>
      <c r="B55" s="11">
        <v>120567</v>
      </c>
      <c r="C55" s="21">
        <v>47</v>
      </c>
      <c r="D55" s="21">
        <v>4</v>
      </c>
    </row>
    <row r="58">
      <c r="A58" s="5" t="inlineStr">
        <is>
          <t xml:space="preserve">2025 — Fournisseurs : délai de paiement : 52 jours en moyenne pondérée (74 lettrages, 982 821 €)</t>
        </is>
      </c>
    </row>
    <row r="59">
      <c r="A59" s="3" t="inlineStr">
        <is>
          <t xml:space="preserve">Trimestre de règlement</t>
        </is>
      </c>
      <c r="B59" s="3" t="inlineStr">
        <is>
          <t xml:space="preserve">Délai moyen (jours)</t>
        </is>
      </c>
      <c r="C59" s="3" t="inlineStr">
        <is>
          <t xml:space="preserve">Montant réglé</t>
        </is>
      </c>
    </row>
    <row r="60">
      <c r="A60" s="0" t="inlineStr">
        <is>
          <t xml:space="preserve">2025-T1</t>
        </is>
      </c>
      <c r="B60" s="21">
        <v>35</v>
      </c>
      <c r="C60" s="11">
        <v>248181</v>
      </c>
    </row>
    <row r="61">
      <c r="A61" s="0" t="inlineStr">
        <is>
          <t xml:space="preserve">2025-T2</t>
        </is>
      </c>
      <c r="B61" s="21">
        <v>57</v>
      </c>
      <c r="C61" s="11">
        <v>202556</v>
      </c>
    </row>
    <row r="62">
      <c r="A62" s="0" t="inlineStr">
        <is>
          <t xml:space="preserve">2025-T3</t>
        </is>
      </c>
      <c r="B62" s="21">
        <v>58</v>
      </c>
      <c r="C62" s="11">
        <v>316768</v>
      </c>
    </row>
    <row r="63">
      <c r="A63" s="0" t="inlineStr">
        <is>
          <t xml:space="preserve">2025-T4</t>
        </is>
      </c>
      <c r="B63" s="21">
        <v>55</v>
      </c>
      <c r="C63" s="11">
        <v>215316</v>
      </c>
    </row>
    <row r="65">
      <c r="A65" s="3" t="inlineStr">
        <is>
          <t xml:space="preserve">Tiers (15 premiers en volume)</t>
        </is>
      </c>
      <c r="B65" s="3" t="inlineStr">
        <is>
          <t xml:space="preserve">Montant réglé</t>
        </is>
      </c>
      <c r="C65" s="3" t="inlineStr">
        <is>
          <t xml:space="preserve">Délai (jours)</t>
        </is>
      </c>
      <c r="D65" s="3" t="inlineStr">
        <is>
          <t xml:space="preserve">Nb</t>
        </is>
      </c>
    </row>
    <row r="66">
      <c r="A66" s="0" t="inlineStr">
        <is>
          <t xml:space="preserve">Quincaillerie Pro Est</t>
        </is>
      </c>
      <c r="B66" s="11">
        <v>307497</v>
      </c>
      <c r="C66" s="21">
        <v>49</v>
      </c>
      <c r="D66" s="21">
        <v>10</v>
      </c>
    </row>
    <row r="67">
      <c r="A67" s="0" t="inlineStr">
        <is>
          <t xml:space="preserve">Scierie du Nord</t>
        </is>
      </c>
      <c r="B67" s="11">
        <v>253781</v>
      </c>
      <c r="C67" s="21">
        <v>62</v>
      </c>
      <c r="D67" s="21">
        <v>11</v>
      </c>
    </row>
    <row r="68">
      <c r="A68" s="0" t="inlineStr">
        <is>
          <t xml:space="preserve">Vernis et Finitions</t>
        </is>
      </c>
      <c r="B68" s="11">
        <v>209076</v>
      </c>
      <c r="C68" s="21">
        <v>66</v>
      </c>
      <c r="D68" s="21">
        <v>9</v>
      </c>
    </row>
    <row r="69">
      <c r="A69" s="0" t="inlineStr">
        <is>
          <t xml:space="preserve">SCI Les Halles</t>
        </is>
      </c>
      <c r="B69" s="11">
        <v>122400</v>
      </c>
      <c r="C69" s="21">
        <v>28</v>
      </c>
      <c r="D69" s="21">
        <v>12</v>
      </c>
    </row>
    <row r="70">
      <c r="A70" s="0" t="inlineStr">
        <is>
          <t xml:space="preserve">Energie Plus</t>
        </is>
      </c>
      <c r="B70" s="11">
        <v>42355</v>
      </c>
      <c r="C70" s="21">
        <v>28</v>
      </c>
      <c r="D70" s="21">
        <v>12</v>
      </c>
    </row>
    <row r="71">
      <c r="A71" s="0" t="inlineStr">
        <is>
          <t xml:space="preserve">Cabinet Comptable Exemple</t>
        </is>
      </c>
      <c r="B71" s="11">
        <v>28800</v>
      </c>
      <c r="C71" s="21">
        <v>25</v>
      </c>
      <c r="D71" s="21">
        <v>4</v>
      </c>
    </row>
    <row r="72">
      <c r="A72" s="0" t="inlineStr">
        <is>
          <t xml:space="preserve">Assurances Mutuelles Exemple</t>
        </is>
      </c>
      <c r="B72" s="11">
        <v>12000</v>
      </c>
      <c r="C72" s="21">
        <v>30</v>
      </c>
      <c r="D72" s="21">
        <v>4</v>
      </c>
    </row>
    <row r="73">
      <c r="A73" s="0" t="inlineStr">
        <is>
          <t xml:space="preserve">Telecom Pro</t>
        </is>
      </c>
      <c r="B73" s="11">
        <v>6912</v>
      </c>
      <c r="C73" s="21">
        <v>28</v>
      </c>
      <c r="D73" s="21">
        <v>12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topLeftCell="A5" activePane="bottomLeft" state="frozen"/>
    </sheetView>
  </sheetViews>
  <sheetFormatPr defaultRowHeight="12.75"/>
  <cols>
    <col min="1" max="1" width="40" customWidth="1"/>
    <col min="2" max="2" width="8" customWidth="1"/>
    <col min="3" max="3" width="11" customWidth="1"/>
    <col min="4" max="4" width="16" customWidth="1"/>
    <col min="5" max="5" width="9" customWidth="1"/>
    <col min="6" max="6" width="14" customWidth="1"/>
    <col min="7" max="7" width="12" customWidth="1"/>
  </cols>
  <sheetData>
    <row r="1">
      <c r="A1" s="1" t="inlineStr">
        <is>
          <t xml:space="preserve">Décaissements récurrents — 12 derniers mois de 2025</t>
        </is>
      </c>
    </row>
    <row r="2">
      <c r="A2" s="2" t="inlineStr">
        <is>
          <t xml:space="preserve">Base du calendrier des décaissements du prévisionnel. Jour type = jour du mois qui concentre le plus de montants. Valeurs calculées par l'application.</t>
        </is>
      </c>
    </row>
    <row r="4">
      <c r="A4" s="3" t="inlineStr">
        <is>
          <t xml:space="preserve">Nature ou tiers</t>
        </is>
      </c>
      <c r="B4" s="3" t="inlineStr">
        <is>
          <t xml:space="preserve">Type</t>
        </is>
      </c>
      <c r="C4" s="3" t="inlineStr">
        <is>
          <t xml:space="preserve">Mois avec flux</t>
        </is>
      </c>
      <c r="D4" s="3" t="inlineStr">
        <is>
          <t xml:space="preserve">Moyenne mensuelle (sur 12 mois)</t>
        </is>
      </c>
      <c r="E4" s="3" t="inlineStr">
        <is>
          <t xml:space="preserve">Jour type</t>
        </is>
      </c>
      <c r="F4" s="3" t="inlineStr">
        <is>
          <t xml:space="preserve">Dernier montant</t>
        </is>
      </c>
      <c r="G4" s="3" t="inlineStr">
        <is>
          <t xml:space="preserve">Dernière date</t>
        </is>
      </c>
    </row>
    <row r="5">
      <c r="A5" s="0" t="inlineStr">
        <is>
          <t xml:space="preserve">Salaires et personnel</t>
        </is>
      </c>
      <c r="B5" s="0" t="inlineStr">
        <is>
          <t xml:space="preserve">nature</t>
        </is>
      </c>
      <c r="C5" s="0" t="inlineStr">
        <is>
          <t xml:space="preserve">12 / 12</t>
        </is>
      </c>
      <c r="D5" s="11">
        <v>-39098.84</v>
      </c>
      <c r="E5" s="21">
        <v>31</v>
      </c>
      <c r="F5" s="11">
        <v>-38416.44</v>
      </c>
      <c r="G5" s="7">
        <v>46022</v>
      </c>
    </row>
    <row r="6">
      <c r="A6" s="0" t="inlineStr">
        <is>
          <t xml:space="preserve">Charges sociales</t>
        </is>
      </c>
      <c r="B6" s="0" t="inlineStr">
        <is>
          <t xml:space="preserve">nature</t>
        </is>
      </c>
      <c r="C6" s="0" t="inlineStr">
        <is>
          <t xml:space="preserve">9 / 12</t>
        </is>
      </c>
      <c r="D6" s="11">
        <v>-24164.07</v>
      </c>
      <c r="E6" s="21">
        <v>15</v>
      </c>
      <c r="F6" s="11">
        <v>-31562.21</v>
      </c>
      <c r="G6" s="7">
        <v>45915</v>
      </c>
    </row>
    <row r="7">
      <c r="A7" s="0" t="inlineStr">
        <is>
          <t xml:space="preserve">TVA</t>
        </is>
      </c>
      <c r="B7" s="0" t="inlineStr">
        <is>
          <t xml:space="preserve">nature</t>
        </is>
      </c>
      <c r="C7" s="0" t="inlineStr">
        <is>
          <t xml:space="preserve">12 / 12</t>
        </is>
      </c>
      <c r="D7" s="11">
        <v>-10646.02</v>
      </c>
      <c r="E7" s="21">
        <v>20</v>
      </c>
      <c r="F7" s="11">
        <v>-11227.16</v>
      </c>
      <c r="G7" s="7">
        <v>46011</v>
      </c>
    </row>
    <row r="8">
      <c r="A8" s="0" t="inlineStr">
        <is>
          <t xml:space="preserve">Impôt sur les sociétés</t>
        </is>
      </c>
      <c r="B8" s="0" t="inlineStr">
        <is>
          <t xml:space="preserve">nature</t>
        </is>
      </c>
      <c r="C8" s="0" t="inlineStr">
        <is>
          <t xml:space="preserve">1 / 12</t>
        </is>
      </c>
      <c r="D8" s="11">
        <v>-755.59</v>
      </c>
      <c r="E8" s="21">
        <v>15</v>
      </c>
      <c r="F8" s="11">
        <v>-9067.03</v>
      </c>
      <c r="G8" s="7">
        <v>45762</v>
      </c>
    </row>
    <row r="9">
      <c r="A9" s="0" t="inlineStr">
        <is>
          <t xml:space="preserve">Emprunts - capital</t>
        </is>
      </c>
      <c r="B9" s="0" t="inlineStr">
        <is>
          <t xml:space="preserve">nature</t>
        </is>
      </c>
      <c r="C9" s="0" t="inlineStr">
        <is>
          <t xml:space="preserve">12 / 12</t>
        </is>
      </c>
      <c r="D9" s="11">
        <v>-2000</v>
      </c>
      <c r="E9" s="21">
        <v>10</v>
      </c>
      <c r="F9" s="11">
        <v>-2000</v>
      </c>
      <c r="G9" s="7">
        <v>46001</v>
      </c>
    </row>
    <row r="10">
      <c r="A10" s="0" t="inlineStr">
        <is>
          <t xml:space="preserve">Intérêts et charges financières</t>
        </is>
      </c>
      <c r="B10" s="0" t="inlineStr">
        <is>
          <t xml:space="preserve">nature</t>
        </is>
      </c>
      <c r="C10" s="0" t="inlineStr">
        <is>
          <t xml:space="preserve">12 / 12</t>
        </is>
      </c>
      <c r="D10" s="11">
        <v>-183.33</v>
      </c>
      <c r="E10" s="21">
        <v>10</v>
      </c>
      <c r="F10" s="11">
        <v>-146.67</v>
      </c>
      <c r="G10" s="7">
        <v>46001</v>
      </c>
    </row>
    <row r="11">
      <c r="A11" s="0" t="inlineStr">
        <is>
          <t xml:space="preserve">Quincaillerie Pro Est</t>
        </is>
      </c>
      <c r="B11" s="0" t="inlineStr">
        <is>
          <t xml:space="preserve">tiers</t>
        </is>
      </c>
      <c r="C11" s="0" t="inlineStr">
        <is>
          <t xml:space="preserve">7 / 12</t>
        </is>
      </c>
      <c r="D11" s="11">
        <v>-25624.73</v>
      </c>
      <c r="E11" s="21">
        <v>14</v>
      </c>
      <c r="F11" s="11">
        <v>-26072.11</v>
      </c>
      <c r="G11" s="7">
        <v>46020</v>
      </c>
    </row>
    <row r="12">
      <c r="A12" s="0" t="inlineStr">
        <is>
          <t xml:space="preserve">Scierie du Nord</t>
        </is>
      </c>
      <c r="B12" s="0" t="inlineStr">
        <is>
          <t xml:space="preserve">tiers</t>
        </is>
      </c>
      <c r="C12" s="0" t="inlineStr">
        <is>
          <t xml:space="preserve">7 / 12</t>
        </is>
      </c>
      <c r="D12" s="11">
        <v>-21148.4</v>
      </c>
      <c r="E12" s="21">
        <v>11</v>
      </c>
      <c r="F12" s="11">
        <v>-15005.32</v>
      </c>
      <c r="G12" s="7">
        <v>46006</v>
      </c>
    </row>
    <row r="13">
      <c r="A13" s="0" t="inlineStr">
        <is>
          <t xml:space="preserve">Vernis et Finitions</t>
        </is>
      </c>
      <c r="B13" s="0" t="inlineStr">
        <is>
          <t xml:space="preserve">tiers</t>
        </is>
      </c>
      <c r="C13" s="0" t="inlineStr">
        <is>
          <t xml:space="preserve">8 / 12</t>
        </is>
      </c>
      <c r="D13" s="11">
        <v>-17423.02</v>
      </c>
      <c r="E13" s="21">
        <v>24</v>
      </c>
      <c r="F13" s="11">
        <v>-25951.42</v>
      </c>
      <c r="G13" s="7">
        <v>45993</v>
      </c>
    </row>
    <row r="14">
      <c r="A14" s="0" t="inlineStr">
        <is>
          <t xml:space="preserve">SCI Les Halles</t>
        </is>
      </c>
      <c r="B14" s="0" t="inlineStr">
        <is>
          <t xml:space="preserve">tiers</t>
        </is>
      </c>
      <c r="C14" s="0" t="inlineStr">
        <is>
          <t xml:space="preserve">12 / 12</t>
        </is>
      </c>
      <c r="D14" s="11">
        <v>-10200</v>
      </c>
      <c r="E14" s="21">
        <v>4</v>
      </c>
      <c r="F14" s="11">
        <v>-10200</v>
      </c>
      <c r="G14" s="7">
        <v>45996</v>
      </c>
    </row>
    <row r="15">
      <c r="A15" s="0" t="inlineStr">
        <is>
          <t xml:space="preserve">Energie Plus</t>
        </is>
      </c>
      <c r="B15" s="0" t="inlineStr">
        <is>
          <t xml:space="preserve">tiers</t>
        </is>
      </c>
      <c r="C15" s="0" t="inlineStr">
        <is>
          <t xml:space="preserve">12 / 12</t>
        </is>
      </c>
      <c r="D15" s="11">
        <v>-3529.57</v>
      </c>
      <c r="E15" s="21">
        <v>4</v>
      </c>
      <c r="F15" s="11">
        <v>-3481.04</v>
      </c>
      <c r="G15" s="7">
        <v>45996</v>
      </c>
    </row>
    <row r="16">
      <c r="A16" s="0" t="inlineStr">
        <is>
          <t xml:space="preserve">Telecom Pro</t>
        </is>
      </c>
      <c r="B16" s="0" t="inlineStr">
        <is>
          <t xml:space="preserve">tiers</t>
        </is>
      </c>
      <c r="C16" s="0" t="inlineStr">
        <is>
          <t xml:space="preserve">12 / 12</t>
        </is>
      </c>
      <c r="D16" s="11">
        <v>-576</v>
      </c>
      <c r="E16" s="21">
        <v>4</v>
      </c>
      <c r="F16" s="11">
        <v>-576</v>
      </c>
      <c r="G16" s="7">
        <v>45996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topLeftCell="A5" activePane="bottomLeft" state="frozen"/>
    </sheetView>
  </sheetViews>
  <sheetFormatPr defaultRowHeight="12.75"/>
  <cols>
    <col min="1" max="1" width="42" customWidth="1"/>
    <col min="2" max="2" width="8" customWidth="1"/>
    <col min="3" max="3" width="26" customWidth="1"/>
  </cols>
  <sheetData>
    <row r="1">
      <c r="A1" s="1" t="inlineStr">
        <is>
          <t xml:space="preserve">Catégories de flux</t>
        </is>
      </c>
    </row>
    <row r="2">
      <c r="A2" s="2" t="inlineStr">
        <is>
          <t xml:space="preserve">Bloc de chaque catégorie. Pour reclasser un flux, utiliser la colonne « Surcharge » de Flux_detail (liste ci-dessous).</t>
        </is>
      </c>
    </row>
    <row r="4">
      <c r="A4" s="3" t="inlineStr">
        <is>
          <t xml:space="preserve">Catégorie</t>
        </is>
      </c>
      <c r="B4" s="3" t="inlineStr">
        <is>
          <t xml:space="preserve">Bloc</t>
        </is>
      </c>
      <c r="C4" s="3" t="inlineStr">
        <is>
          <t xml:space="preserve">Libellé du bloc</t>
        </is>
      </c>
    </row>
    <row r="5">
      <c r="A5" s="0" t="inlineStr">
        <is>
          <t xml:space="preserve">Clients</t>
        </is>
      </c>
      <c r="B5" s="4" t="inlineStr">
        <is>
          <t xml:space="preserve">EXPL</t>
        </is>
      </c>
      <c r="C5" s="0" t="inlineStr">
        <is>
          <t xml:space="preserve">Flux d'exploitation</t>
        </is>
      </c>
    </row>
    <row r="6">
      <c r="A6" s="0" t="inlineStr">
        <is>
          <t xml:space="preserve">Clients - avances et avoirs</t>
        </is>
      </c>
      <c r="B6" s="4" t="inlineStr">
        <is>
          <t xml:space="preserve">EXPL</t>
        </is>
      </c>
      <c r="C6" s="0" t="inlineStr">
        <is>
          <t xml:space="preserve">Flux d'exploitation</t>
        </is>
      </c>
    </row>
    <row r="7">
      <c r="A7" s="0" t="inlineStr">
        <is>
          <t xml:space="preserve">Subventions et autres produits</t>
        </is>
      </c>
      <c r="B7" s="4" t="inlineStr">
        <is>
          <t xml:space="preserve">EXPL</t>
        </is>
      </c>
      <c r="C7" s="0" t="inlineStr">
        <is>
          <t xml:space="preserve">Flux d'exploitation</t>
        </is>
      </c>
    </row>
    <row r="8">
      <c r="A8" s="0" t="inlineStr">
        <is>
          <t xml:space="preserve">Produits exceptionnels</t>
        </is>
      </c>
      <c r="B8" s="4" t="inlineStr">
        <is>
          <t xml:space="preserve">EXPL</t>
        </is>
      </c>
      <c r="C8" s="0" t="inlineStr">
        <is>
          <t xml:space="preserve">Flux d'exploitation</t>
        </is>
      </c>
    </row>
    <row r="9">
      <c r="A9" s="0" t="inlineStr">
        <is>
          <t xml:space="preserve">Fournisseurs et charges externes</t>
        </is>
      </c>
      <c r="B9" s="4" t="inlineStr">
        <is>
          <t xml:space="preserve">EXPL</t>
        </is>
      </c>
      <c r="C9" s="0" t="inlineStr">
        <is>
          <t xml:space="preserve">Flux d'exploitation</t>
        </is>
      </c>
    </row>
    <row r="10">
      <c r="A10" s="0" t="inlineStr">
        <is>
          <t xml:space="preserve">Frais bancaires</t>
        </is>
      </c>
      <c r="B10" s="4" t="inlineStr">
        <is>
          <t xml:space="preserve">EXPL</t>
        </is>
      </c>
      <c r="C10" s="0" t="inlineStr">
        <is>
          <t xml:space="preserve">Flux d'exploitation</t>
        </is>
      </c>
    </row>
    <row r="11">
      <c r="A11" s="0" t="inlineStr">
        <is>
          <t xml:space="preserve">Salaires et personnel</t>
        </is>
      </c>
      <c r="B11" s="4" t="inlineStr">
        <is>
          <t xml:space="preserve">EXPL</t>
        </is>
      </c>
      <c r="C11" s="0" t="inlineStr">
        <is>
          <t xml:space="preserve">Flux d'exploitation</t>
        </is>
      </c>
    </row>
    <row r="12">
      <c r="A12" s="0" t="inlineStr">
        <is>
          <t xml:space="preserve">Prélèvement à la source</t>
        </is>
      </c>
      <c r="B12" s="4" t="inlineStr">
        <is>
          <t xml:space="preserve">EXPL</t>
        </is>
      </c>
      <c r="C12" s="0" t="inlineStr">
        <is>
          <t xml:space="preserve">Flux d'exploitation</t>
        </is>
      </c>
    </row>
    <row r="13">
      <c r="A13" s="0" t="inlineStr">
        <is>
          <t xml:space="preserve">Charges sociales</t>
        </is>
      </c>
      <c r="B13" s="4" t="inlineStr">
        <is>
          <t xml:space="preserve">EXPL</t>
        </is>
      </c>
      <c r="C13" s="0" t="inlineStr">
        <is>
          <t xml:space="preserve">Flux d'exploitation</t>
        </is>
      </c>
    </row>
    <row r="14">
      <c r="A14" s="0" t="inlineStr">
        <is>
          <t xml:space="preserve">TVA</t>
        </is>
      </c>
      <c r="B14" s="4" t="inlineStr">
        <is>
          <t xml:space="preserve">EXPL</t>
        </is>
      </c>
      <c r="C14" s="0" t="inlineStr">
        <is>
          <t xml:space="preserve">Flux d'exploitation</t>
        </is>
      </c>
    </row>
    <row r="15">
      <c r="A15" s="0" t="inlineStr">
        <is>
          <t xml:space="preserve">Impôt sur les sociétés</t>
        </is>
      </c>
      <c r="B15" s="4" t="inlineStr">
        <is>
          <t xml:space="preserve">EXPL</t>
        </is>
      </c>
      <c r="C15" s="0" t="inlineStr">
        <is>
          <t xml:space="preserve">Flux d'exploitation</t>
        </is>
      </c>
    </row>
    <row r="16">
      <c r="A16" s="0" t="inlineStr">
        <is>
          <t xml:space="preserve">Autres impôts et taxes</t>
        </is>
      </c>
      <c r="B16" s="4" t="inlineStr">
        <is>
          <t xml:space="preserve">EXPL</t>
        </is>
      </c>
      <c r="C16" s="0" t="inlineStr">
        <is>
          <t xml:space="preserve">Flux d'exploitation</t>
        </is>
      </c>
    </row>
    <row r="17">
      <c r="A17" s="0" t="inlineStr">
        <is>
          <t xml:space="preserve">Autres charges</t>
        </is>
      </c>
      <c r="B17" s="4" t="inlineStr">
        <is>
          <t xml:space="preserve">EXPL</t>
        </is>
      </c>
      <c r="C17" s="0" t="inlineStr">
        <is>
          <t xml:space="preserve">Flux d'exploitation</t>
        </is>
      </c>
    </row>
    <row r="18">
      <c r="A18" s="0" t="inlineStr">
        <is>
          <t xml:space="preserve">Charges exceptionnelles</t>
        </is>
      </c>
      <c r="B18" s="4" t="inlineStr">
        <is>
          <t xml:space="preserve">EXPL</t>
        </is>
      </c>
      <c r="C18" s="0" t="inlineStr">
        <is>
          <t xml:space="preserve">Flux d'exploitation</t>
        </is>
      </c>
    </row>
    <row r="19">
      <c r="A19" s="0" t="inlineStr">
        <is>
          <t xml:space="preserve">Investissements</t>
        </is>
      </c>
      <c r="B19" s="4" t="inlineStr">
        <is>
          <t xml:space="preserve">INV</t>
        </is>
      </c>
      <c r="C19" s="0" t="inlineStr">
        <is>
          <t xml:space="preserve">Flux d'investissement</t>
        </is>
      </c>
    </row>
    <row r="20">
      <c r="A20" s="0" t="inlineStr">
        <is>
          <t xml:space="preserve">Emprunts - capital</t>
        </is>
      </c>
      <c r="B20" s="4" t="inlineStr">
        <is>
          <t xml:space="preserve">FIN</t>
        </is>
      </c>
      <c r="C20" s="0" t="inlineStr">
        <is>
          <t xml:space="preserve">Flux de financement</t>
        </is>
      </c>
    </row>
    <row r="21">
      <c r="A21" s="0" t="inlineStr">
        <is>
          <t xml:space="preserve">Intérêts et charges financières</t>
        </is>
      </c>
      <c r="B21" s="4" t="inlineStr">
        <is>
          <t xml:space="preserve">FIN</t>
        </is>
      </c>
      <c r="C21" s="0" t="inlineStr">
        <is>
          <t xml:space="preserve">Flux de financement</t>
        </is>
      </c>
    </row>
    <row r="22">
      <c r="A22" s="0" t="inlineStr">
        <is>
          <t xml:space="preserve">Produits financiers</t>
        </is>
      </c>
      <c r="B22" s="4" t="inlineStr">
        <is>
          <t xml:space="preserve">FIN</t>
        </is>
      </c>
      <c r="C22" s="0" t="inlineStr">
        <is>
          <t xml:space="preserve">Flux de financement</t>
        </is>
      </c>
    </row>
    <row r="23">
      <c r="A23" s="0" t="inlineStr">
        <is>
          <t xml:space="preserve">Concours bancaires court terme</t>
        </is>
      </c>
      <c r="B23" s="4" t="inlineStr">
        <is>
          <t xml:space="preserve">FIN</t>
        </is>
      </c>
      <c r="C23" s="0" t="inlineStr">
        <is>
          <t xml:space="preserve">Flux de financement</t>
        </is>
      </c>
    </row>
    <row r="24">
      <c r="A24" s="0" t="inlineStr">
        <is>
          <t xml:space="preserve">Associés et groupe</t>
        </is>
      </c>
      <c r="B24" s="4" t="inlineStr">
        <is>
          <t xml:space="preserve">FIN</t>
        </is>
      </c>
      <c r="C24" s="0" t="inlineStr">
        <is>
          <t xml:space="preserve">Flux de financement</t>
        </is>
      </c>
    </row>
    <row r="25">
      <c r="A25" s="0" t="inlineStr">
        <is>
          <t xml:space="preserve">Dividendes</t>
        </is>
      </c>
      <c r="B25" s="4" t="inlineStr">
        <is>
          <t xml:space="preserve">FIN</t>
        </is>
      </c>
      <c r="C25" s="0" t="inlineStr">
        <is>
          <t xml:space="preserve">Flux de financement</t>
        </is>
      </c>
    </row>
    <row r="26">
      <c r="A26" s="0" t="inlineStr">
        <is>
          <t xml:space="preserve">Capital et subventions d'investissement</t>
        </is>
      </c>
      <c r="B26" s="4" t="inlineStr">
        <is>
          <t xml:space="preserve">FIN</t>
        </is>
      </c>
      <c r="C26" s="0" t="inlineStr">
        <is>
          <t xml:space="preserve">Flux de financement</t>
        </is>
      </c>
    </row>
    <row r="27">
      <c r="A27" s="0" t="inlineStr">
        <is>
          <t xml:space="preserve">Autres financements</t>
        </is>
      </c>
      <c r="B27" s="4" t="inlineStr">
        <is>
          <t xml:space="preserve">FIN</t>
        </is>
      </c>
      <c r="C27" s="0" t="inlineStr">
        <is>
          <t xml:space="preserve">Flux de financement</t>
        </is>
      </c>
    </row>
    <row r="28">
      <c r="A28" s="0" t="inlineStr">
        <is>
          <t xml:space="preserve">Encaissements via le factor</t>
        </is>
      </c>
      <c r="B28" s="4" t="inlineStr">
        <is>
          <t xml:space="preserve">EXPL</t>
        </is>
      </c>
      <c r="C28" s="0" t="inlineStr">
        <is>
          <t xml:space="preserve">Flux d'exploitation</t>
        </is>
      </c>
    </row>
    <row r="29">
      <c r="A29" s="0" t="inlineStr">
        <is>
          <t xml:space="preserve">Compte d'attente (non affecté)</t>
        </is>
      </c>
      <c r="B29" s="4" t="inlineStr">
        <is>
          <t xml:space="preserve">NA</t>
        </is>
      </c>
      <c r="C29" s="0" t="inlineStr">
        <is>
          <t xml:space="preserve">Flux non affectés</t>
        </is>
      </c>
    </row>
    <row r="30">
      <c r="A30" s="0" t="inlineStr">
        <is>
          <t xml:space="preserve">Transit 58 non rapproché</t>
        </is>
      </c>
      <c r="B30" s="4" t="inlineStr">
        <is>
          <t xml:space="preserve">NA</t>
        </is>
      </c>
      <c r="C30" s="0" t="inlineStr">
        <is>
          <t xml:space="preserve">Flux non affectés</t>
        </is>
      </c>
    </row>
    <row r="31">
      <c r="A31" s="0" t="inlineStr">
        <is>
          <t xml:space="preserve">Débiteurs et créditeurs divers</t>
        </is>
      </c>
      <c r="B31" s="4" t="inlineStr">
        <is>
          <t xml:space="preserve">NA</t>
        </is>
      </c>
      <c r="C31" s="0" t="inlineStr">
        <is>
          <t xml:space="preserve">Flux non affectés</t>
        </is>
      </c>
    </row>
    <row r="32">
      <c r="A32" s="0" t="inlineStr">
        <is>
          <t xml:space="preserve">Autres</t>
        </is>
      </c>
      <c r="B32" s="4" t="inlineStr">
        <is>
          <t xml:space="preserve">NA</t>
        </is>
      </c>
      <c r="C32" s="0" t="inlineStr">
        <is>
          <t xml:space="preserve">Flux non affectés</t>
        </is>
      </c>
    </row>
    <row r="33">
      <c r="A33" s="0" t="inlineStr">
        <is>
          <t xml:space="preserve">Placements de trésorerie (CAT, VMP)</t>
        </is>
      </c>
      <c r="B33" s="4" t="inlineStr">
        <is>
          <t xml:space="preserve">INT</t>
        </is>
      </c>
      <c r="C33" s="0" t="inlineStr">
        <is>
          <t xml:space="preserve">Virements internes</t>
        </is>
      </c>
    </row>
    <row r="34">
      <c r="A34" s="0" t="inlineStr">
        <is>
          <t xml:space="preserve">Virements internes</t>
        </is>
      </c>
      <c r="B34" s="4" t="inlineStr">
        <is>
          <t xml:space="preserve">INT</t>
        </is>
      </c>
      <c r="C34" s="0" t="inlineStr">
        <is>
          <t xml:space="preserve">Virements internes</t>
        </is>
      </c>
    </row>
    <row r="35">
      <c r="A35" s="0" t="inlineStr">
        <is>
          <t xml:space="preserve">Virements internes (transit groupé)</t>
        </is>
      </c>
      <c r="B35" s="4" t="inlineStr">
        <is>
          <t xml:space="preserve">INT</t>
        </is>
      </c>
      <c r="C35" s="0" t="inlineStr">
        <is>
          <t xml:space="preserve">Virements internes</t>
        </is>
      </c>
    </row>
    <row r="37">
      <c r="A37" s="5" t="inlineStr">
        <is>
          <t xml:space="preserve">Règles d'affectation (compte de contrepartie de l'écriture de banque, racine la plus longue)</t>
        </is>
      </c>
    </row>
    <row r="38">
      <c r="A38" s="3" t="inlineStr">
        <is>
          <t xml:space="preserve">Racine</t>
        </is>
      </c>
      <c r="B38" s="3" t="inlineStr">
        <is>
          <t xml:space="preserve">Catégorie</t>
        </is>
      </c>
      <c r="C38" s="3" t="inlineStr">
        <is>
          <t xml:space="preserve">Bloc</t>
        </is>
      </c>
    </row>
    <row r="39">
      <c r="A39" s="6" t="inlineStr">
        <is>
          <t xml:space="preserve">1</t>
        </is>
      </c>
      <c r="B39" s="0" t="inlineStr">
        <is>
          <t xml:space="preserve">Autres financements</t>
        </is>
      </c>
      <c r="C39" s="0" t="inlineStr">
        <is>
          <t xml:space="preserve">FIN</t>
        </is>
      </c>
    </row>
    <row r="40">
      <c r="A40" s="6" t="inlineStr">
        <is>
          <t xml:space="preserve">10</t>
        </is>
      </c>
      <c r="B40" s="0" t="inlineStr">
        <is>
          <t xml:space="preserve">Capital et subventions d'investissement</t>
        </is>
      </c>
      <c r="C40" s="0" t="inlineStr">
        <is>
          <t xml:space="preserve">FIN</t>
        </is>
      </c>
    </row>
    <row r="41">
      <c r="A41" s="6" t="inlineStr">
        <is>
          <t xml:space="preserve">13</t>
        </is>
      </c>
      <c r="B41" s="0" t="inlineStr">
        <is>
          <t xml:space="preserve">Capital et subventions d'investissement</t>
        </is>
      </c>
      <c r="C41" s="0" t="inlineStr">
        <is>
          <t xml:space="preserve">FIN</t>
        </is>
      </c>
    </row>
    <row r="42">
      <c r="A42" s="6" t="inlineStr">
        <is>
          <t xml:space="preserve">16</t>
        </is>
      </c>
      <c r="B42" s="0" t="inlineStr">
        <is>
          <t xml:space="preserve">Emprunts - capital</t>
        </is>
      </c>
      <c r="C42" s="0" t="inlineStr">
        <is>
          <t xml:space="preserve">FIN</t>
        </is>
      </c>
    </row>
    <row r="43">
      <c r="A43" s="6" t="inlineStr">
        <is>
          <t xml:space="preserve">17</t>
        </is>
      </c>
      <c r="B43" s="0" t="inlineStr">
        <is>
          <t xml:space="preserve">Emprunts - capital</t>
        </is>
      </c>
      <c r="C43" s="0" t="inlineStr">
        <is>
          <t xml:space="preserve">FIN</t>
        </is>
      </c>
    </row>
    <row r="44">
      <c r="A44" s="6" t="inlineStr">
        <is>
          <t xml:space="preserve">2</t>
        </is>
      </c>
      <c r="B44" s="0" t="inlineStr">
        <is>
          <t xml:space="preserve">Investissements</t>
        </is>
      </c>
      <c r="C44" s="0" t="inlineStr">
        <is>
          <t xml:space="preserve">INV</t>
        </is>
      </c>
    </row>
    <row r="45">
      <c r="A45" s="6" t="inlineStr">
        <is>
          <t xml:space="preserve">3</t>
        </is>
      </c>
      <c r="B45" s="0" t="inlineStr">
        <is>
          <t xml:space="preserve">Autres</t>
        </is>
      </c>
      <c r="C45" s="0" t="inlineStr">
        <is>
          <t xml:space="preserve">NA</t>
        </is>
      </c>
    </row>
    <row r="46">
      <c r="A46" s="6" t="inlineStr">
        <is>
          <t xml:space="preserve">40</t>
        </is>
      </c>
      <c r="B46" s="0" t="inlineStr">
        <is>
          <t xml:space="preserve">Fournisseurs et charges externes</t>
        </is>
      </c>
      <c r="C46" s="0" t="inlineStr">
        <is>
          <t xml:space="preserve">EXPL</t>
        </is>
      </c>
    </row>
    <row r="47">
      <c r="A47" s="6" t="inlineStr">
        <is>
          <t xml:space="preserve">404</t>
        </is>
      </c>
      <c r="B47" s="0" t="inlineStr">
        <is>
          <t xml:space="preserve">Investissements</t>
        </is>
      </c>
      <c r="C47" s="0" t="inlineStr">
        <is>
          <t xml:space="preserve">INV</t>
        </is>
      </c>
    </row>
    <row r="48">
      <c r="A48" s="6" t="inlineStr">
        <is>
          <t xml:space="preserve">405</t>
        </is>
      </c>
      <c r="B48" s="0" t="inlineStr">
        <is>
          <t xml:space="preserve">Investissements</t>
        </is>
      </c>
      <c r="C48" s="0" t="inlineStr">
        <is>
          <t xml:space="preserve">INV</t>
        </is>
      </c>
    </row>
    <row r="49">
      <c r="A49" s="6" t="inlineStr">
        <is>
          <t xml:space="preserve">41</t>
        </is>
      </c>
      <c r="B49" s="0" t="inlineStr">
        <is>
          <t xml:space="preserve">Clients</t>
        </is>
      </c>
      <c r="C49" s="0" t="inlineStr">
        <is>
          <t xml:space="preserve">EXPL</t>
        </is>
      </c>
    </row>
    <row r="50">
      <c r="A50" s="6" t="inlineStr">
        <is>
          <t xml:space="preserve">419</t>
        </is>
      </c>
      <c r="B50" s="0" t="inlineStr">
        <is>
          <t xml:space="preserve">Clients - avances et avoirs</t>
        </is>
      </c>
      <c r="C50" s="0" t="inlineStr">
        <is>
          <t xml:space="preserve">EXPL</t>
        </is>
      </c>
    </row>
    <row r="51">
      <c r="A51" s="6" t="inlineStr">
        <is>
          <t xml:space="preserve">42</t>
        </is>
      </c>
      <c r="B51" s="0" t="inlineStr">
        <is>
          <t xml:space="preserve">Salaires et personnel</t>
        </is>
      </c>
      <c r="C51" s="0" t="inlineStr">
        <is>
          <t xml:space="preserve">EXPL</t>
        </is>
      </c>
    </row>
    <row r="52">
      <c r="A52" s="6" t="inlineStr">
        <is>
          <t xml:space="preserve">421</t>
        </is>
      </c>
      <c r="B52" s="0" t="inlineStr">
        <is>
          <t xml:space="preserve">Salaires et personnel</t>
        </is>
      </c>
      <c r="C52" s="0" t="inlineStr">
        <is>
          <t xml:space="preserve">EXPL</t>
        </is>
      </c>
    </row>
    <row r="53">
      <c r="A53" s="6" t="inlineStr">
        <is>
          <t xml:space="preserve">43</t>
        </is>
      </c>
      <c r="B53" s="0" t="inlineStr">
        <is>
          <t xml:space="preserve">Charges sociales</t>
        </is>
      </c>
      <c r="C53" s="0" t="inlineStr">
        <is>
          <t xml:space="preserve">EXPL</t>
        </is>
      </c>
    </row>
    <row r="54">
      <c r="A54" s="6" t="inlineStr">
        <is>
          <t xml:space="preserve">44</t>
        </is>
      </c>
      <c r="B54" s="0" t="inlineStr">
        <is>
          <t xml:space="preserve">Autres impôts et taxes</t>
        </is>
      </c>
      <c r="C54" s="0" t="inlineStr">
        <is>
          <t xml:space="preserve">EXPL</t>
        </is>
      </c>
    </row>
    <row r="55">
      <c r="A55" s="6" t="inlineStr">
        <is>
          <t xml:space="preserve">442</t>
        </is>
      </c>
      <c r="B55" s="0" t="inlineStr">
        <is>
          <t xml:space="preserve">Prélèvement à la source</t>
        </is>
      </c>
      <c r="C55" s="0" t="inlineStr">
        <is>
          <t xml:space="preserve">EXPL</t>
        </is>
      </c>
    </row>
    <row r="56">
      <c r="A56" s="6" t="inlineStr">
        <is>
          <t xml:space="preserve">444</t>
        </is>
      </c>
      <c r="B56" s="0" t="inlineStr">
        <is>
          <t xml:space="preserve">Impôt sur les sociétés</t>
        </is>
      </c>
      <c r="C56" s="0" t="inlineStr">
        <is>
          <t xml:space="preserve">EXPL</t>
        </is>
      </c>
    </row>
    <row r="57">
      <c r="A57" s="6" t="inlineStr">
        <is>
          <t xml:space="preserve">445</t>
        </is>
      </c>
      <c r="B57" s="0" t="inlineStr">
        <is>
          <t xml:space="preserve">TVA</t>
        </is>
      </c>
      <c r="C57" s="0" t="inlineStr">
        <is>
          <t xml:space="preserve">EXPL</t>
        </is>
      </c>
    </row>
    <row r="58">
      <c r="A58" s="6" t="inlineStr">
        <is>
          <t xml:space="preserve">45</t>
        </is>
      </c>
      <c r="B58" s="0" t="inlineStr">
        <is>
          <t xml:space="preserve">Associés et groupe</t>
        </is>
      </c>
      <c r="C58" s="0" t="inlineStr">
        <is>
          <t xml:space="preserve">FIN</t>
        </is>
      </c>
    </row>
    <row r="59">
      <c r="A59" s="6" t="inlineStr">
        <is>
          <t xml:space="preserve">457</t>
        </is>
      </c>
      <c r="B59" s="0" t="inlineStr">
        <is>
          <t xml:space="preserve">Dividendes</t>
        </is>
      </c>
      <c r="C59" s="0" t="inlineStr">
        <is>
          <t xml:space="preserve">FIN</t>
        </is>
      </c>
    </row>
    <row r="60">
      <c r="A60" s="6" t="inlineStr">
        <is>
          <t xml:space="preserve">46</t>
        </is>
      </c>
      <c r="B60" s="0" t="inlineStr">
        <is>
          <t xml:space="preserve">Débiteurs et créditeurs divers</t>
        </is>
      </c>
      <c r="C60" s="0" t="inlineStr">
        <is>
          <t xml:space="preserve">NA</t>
        </is>
      </c>
    </row>
    <row r="61">
      <c r="A61" s="6" t="inlineStr">
        <is>
          <t xml:space="preserve">47</t>
        </is>
      </c>
      <c r="B61" s="0" t="inlineStr">
        <is>
          <t xml:space="preserve">Compte d'attente (non affecté)</t>
        </is>
      </c>
      <c r="C61" s="0" t="inlineStr">
        <is>
          <t xml:space="preserve">NA</t>
        </is>
      </c>
    </row>
    <row r="62">
      <c r="A62" s="6" t="inlineStr">
        <is>
          <t xml:space="preserve">48</t>
        </is>
      </c>
      <c r="B62" s="0" t="inlineStr">
        <is>
          <t xml:space="preserve">Débiteurs et créditeurs divers</t>
        </is>
      </c>
      <c r="C62" s="0" t="inlineStr">
        <is>
          <t xml:space="preserve">NA</t>
        </is>
      </c>
    </row>
    <row r="63">
      <c r="A63" s="6" t="inlineStr">
        <is>
          <t xml:space="preserve">50</t>
        </is>
      </c>
      <c r="B63" s="0" t="inlineStr">
        <is>
          <t xml:space="preserve">Placements de trésorerie (CAT, VMP)</t>
        </is>
      </c>
      <c r="C63" s="0" t="inlineStr">
        <is>
          <t xml:space="preserve">INT</t>
        </is>
      </c>
    </row>
    <row r="64">
      <c r="A64" s="6" t="inlineStr">
        <is>
          <t xml:space="preserve">51</t>
        </is>
      </c>
      <c r="B64" s="0" t="inlineStr">
        <is>
          <t xml:space="preserve">Virements internes</t>
        </is>
      </c>
      <c r="C64" s="0" t="inlineStr">
        <is>
          <t xml:space="preserve">INT</t>
        </is>
      </c>
    </row>
    <row r="65">
      <c r="A65" s="6" t="inlineStr">
        <is>
          <t xml:space="preserve">519</t>
        </is>
      </c>
      <c r="B65" s="0" t="inlineStr">
        <is>
          <t xml:space="preserve">Concours bancaires court terme</t>
        </is>
      </c>
      <c r="C65" s="0" t="inlineStr">
        <is>
          <t xml:space="preserve">FIN</t>
        </is>
      </c>
    </row>
    <row r="66">
      <c r="A66" s="6" t="inlineStr">
        <is>
          <t xml:space="preserve">53</t>
        </is>
      </c>
      <c r="B66" s="0" t="inlineStr">
        <is>
          <t xml:space="preserve">Virements internes</t>
        </is>
      </c>
      <c r="C66" s="0" t="inlineStr">
        <is>
          <t xml:space="preserve">INT</t>
        </is>
      </c>
    </row>
    <row r="67">
      <c r="A67" s="6" t="inlineStr">
        <is>
          <t xml:space="preserve">58</t>
        </is>
      </c>
      <c r="B67" s="0" t="inlineStr">
        <is>
          <t xml:space="preserve">Virements internes</t>
        </is>
      </c>
      <c r="C67" s="0" t="inlineStr">
        <is>
          <t xml:space="preserve">INT</t>
        </is>
      </c>
    </row>
    <row r="68">
      <c r="A68" s="6" t="inlineStr">
        <is>
          <t xml:space="preserve">6</t>
        </is>
      </c>
      <c r="B68" s="0" t="inlineStr">
        <is>
          <t xml:space="preserve">Fournisseurs et charges externes</t>
        </is>
      </c>
      <c r="C68" s="0" t="inlineStr">
        <is>
          <t xml:space="preserve">EXPL</t>
        </is>
      </c>
    </row>
    <row r="69">
      <c r="A69" s="6" t="inlineStr">
        <is>
          <t xml:space="preserve">60</t>
        </is>
      </c>
      <c r="B69" s="0" t="inlineStr">
        <is>
          <t xml:space="preserve">Fournisseurs et charges externes</t>
        </is>
      </c>
      <c r="C69" s="0" t="inlineStr">
        <is>
          <t xml:space="preserve">EXPL</t>
        </is>
      </c>
    </row>
    <row r="70">
      <c r="A70" s="6" t="inlineStr">
        <is>
          <t xml:space="preserve">61</t>
        </is>
      </c>
      <c r="B70" s="0" t="inlineStr">
        <is>
          <t xml:space="preserve">Fournisseurs et charges externes</t>
        </is>
      </c>
      <c r="C70" s="0" t="inlineStr">
        <is>
          <t xml:space="preserve">EXPL</t>
        </is>
      </c>
    </row>
    <row r="71">
      <c r="A71" s="6" t="inlineStr">
        <is>
          <t xml:space="preserve">62</t>
        </is>
      </c>
      <c r="B71" s="0" t="inlineStr">
        <is>
          <t xml:space="preserve">Fournisseurs et charges externes</t>
        </is>
      </c>
      <c r="C71" s="0" t="inlineStr">
        <is>
          <t xml:space="preserve">EXPL</t>
        </is>
      </c>
    </row>
    <row r="72">
      <c r="A72" s="6" t="inlineStr">
        <is>
          <t xml:space="preserve">627</t>
        </is>
      </c>
      <c r="B72" s="0" t="inlineStr">
        <is>
          <t xml:space="preserve">Frais bancaires</t>
        </is>
      </c>
      <c r="C72" s="0" t="inlineStr">
        <is>
          <t xml:space="preserve">EXPL</t>
        </is>
      </c>
    </row>
    <row r="73">
      <c r="A73" s="6" t="inlineStr">
        <is>
          <t xml:space="preserve">63</t>
        </is>
      </c>
      <c r="B73" s="0" t="inlineStr">
        <is>
          <t xml:space="preserve">Autres impôts et taxes</t>
        </is>
      </c>
      <c r="C73" s="0" t="inlineStr">
        <is>
          <t xml:space="preserve">EXPL</t>
        </is>
      </c>
    </row>
    <row r="74">
      <c r="A74" s="6" t="inlineStr">
        <is>
          <t xml:space="preserve">64</t>
        </is>
      </c>
      <c r="B74" s="0" t="inlineStr">
        <is>
          <t xml:space="preserve">Salaires et personnel</t>
        </is>
      </c>
      <c r="C74" s="0" t="inlineStr">
        <is>
          <t xml:space="preserve">EXPL</t>
        </is>
      </c>
    </row>
    <row r="75">
      <c r="A75" s="6" t="inlineStr">
        <is>
          <t xml:space="preserve">645</t>
        </is>
      </c>
      <c r="B75" s="0" t="inlineStr">
        <is>
          <t xml:space="preserve">Charges sociales</t>
        </is>
      </c>
      <c r="C75" s="0" t="inlineStr">
        <is>
          <t xml:space="preserve">EXPL</t>
        </is>
      </c>
    </row>
    <row r="76">
      <c r="A76" s="6" t="inlineStr">
        <is>
          <t xml:space="preserve">646</t>
        </is>
      </c>
      <c r="B76" s="0" t="inlineStr">
        <is>
          <t xml:space="preserve">Charges sociales</t>
        </is>
      </c>
      <c r="C76" s="0" t="inlineStr">
        <is>
          <t xml:space="preserve">EXPL</t>
        </is>
      </c>
    </row>
    <row r="77">
      <c r="A77" s="6" t="inlineStr">
        <is>
          <t xml:space="preserve">647</t>
        </is>
      </c>
      <c r="B77" s="0" t="inlineStr">
        <is>
          <t xml:space="preserve">Charges sociales</t>
        </is>
      </c>
      <c r="C77" s="0" t="inlineStr">
        <is>
          <t xml:space="preserve">EXPL</t>
        </is>
      </c>
    </row>
    <row r="78">
      <c r="A78" s="6" t="inlineStr">
        <is>
          <t xml:space="preserve">65</t>
        </is>
      </c>
      <c r="B78" s="0" t="inlineStr">
        <is>
          <t xml:space="preserve">Autres charges</t>
        </is>
      </c>
      <c r="C78" s="0" t="inlineStr">
        <is>
          <t xml:space="preserve">EXPL</t>
        </is>
      </c>
    </row>
    <row r="79">
      <c r="A79" s="6" t="inlineStr">
        <is>
          <t xml:space="preserve">66</t>
        </is>
      </c>
      <c r="B79" s="0" t="inlineStr">
        <is>
          <t xml:space="preserve">Intérêts et charges financières</t>
        </is>
      </c>
      <c r="C79" s="0" t="inlineStr">
        <is>
          <t xml:space="preserve">FIN</t>
        </is>
      </c>
    </row>
    <row r="80">
      <c r="A80" s="6" t="inlineStr">
        <is>
          <t xml:space="preserve">67</t>
        </is>
      </c>
      <c r="B80" s="0" t="inlineStr">
        <is>
          <t xml:space="preserve">Charges exceptionnelles</t>
        </is>
      </c>
      <c r="C80" s="0" t="inlineStr">
        <is>
          <t xml:space="preserve">EXPL</t>
        </is>
      </c>
    </row>
    <row r="81">
      <c r="A81" s="6" t="inlineStr">
        <is>
          <t xml:space="preserve">695</t>
        </is>
      </c>
      <c r="B81" s="0" t="inlineStr">
        <is>
          <t xml:space="preserve">Impôt sur les sociétés</t>
        </is>
      </c>
      <c r="C81" s="0" t="inlineStr">
        <is>
          <t xml:space="preserve">EXPL</t>
        </is>
      </c>
    </row>
    <row r="82">
      <c r="A82" s="6" t="inlineStr">
        <is>
          <t xml:space="preserve">7</t>
        </is>
      </c>
      <c r="B82" s="0" t="inlineStr">
        <is>
          <t xml:space="preserve">Subventions et autres produits</t>
        </is>
      </c>
      <c r="C82" s="0" t="inlineStr">
        <is>
          <t xml:space="preserve">EXPL</t>
        </is>
      </c>
    </row>
    <row r="83">
      <c r="A83" s="6" t="inlineStr">
        <is>
          <t xml:space="preserve">70</t>
        </is>
      </c>
      <c r="B83" s="0" t="inlineStr">
        <is>
          <t xml:space="preserve">Clients</t>
        </is>
      </c>
      <c r="C83" s="0" t="inlineStr">
        <is>
          <t xml:space="preserve">EXPL</t>
        </is>
      </c>
    </row>
    <row r="84">
      <c r="A84" s="6" t="inlineStr">
        <is>
          <t xml:space="preserve">74</t>
        </is>
      </c>
      <c r="B84" s="0" t="inlineStr">
        <is>
          <t xml:space="preserve">Subventions et autres produits</t>
        </is>
      </c>
      <c r="C84" s="0" t="inlineStr">
        <is>
          <t xml:space="preserve">EXPL</t>
        </is>
      </c>
    </row>
    <row r="85">
      <c r="A85" s="6" t="inlineStr">
        <is>
          <t xml:space="preserve">75</t>
        </is>
      </c>
      <c r="B85" s="0" t="inlineStr">
        <is>
          <t xml:space="preserve">Subventions et autres produits</t>
        </is>
      </c>
      <c r="C85" s="0" t="inlineStr">
        <is>
          <t xml:space="preserve">EXPL</t>
        </is>
      </c>
    </row>
    <row r="86">
      <c r="A86" s="6" t="inlineStr">
        <is>
          <t xml:space="preserve">76</t>
        </is>
      </c>
      <c r="B86" s="0" t="inlineStr">
        <is>
          <t xml:space="preserve">Produits financiers</t>
        </is>
      </c>
      <c r="C86" s="0" t="inlineStr">
        <is>
          <t xml:space="preserve">FIN</t>
        </is>
      </c>
    </row>
    <row r="87">
      <c r="A87" s="6" t="inlineStr">
        <is>
          <t xml:space="preserve">77</t>
        </is>
      </c>
      <c r="B87" s="0" t="inlineStr">
        <is>
          <t xml:space="preserve">Produits exceptionnels</t>
        </is>
      </c>
      <c r="C87" s="0" t="inlineStr">
        <is>
          <t xml:space="preserve">EXPL</t>
        </is>
      </c>
    </row>
    <row r="88">
      <c r="A88" s="6" t="inlineStr">
        <is>
          <t xml:space="preserve">79</t>
        </is>
      </c>
      <c r="B88" s="0" t="inlineStr">
        <is>
          <t xml:space="preserve">Subventions et autres produits</t>
        </is>
      </c>
      <c r="C88" s="0" t="inlineStr">
        <is>
          <t xml:space="preserve">EXPL</t>
        </is>
      </c>
    </row>
    <row r="90">
      <c r="A90" s="2" t="inlineStr">
        <is>
          <t xml:space="preserve">Compte dont le libellé contient FACTOR, AFFACTURAGE, COFACREDIT ou EUROFACTOR → « Encaissements via le factor » (bloc exploitation : ce sont les créances cédées, avancées par le factor). Les comptes courants du factor tenus en 51x sont exclus de la trésorerie bancaire.</t>
        </is>
      </c>
    </row>
    <row r="91">
      <c r="A91" s="2" t="inlineStr">
        <is>
          <t xml:space="preserve">Compte 58 : apparié à l'autre banque (virement interne), sinon à l'écriture hors banque qui le solde (catégorie de ses contreparties), sinon « Transit 58 non rapproché ».</t>
        </is>
      </c>
    </row>
    <row r="92">
      <c r="A92" s="2" t="inlineStr">
        <is>
          <t xml:space="preserve">Écriture de banque à plusieurs contreparties : chaque contrepartie donne un flux de son propre montant (la somme égale le mouvement de banque).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sheetFormatPr defaultRowHeight="12.75"/>
  <cols>
    <col min="1" max="1" width="11" customWidth="1"/>
    <col min="2" max="2" width="10" customWidth="1"/>
    <col min="3" max="3" width="9" customWidth="1"/>
    <col min="4" max="4" width="10" customWidth="1"/>
    <col min="5" max="5" width="12" customWidth="1"/>
    <col min="6" max="6" width="7" customWidth="1"/>
    <col min="7" max="7" width="11" customWidth="1"/>
    <col min="8" max="8" width="12" customWidth="1"/>
    <col min="9" max="9" width="36" customWidth="1"/>
    <col min="10" max="10" width="24" customWidth="1"/>
    <col min="11" max="11" width="13" customWidth="1"/>
    <col min="12" max="12" width="28" customWidth="1"/>
    <col min="13" max="13" width="16" customWidth="1"/>
    <col min="14" max="14" width="28" customWidth="1"/>
    <col min="15" max="15" width="7" customWidth="1"/>
  </cols>
  <sheetData>
    <row r="1">
      <c r="A1" s="3" t="inlineStr">
        <is>
          <t xml:space="preserve">Date</t>
        </is>
      </c>
      <c r="B1" s="3" t="inlineStr">
        <is>
          <t xml:space="preserve">Semaine</t>
        </is>
      </c>
      <c r="C1" s="3" t="inlineStr">
        <is>
          <t xml:space="preserve">Mois</t>
        </is>
      </c>
      <c r="D1" s="3" t="inlineStr">
        <is>
          <t xml:space="preserve">Exercice</t>
        </is>
      </c>
      <c r="E1" s="3" t="inlineStr">
        <is>
          <t xml:space="preserve">Banque</t>
        </is>
      </c>
      <c r="F1" s="3" t="inlineStr">
        <is>
          <t xml:space="preserve">Journal</t>
        </is>
      </c>
      <c r="G1" s="3" t="inlineStr">
        <is>
          <t xml:space="preserve">N° écriture</t>
        </is>
      </c>
      <c r="H1" s="3" t="inlineStr">
        <is>
          <t xml:space="preserve">Contrepartie</t>
        </is>
      </c>
      <c r="I1" s="3" t="inlineStr">
        <is>
          <t xml:space="preserve">Libellé</t>
        </is>
      </c>
      <c r="J1" s="3" t="inlineStr">
        <is>
          <t xml:space="preserve">Tiers</t>
        </is>
      </c>
      <c r="K1" s="3" t="inlineStr">
        <is>
          <t xml:space="preserve">Montant</t>
        </is>
      </c>
      <c r="L1" s="3" t="inlineStr">
        <is>
          <t xml:space="preserve">Catégorie proposée</t>
        </is>
      </c>
      <c r="M1" s="3" t="inlineStr">
        <is>
          <t xml:space="preserve">Surcharge</t>
        </is>
      </c>
      <c r="N1" s="3" t="inlineStr">
        <is>
          <t xml:space="preserve">Catégorie retenue</t>
        </is>
      </c>
      <c r="O1" s="3" t="inlineStr">
        <is>
          <t xml:space="preserve">Bloc</t>
        </is>
      </c>
    </row>
    <row r="2">
      <c r="A2" s="7">
        <v>45301</v>
      </c>
      <c r="B2" s="0" t="inlineStr">
        <is>
          <t xml:space="preserve">2024-S02</t>
        </is>
      </c>
      <c r="C2" s="0" t="inlineStr">
        <is>
          <t xml:space="preserve">2024-01</t>
        </is>
      </c>
      <c r="D2" s="0" t="inlineStr">
        <is>
          <t xml:space="preserve">2024</t>
        </is>
      </c>
      <c r="E2" s="6" t="inlineStr">
        <is>
          <t xml:space="preserve">512000</t>
        </is>
      </c>
      <c r="F2" s="6" t="inlineStr">
        <is>
          <t xml:space="preserve">BQ</t>
        </is>
      </c>
      <c r="G2" s="0" t="inlineStr">
        <is>
          <t xml:space="preserve">BQ00002</t>
        </is>
      </c>
      <c r="H2" s="6" t="inlineStr">
        <is>
          <t xml:space="preserve">164000</t>
        </is>
      </c>
      <c r="I2" s="0" t="inlineStr">
        <is>
          <t xml:space="preserve">Echeance emprunt 01/2024</t>
        </is>
      </c>
      <c r="J2" s="0"/>
      <c r="K2" s="8">
        <v>-2000</v>
      </c>
      <c r="L2" s="0" t="inlineStr">
        <is>
          <t xml:space="preserve">Emprunts - capital</t>
        </is>
      </c>
      <c r="M2" s="9"/>
      <c r="N2" s="0">
        <f>IF(M2&lt;&gt;"",M2,L2)</f>
      </c>
      <c r="O2" s="0">
        <f>IFERROR(INDEX(Categories!$B$5:$B$35,MATCH(N2,Categories!$A$5:$A$35,0)),"NA")</f>
      </c>
    </row>
    <row r="3">
      <c r="A3" s="7">
        <v>45301</v>
      </c>
      <c r="B3" s="0" t="inlineStr">
        <is>
          <t xml:space="preserve">2024-S02</t>
        </is>
      </c>
      <c r="C3" s="0" t="inlineStr">
        <is>
          <t xml:space="preserve">2024-01</t>
        </is>
      </c>
      <c r="D3" s="0" t="inlineStr">
        <is>
          <t xml:space="preserve">2024</t>
        </is>
      </c>
      <c r="E3" s="6" t="inlineStr">
        <is>
          <t xml:space="preserve">512000</t>
        </is>
      </c>
      <c r="F3" s="6" t="inlineStr">
        <is>
          <t xml:space="preserve">BQ</t>
        </is>
      </c>
      <c r="G3" s="0" t="inlineStr">
        <is>
          <t xml:space="preserve">BQ00002</t>
        </is>
      </c>
      <c r="H3" s="6" t="inlineStr">
        <is>
          <t xml:space="preserve">661100</t>
        </is>
      </c>
      <c r="I3" s="0" t="inlineStr">
        <is>
          <t xml:space="preserve">Echeance emprunt 01/2024</t>
        </is>
      </c>
      <c r="J3" s="0"/>
      <c r="K3" s="8">
        <v>-300</v>
      </c>
      <c r="L3" s="0" t="inlineStr">
        <is>
          <t xml:space="preserve">Intérêts et charges financières</t>
        </is>
      </c>
      <c r="M3" s="9"/>
      <c r="N3" s="0">
        <f>IF(M3&lt;&gt;"",M3,L3)</f>
      </c>
      <c r="O3" s="0">
        <f>IFERROR(INDEX(Categories!$B$5:$B$35,MATCH(N3,Categories!$A$5:$A$35,0)),"NA")</f>
      </c>
    </row>
    <row r="4">
      <c r="A4" s="7">
        <v>45301</v>
      </c>
      <c r="B4" s="0" t="inlineStr">
        <is>
          <t xml:space="preserve">2024-S02</t>
        </is>
      </c>
      <c r="C4" s="0" t="inlineStr">
        <is>
          <t xml:space="preserve">2024-01</t>
        </is>
      </c>
      <c r="D4" s="0" t="inlineStr">
        <is>
          <t xml:space="preserve">2024</t>
        </is>
      </c>
      <c r="E4" s="6" t="inlineStr">
        <is>
          <t xml:space="preserve">512000</t>
        </is>
      </c>
      <c r="F4" s="6" t="inlineStr">
        <is>
          <t xml:space="preserve">BQ</t>
        </is>
      </c>
      <c r="G4" s="0" t="inlineStr">
        <is>
          <t xml:space="preserve">BQ00120</t>
        </is>
      </c>
      <c r="H4" s="6" t="inlineStr">
        <is>
          <t xml:space="preserve">401000</t>
        </is>
      </c>
      <c r="I4" s="0" t="inlineStr">
        <is>
          <t xml:space="preserve">Reglement fournisseur Scierie du Nord AN2024</t>
        </is>
      </c>
      <c r="J4" s="0" t="inlineStr">
        <is>
          <t xml:space="preserve">Scierie du Nord</t>
        </is>
      </c>
      <c r="K4" s="8">
        <v>-28000</v>
      </c>
      <c r="L4" s="0" t="inlineStr">
        <is>
          <t xml:space="preserve">Fournisseurs et charges externes</t>
        </is>
      </c>
      <c r="M4" s="9"/>
      <c r="N4" s="0">
        <f>IF(M4&lt;&gt;"",M4,L4)</f>
      </c>
      <c r="O4" s="0">
        <f>IFERROR(INDEX(Categories!$B$5:$B$35,MATCH(N4,Categories!$A$5:$A$35,0)),"NA")</f>
      </c>
    </row>
    <row r="5">
      <c r="A5" s="7">
        <v>45306</v>
      </c>
      <c r="B5" s="0" t="inlineStr">
        <is>
          <t xml:space="preserve">2024-S03</t>
        </is>
      </c>
      <c r="C5" s="0" t="inlineStr">
        <is>
          <t xml:space="preserve">2024-01</t>
        </is>
      </c>
      <c r="D5" s="0" t="inlineStr">
        <is>
          <t xml:space="preserve">2024</t>
        </is>
      </c>
      <c r="E5" s="6" t="inlineStr">
        <is>
          <t xml:space="preserve">512000</t>
        </is>
      </c>
      <c r="F5" s="6" t="inlineStr">
        <is>
          <t xml:space="preserve">BQ</t>
        </is>
      </c>
      <c r="G5" s="0" t="inlineStr">
        <is>
          <t xml:space="preserve">BQ00037</t>
        </is>
      </c>
      <c r="H5" s="6" t="inlineStr">
        <is>
          <t xml:space="preserve">431000</t>
        </is>
      </c>
      <c r="I5" s="0" t="inlineStr">
        <is>
          <t xml:space="preserve">Reglement URSSAF 12/2023</t>
        </is>
      </c>
      <c r="J5" s="0"/>
      <c r="K5" s="8">
        <v>-18000</v>
      </c>
      <c r="L5" s="0" t="inlineStr">
        <is>
          <t xml:space="preserve">Charges sociales</t>
        </is>
      </c>
      <c r="M5" s="9"/>
      <c r="N5" s="0">
        <f>IF(M5&lt;&gt;"",M5,L5)</f>
      </c>
      <c r="O5" s="0">
        <f>IFERROR(INDEX(Categories!$B$5:$B$35,MATCH(N5,Categories!$A$5:$A$35,0)),"NA")</f>
      </c>
    </row>
    <row r="6">
      <c r="A6" s="7">
        <v>45306</v>
      </c>
      <c r="B6" s="0" t="inlineStr">
        <is>
          <t xml:space="preserve">2024-S03</t>
        </is>
      </c>
      <c r="C6" s="0" t="inlineStr">
        <is>
          <t xml:space="preserve">2024-01</t>
        </is>
      </c>
      <c r="D6" s="0" t="inlineStr">
        <is>
          <t xml:space="preserve">2024</t>
        </is>
      </c>
      <c r="E6" s="6" t="inlineStr">
        <is>
          <t xml:space="preserve">512000</t>
        </is>
      </c>
      <c r="F6" s="6" t="inlineStr">
        <is>
          <t xml:space="preserve">BQ</t>
        </is>
      </c>
      <c r="G6" s="0" t="inlineStr">
        <is>
          <t xml:space="preserve">BQ00061</t>
        </is>
      </c>
      <c r="H6" s="6" t="inlineStr">
        <is>
          <t xml:space="preserve">411000</t>
        </is>
      </c>
      <c r="I6" s="0" t="inlineStr">
        <is>
          <t xml:space="preserve">Reglement client Hotel Les Tilleuls AN2024</t>
        </is>
      </c>
      <c r="J6" s="0" t="inlineStr">
        <is>
          <t xml:space="preserve">Hotel Les Tilleuls</t>
        </is>
      </c>
      <c r="K6" s="8">
        <v>30000</v>
      </c>
      <c r="L6" s="0" t="inlineStr">
        <is>
          <t xml:space="preserve">Clients</t>
        </is>
      </c>
      <c r="M6" s="9"/>
      <c r="N6" s="0">
        <f>IF(M6&lt;&gt;"",M6,L6)</f>
      </c>
      <c r="O6" s="0">
        <f>IFERROR(INDEX(Categories!$B$5:$B$35,MATCH(N6,Categories!$A$5:$A$35,0)),"NA")</f>
      </c>
    </row>
    <row r="7">
      <c r="A7" s="7">
        <v>45306</v>
      </c>
      <c r="B7" s="0" t="inlineStr">
        <is>
          <t xml:space="preserve">2024-S03</t>
        </is>
      </c>
      <c r="C7" s="0" t="inlineStr">
        <is>
          <t xml:space="preserve">2024-01</t>
        </is>
      </c>
      <c r="D7" s="0" t="inlineStr">
        <is>
          <t xml:space="preserve">2024</t>
        </is>
      </c>
      <c r="E7" s="6" t="inlineStr">
        <is>
          <t xml:space="preserve">512000</t>
        </is>
      </c>
      <c r="F7" s="6" t="inlineStr">
        <is>
          <t xml:space="preserve">BQ</t>
        </is>
      </c>
      <c r="G7" s="0" t="inlineStr">
        <is>
          <t xml:space="preserve">BQ00121</t>
        </is>
      </c>
      <c r="H7" s="6" t="inlineStr">
        <is>
          <t xml:space="preserve">401000</t>
        </is>
      </c>
      <c r="I7" s="0" t="inlineStr">
        <is>
          <t xml:space="preserve">Reglement fournisseur Quincaillerie Pro Est AN2024</t>
        </is>
      </c>
      <c r="J7" s="0" t="inlineStr">
        <is>
          <t xml:space="preserve">Quincaillerie Pro Est</t>
        </is>
      </c>
      <c r="K7" s="8">
        <v>-12000</v>
      </c>
      <c r="L7" s="0" t="inlineStr">
        <is>
          <t xml:space="preserve">Fournisseurs et charges externes</t>
        </is>
      </c>
      <c r="M7" s="9"/>
      <c r="N7" s="0">
        <f>IF(M7&lt;&gt;"",M7,L7)</f>
      </c>
      <c r="O7" s="0">
        <f>IFERROR(INDEX(Categories!$B$5:$B$35,MATCH(N7,Categories!$A$5:$A$35,0)),"NA")</f>
      </c>
    </row>
    <row r="8">
      <c r="A8" s="7">
        <v>45309</v>
      </c>
      <c r="B8" s="0" t="inlineStr">
        <is>
          <t xml:space="preserve">2024-S03</t>
        </is>
      </c>
      <c r="C8" s="0" t="inlineStr">
        <is>
          <t xml:space="preserve">2024-01</t>
        </is>
      </c>
      <c r="D8" s="0" t="inlineStr">
        <is>
          <t xml:space="preserve">2024</t>
        </is>
      </c>
      <c r="E8" s="6" t="inlineStr">
        <is>
          <t xml:space="preserve">512000</t>
        </is>
      </c>
      <c r="F8" s="6" t="inlineStr">
        <is>
          <t xml:space="preserve">BQ</t>
        </is>
      </c>
      <c r="G8" s="0" t="inlineStr">
        <is>
          <t xml:space="preserve">BQ00062</t>
        </is>
      </c>
      <c r="H8" s="6" t="inlineStr">
        <is>
          <t xml:space="preserve">411000</t>
        </is>
      </c>
      <c r="I8" s="0" t="inlineStr">
        <is>
          <t xml:space="preserve">Reglement client Residence Bel Air AN2024</t>
        </is>
      </c>
      <c r="J8" s="0" t="inlineStr">
        <is>
          <t xml:space="preserve">Residence Bel Air</t>
        </is>
      </c>
      <c r="K8" s="8">
        <v>26000</v>
      </c>
      <c r="L8" s="0" t="inlineStr">
        <is>
          <t xml:space="preserve">Clients</t>
        </is>
      </c>
      <c r="M8" s="9"/>
      <c r="N8" s="0">
        <f>IF(M8&lt;&gt;"",M8,L8)</f>
      </c>
      <c r="O8" s="0">
        <f>IFERROR(INDEX(Categories!$B$5:$B$35,MATCH(N8,Categories!$A$5:$A$35,0)),"NA")</f>
      </c>
    </row>
    <row r="9">
      <c r="A9" s="7">
        <v>45309</v>
      </c>
      <c r="B9" s="0" t="inlineStr">
        <is>
          <t xml:space="preserve">2024-S03</t>
        </is>
      </c>
      <c r="C9" s="0" t="inlineStr">
        <is>
          <t xml:space="preserve">2024-01</t>
        </is>
      </c>
      <c r="D9" s="0" t="inlineStr">
        <is>
          <t xml:space="preserve">2024</t>
        </is>
      </c>
      <c r="E9" s="6" t="inlineStr">
        <is>
          <t xml:space="preserve">512000</t>
        </is>
      </c>
      <c r="F9" s="6" t="inlineStr">
        <is>
          <t xml:space="preserve">BQ</t>
        </is>
      </c>
      <c r="G9" s="0" t="inlineStr">
        <is>
          <t xml:space="preserve">BQ00122</t>
        </is>
      </c>
      <c r="H9" s="6" t="inlineStr">
        <is>
          <t xml:space="preserve">401000</t>
        </is>
      </c>
      <c r="I9" s="0" t="inlineStr">
        <is>
          <t xml:space="preserve">Reglement fournisseur Vernis et Finitions AN2024</t>
        </is>
      </c>
      <c r="J9" s="0" t="inlineStr">
        <is>
          <t xml:space="preserve">Vernis et Finitions</t>
        </is>
      </c>
      <c r="K9" s="8">
        <v>-9000</v>
      </c>
      <c r="L9" s="0" t="inlineStr">
        <is>
          <t xml:space="preserve">Fournisseurs et charges externes</t>
        </is>
      </c>
      <c r="M9" s="9"/>
      <c r="N9" s="0">
        <f>IF(M9&lt;&gt;"",M9,L9)</f>
      </c>
      <c r="O9" s="0">
        <f>IFERROR(INDEX(Categories!$B$5:$B$35,MATCH(N9,Categories!$A$5:$A$35,0)),"NA")</f>
      </c>
    </row>
    <row r="10">
      <c r="A10" s="7">
        <v>45311</v>
      </c>
      <c r="B10" s="0" t="inlineStr">
        <is>
          <t xml:space="preserve">2024-S03</t>
        </is>
      </c>
      <c r="C10" s="0" t="inlineStr">
        <is>
          <t xml:space="preserve">2024-01</t>
        </is>
      </c>
      <c r="D10" s="0" t="inlineStr">
        <is>
          <t xml:space="preserve">2024</t>
        </is>
      </c>
      <c r="E10" s="6" t="inlineStr">
        <is>
          <t xml:space="preserve">512000</t>
        </is>
      </c>
      <c r="F10" s="6" t="inlineStr">
        <is>
          <t xml:space="preserve">BQ</t>
        </is>
      </c>
      <c r="G10" s="0" t="inlineStr">
        <is>
          <t xml:space="preserve">BQ00038</t>
        </is>
      </c>
      <c r="H10" s="6" t="inlineStr">
        <is>
          <t xml:space="preserve">445510</t>
        </is>
      </c>
      <c r="I10" s="0" t="inlineStr">
        <is>
          <t xml:space="preserve">Reglement TVA 12/2023</t>
        </is>
      </c>
      <c r="J10" s="0"/>
      <c r="K10" s="8">
        <v>-12000</v>
      </c>
      <c r="L10" s="0" t="inlineStr">
        <is>
          <t xml:space="preserve">TVA</t>
        </is>
      </c>
      <c r="M10" s="9"/>
      <c r="N10" s="0">
        <f>IF(M10&lt;&gt;"",M10,L10)</f>
      </c>
      <c r="O10" s="0">
        <f>IFERROR(INDEX(Categories!$B$5:$B$35,MATCH(N10,Categories!$A$5:$A$35,0)),"NA")</f>
      </c>
    </row>
    <row r="11">
      <c r="A11" s="7">
        <v>45313</v>
      </c>
      <c r="B11" s="0" t="inlineStr">
        <is>
          <t xml:space="preserve">2024-S04</t>
        </is>
      </c>
      <c r="C11" s="0" t="inlineStr">
        <is>
          <t xml:space="preserve">2024-01</t>
        </is>
      </c>
      <c r="D11" s="0" t="inlineStr">
        <is>
          <t xml:space="preserve">2024</t>
        </is>
      </c>
      <c r="E11" s="6" t="inlineStr">
        <is>
          <t xml:space="preserve">512000</t>
        </is>
      </c>
      <c r="F11" s="6" t="inlineStr">
        <is>
          <t xml:space="preserve">BQ</t>
        </is>
      </c>
      <c r="G11" s="0" t="inlineStr">
        <is>
          <t xml:space="preserve">BQ00063</t>
        </is>
      </c>
      <c r="H11" s="6" t="inlineStr">
        <is>
          <t xml:space="preserve">411000</t>
        </is>
      </c>
      <c r="I11" s="0" t="inlineStr">
        <is>
          <t xml:space="preserve">Reglement client Cabinet Varenne Associes AN2024</t>
        </is>
      </c>
      <c r="J11" s="0" t="inlineStr">
        <is>
          <t xml:space="preserve">Cabinet Varenne Associes</t>
        </is>
      </c>
      <c r="K11" s="8">
        <v>22000</v>
      </c>
      <c r="L11" s="0" t="inlineStr">
        <is>
          <t xml:space="preserve">Clients</t>
        </is>
      </c>
      <c r="M11" s="9"/>
      <c r="N11" s="0">
        <f>IF(M11&lt;&gt;"",M11,L11)</f>
      </c>
      <c r="O11" s="0">
        <f>IFERROR(INDEX(Categories!$B$5:$B$35,MATCH(N11,Categories!$A$5:$A$35,0)),"NA")</f>
      </c>
    </row>
    <row r="12">
      <c r="A12" s="7">
        <v>45313</v>
      </c>
      <c r="B12" s="0" t="inlineStr">
        <is>
          <t xml:space="preserve">2024-S04</t>
        </is>
      </c>
      <c r="C12" s="0" t="inlineStr">
        <is>
          <t xml:space="preserve">2024-01</t>
        </is>
      </c>
      <c r="D12" s="0" t="inlineStr">
        <is>
          <t xml:space="preserve">2024</t>
        </is>
      </c>
      <c r="E12" s="6" t="inlineStr">
        <is>
          <t xml:space="preserve">512000</t>
        </is>
      </c>
      <c r="F12" s="6" t="inlineStr">
        <is>
          <t xml:space="preserve">BQ</t>
        </is>
      </c>
      <c r="G12" s="0" t="inlineStr">
        <is>
          <t xml:space="preserve">BQ00123</t>
        </is>
      </c>
      <c r="H12" s="6" t="inlineStr">
        <is>
          <t xml:space="preserve">401000</t>
        </is>
      </c>
      <c r="I12" s="0" t="inlineStr">
        <is>
          <t xml:space="preserve">Reglement fournisseur Energie Plus AN2024</t>
        </is>
      </c>
      <c r="J12" s="0" t="inlineStr">
        <is>
          <t xml:space="preserve">Energie Plus</t>
        </is>
      </c>
      <c r="K12" s="8">
        <v>-4000</v>
      </c>
      <c r="L12" s="0" t="inlineStr">
        <is>
          <t xml:space="preserve">Fournisseurs et charges externes</t>
        </is>
      </c>
      <c r="M12" s="9"/>
      <c r="N12" s="0">
        <f>IF(M12&lt;&gt;"",M12,L12)</f>
      </c>
      <c r="O12" s="0">
        <f>IFERROR(INDEX(Categories!$B$5:$B$35,MATCH(N12,Categories!$A$5:$A$35,0)),"NA")</f>
      </c>
    </row>
    <row r="13">
      <c r="A13" s="7">
        <v>45315</v>
      </c>
      <c r="B13" s="0" t="inlineStr">
        <is>
          <t xml:space="preserve">2024-S04</t>
        </is>
      </c>
      <c r="C13" s="0" t="inlineStr">
        <is>
          <t xml:space="preserve">2024-01</t>
        </is>
      </c>
      <c r="D13" s="0" t="inlineStr">
        <is>
          <t xml:space="preserve">2024</t>
        </is>
      </c>
      <c r="E13" s="6" t="inlineStr">
        <is>
          <t xml:space="preserve">512000</t>
        </is>
      </c>
      <c r="F13" s="6" t="inlineStr">
        <is>
          <t xml:space="preserve">BQ</t>
        </is>
      </c>
      <c r="G13" s="0" t="inlineStr">
        <is>
          <t xml:space="preserve">BQ00064</t>
        </is>
      </c>
      <c r="H13" s="6" t="inlineStr">
        <is>
          <t xml:space="preserve">411000</t>
        </is>
      </c>
      <c r="I13" s="0" t="inlineStr">
        <is>
          <t xml:space="preserve">Reglement client Clinique du Parc AN2024</t>
        </is>
      </c>
      <c r="J13" s="0" t="inlineStr">
        <is>
          <t xml:space="preserve">Clinique du Parc</t>
        </is>
      </c>
      <c r="K13" s="8">
        <v>24000</v>
      </c>
      <c r="L13" s="0" t="inlineStr">
        <is>
          <t xml:space="preserve">Clients</t>
        </is>
      </c>
      <c r="M13" s="9"/>
      <c r="N13" s="0">
        <f>IF(M13&lt;&gt;"",M13,L13)</f>
      </c>
      <c r="O13" s="0">
        <f>IFERROR(INDEX(Categories!$B$5:$B$35,MATCH(N13,Categories!$A$5:$A$35,0)),"NA")</f>
      </c>
    </row>
    <row r="14">
      <c r="A14" s="7">
        <v>45317</v>
      </c>
      <c r="B14" s="0" t="inlineStr">
        <is>
          <t xml:space="preserve">2024-S04</t>
        </is>
      </c>
      <c r="C14" s="0" t="inlineStr">
        <is>
          <t xml:space="preserve">2024-01</t>
        </is>
      </c>
      <c r="D14" s="0" t="inlineStr">
        <is>
          <t xml:space="preserve">2024</t>
        </is>
      </c>
      <c r="E14" s="6" t="inlineStr">
        <is>
          <t xml:space="preserve">512000</t>
        </is>
      </c>
      <c r="F14" s="6" t="inlineStr">
        <is>
          <t xml:space="preserve">BQ</t>
        </is>
      </c>
      <c r="G14" s="0" t="inlineStr">
        <is>
          <t xml:space="preserve">BQ00124</t>
        </is>
      </c>
      <c r="H14" s="6" t="inlineStr">
        <is>
          <t xml:space="preserve">401000</t>
        </is>
      </c>
      <c r="I14" s="0" t="inlineStr">
        <is>
          <t xml:space="preserve">Reglement fournisseur SCI Les Halles AN2024</t>
        </is>
      </c>
      <c r="J14" s="0" t="inlineStr">
        <is>
          <t xml:space="preserve">SCI Les Halles</t>
        </is>
      </c>
      <c r="K14" s="8">
        <v>-7000</v>
      </c>
      <c r="L14" s="0" t="inlineStr">
        <is>
          <t xml:space="preserve">Fournisseurs et charges externes</t>
        </is>
      </c>
      <c r="M14" s="9"/>
      <c r="N14" s="0">
        <f>IF(M14&lt;&gt;"",M14,L14)</f>
      </c>
      <c r="O14" s="0">
        <f>IFERROR(INDEX(Categories!$B$5:$B$35,MATCH(N14,Categories!$A$5:$A$35,0)),"NA")</f>
      </c>
    </row>
    <row r="15">
      <c r="A15" s="7">
        <v>45320</v>
      </c>
      <c r="B15" s="0" t="inlineStr">
        <is>
          <t xml:space="preserve">2024-S05</t>
        </is>
      </c>
      <c r="C15" s="0" t="inlineStr">
        <is>
          <t xml:space="preserve">2024-01</t>
        </is>
      </c>
      <c r="D15" s="0" t="inlineStr">
        <is>
          <t xml:space="preserve">2024</t>
        </is>
      </c>
      <c r="E15" s="6" t="inlineStr">
        <is>
          <t xml:space="preserve">512000</t>
        </is>
      </c>
      <c r="F15" s="6" t="inlineStr">
        <is>
          <t xml:space="preserve">BQ</t>
        </is>
      </c>
      <c r="G15" s="0" t="inlineStr">
        <is>
          <t xml:space="preserve">BQ00065</t>
        </is>
      </c>
      <c r="H15" s="6" t="inlineStr">
        <is>
          <t xml:space="preserve">411000</t>
        </is>
      </c>
      <c r="I15" s="0" t="inlineStr">
        <is>
          <t xml:space="preserve">Reglement client Coworking Atelier 9 AN2024</t>
        </is>
      </c>
      <c r="J15" s="0" t="inlineStr">
        <is>
          <t xml:space="preserve">Coworking Atelier 9</t>
        </is>
      </c>
      <c r="K15" s="8">
        <v>18000</v>
      </c>
      <c r="L15" s="0" t="inlineStr">
        <is>
          <t xml:space="preserve">Clients</t>
        </is>
      </c>
      <c r="M15" s="9"/>
      <c r="N15" s="0">
        <f>IF(M15&lt;&gt;"",M15,L15)</f>
      </c>
      <c r="O15" s="0">
        <f>IFERROR(INDEX(Categories!$B$5:$B$35,MATCH(N15,Categories!$A$5:$A$35,0)),"NA")</f>
      </c>
    </row>
    <row r="16">
      <c r="A16" s="7">
        <v>45320</v>
      </c>
      <c r="B16" s="0" t="inlineStr">
        <is>
          <t xml:space="preserve">2024-S05</t>
        </is>
      </c>
      <c r="C16" s="0" t="inlineStr">
        <is>
          <t xml:space="preserve">2024-01</t>
        </is>
      </c>
      <c r="D16" s="0" t="inlineStr">
        <is>
          <t xml:space="preserve">2024</t>
        </is>
      </c>
      <c r="E16" s="6" t="inlineStr">
        <is>
          <t xml:space="preserve">512000</t>
        </is>
      </c>
      <c r="F16" s="6" t="inlineStr">
        <is>
          <t xml:space="preserve">BQ</t>
        </is>
      </c>
      <c r="G16" s="0" t="inlineStr">
        <is>
          <t xml:space="preserve">BQ00067</t>
        </is>
      </c>
      <c r="H16" s="6" t="inlineStr">
        <is>
          <t xml:space="preserve">411000</t>
        </is>
      </c>
      <c r="I16" s="0" t="inlineStr">
        <is>
          <t xml:space="preserve">Reglement client Hotel Les Tilleuls FA2024-0002</t>
        </is>
      </c>
      <c r="J16" s="0" t="inlineStr">
        <is>
          <t xml:space="preserve">Hotel Les Tilleuls</t>
        </is>
      </c>
      <c r="K16" s="8">
        <v>38532.72</v>
      </c>
      <c r="L16" s="0" t="inlineStr">
        <is>
          <t xml:space="preserve">Clients</t>
        </is>
      </c>
      <c r="M16" s="9"/>
      <c r="N16" s="0">
        <f>IF(M16&lt;&gt;"",M16,L16)</f>
      </c>
      <c r="O16" s="0">
        <f>IFERROR(INDEX(Categories!$B$5:$B$35,MATCH(N16,Categories!$A$5:$A$35,0)),"NA")</f>
      </c>
    </row>
    <row r="17">
      <c r="A17" s="7">
        <v>45322</v>
      </c>
      <c r="B17" s="0" t="inlineStr">
        <is>
          <t xml:space="preserve">2024-S05</t>
        </is>
      </c>
      <c r="C17" s="0" t="inlineStr">
        <is>
          <t xml:space="preserve">2024-01</t>
        </is>
      </c>
      <c r="D17" s="0" t="inlineStr">
        <is>
          <t xml:space="preserve">2024</t>
        </is>
      </c>
      <c r="E17" s="6" t="inlineStr">
        <is>
          <t xml:space="preserve">512000</t>
        </is>
      </c>
      <c r="F17" s="6" t="inlineStr">
        <is>
          <t xml:space="preserve">BQ</t>
        </is>
      </c>
      <c r="G17" s="0" t="inlineStr">
        <is>
          <t xml:space="preserve">BQ00001</t>
        </is>
      </c>
      <c r="H17" s="6" t="inlineStr">
        <is>
          <t xml:space="preserve">421000</t>
        </is>
      </c>
      <c r="I17" s="0" t="inlineStr">
        <is>
          <t xml:space="preserve">Virement salaires 01/2024</t>
        </is>
      </c>
      <c r="J17" s="0"/>
      <c r="K17" s="8">
        <v>-41123.78</v>
      </c>
      <c r="L17" s="0" t="inlineStr">
        <is>
          <t xml:space="preserve">Salaires et personnel</t>
        </is>
      </c>
      <c r="M17" s="9"/>
      <c r="N17" s="0">
        <f>IF(M17&lt;&gt;"",M17,L17)</f>
      </c>
      <c r="O17" s="0">
        <f>IFERROR(INDEX(Categories!$B$5:$B$35,MATCH(N17,Categories!$A$5:$A$35,0)),"NA")</f>
      </c>
    </row>
    <row r="18">
      <c r="A18" s="7">
        <v>45322</v>
      </c>
      <c r="B18" s="0" t="inlineStr">
        <is>
          <t xml:space="preserve">2024-S05</t>
        </is>
      </c>
      <c r="C18" s="0" t="inlineStr">
        <is>
          <t xml:space="preserve">2024-01</t>
        </is>
      </c>
      <c r="D18" s="0" t="inlineStr">
        <is>
          <t xml:space="preserve">2024</t>
        </is>
      </c>
      <c r="E18" s="6" t="inlineStr">
        <is>
          <t xml:space="preserve">512000</t>
        </is>
      </c>
      <c r="F18" s="6" t="inlineStr">
        <is>
          <t xml:space="preserve">BQ</t>
        </is>
      </c>
      <c r="G18" s="0" t="inlineStr">
        <is>
          <t xml:space="preserve">BQ00003</t>
        </is>
      </c>
      <c r="H18" s="6" t="inlineStr">
        <is>
          <t xml:space="preserve">627000</t>
        </is>
      </c>
      <c r="I18" s="0" t="inlineStr">
        <is>
          <t xml:space="preserve">Frais bancaires 01/2024</t>
        </is>
      </c>
      <c r="J18" s="0"/>
      <c r="K18" s="8">
        <v>-85</v>
      </c>
      <c r="L18" s="0" t="inlineStr">
        <is>
          <t xml:space="preserve">Frais bancaires</t>
        </is>
      </c>
      <c r="M18" s="9"/>
      <c r="N18" s="0">
        <f>IF(M18&lt;&gt;"",M18,L18)</f>
      </c>
      <c r="O18" s="0">
        <f>IFERROR(INDEX(Categories!$B$5:$B$35,MATCH(N18,Categories!$A$5:$A$35,0)),"NA")</f>
      </c>
    </row>
    <row r="19">
      <c r="A19" s="7">
        <v>45327</v>
      </c>
      <c r="B19" s="0" t="inlineStr">
        <is>
          <t xml:space="preserve">2024-S06</t>
        </is>
      </c>
      <c r="C19" s="0" t="inlineStr">
        <is>
          <t xml:space="preserve">2024-02</t>
        </is>
      </c>
      <c r="D19" s="0" t="inlineStr">
        <is>
          <t xml:space="preserve">2024</t>
        </is>
      </c>
      <c r="E19" s="6" t="inlineStr">
        <is>
          <t xml:space="preserve">512000</t>
        </is>
      </c>
      <c r="F19" s="6" t="inlineStr">
        <is>
          <t xml:space="preserve">BQ</t>
        </is>
      </c>
      <c r="G19" s="0" t="inlineStr">
        <is>
          <t xml:space="preserve">BQ00127</t>
        </is>
      </c>
      <c r="H19" s="6" t="inlineStr">
        <is>
          <t xml:space="preserve">401000</t>
        </is>
      </c>
      <c r="I19" s="0" t="inlineStr">
        <is>
          <t xml:space="preserve">Reglement fournisseur SCI Les Halles F004-202401</t>
        </is>
      </c>
      <c r="J19" s="0" t="inlineStr">
        <is>
          <t xml:space="preserve">SCI Les Halles</t>
        </is>
      </c>
      <c r="K19" s="8">
        <v>-10200</v>
      </c>
      <c r="L19" s="0" t="inlineStr">
        <is>
          <t xml:space="preserve">Fournisseurs et charges externes</t>
        </is>
      </c>
      <c r="M19" s="9"/>
      <c r="N19" s="0">
        <f>IF(M19&lt;&gt;"",M19,L19)</f>
      </c>
      <c r="O19" s="0">
        <f>IFERROR(INDEX(Categories!$B$5:$B$35,MATCH(N19,Categories!$A$5:$A$35,0)),"NA")</f>
      </c>
    </row>
    <row r="20">
      <c r="A20" s="7">
        <v>45327</v>
      </c>
      <c r="B20" s="0" t="inlineStr">
        <is>
          <t xml:space="preserve">2024-S06</t>
        </is>
      </c>
      <c r="C20" s="0" t="inlineStr">
        <is>
          <t xml:space="preserve">2024-02</t>
        </is>
      </c>
      <c r="D20" s="0" t="inlineStr">
        <is>
          <t xml:space="preserve">2024</t>
        </is>
      </c>
      <c r="E20" s="6" t="inlineStr">
        <is>
          <t xml:space="preserve">512000</t>
        </is>
      </c>
      <c r="F20" s="6" t="inlineStr">
        <is>
          <t xml:space="preserve">BQ</t>
        </is>
      </c>
      <c r="G20" s="0" t="inlineStr">
        <is>
          <t xml:space="preserve">BQ00128</t>
        </is>
      </c>
      <c r="H20" s="6" t="inlineStr">
        <is>
          <t xml:space="preserve">401000</t>
        </is>
      </c>
      <c r="I20" s="0" t="inlineStr">
        <is>
          <t xml:space="preserve">Reglement fournisseur Energie Plus F005-202401</t>
        </is>
      </c>
      <c r="J20" s="0" t="inlineStr">
        <is>
          <t xml:space="preserve">Energie Plus</t>
        </is>
      </c>
      <c r="K20" s="8">
        <v>-3036.68</v>
      </c>
      <c r="L20" s="0" t="inlineStr">
        <is>
          <t xml:space="preserve">Fournisseurs et charges externes</t>
        </is>
      </c>
      <c r="M20" s="9"/>
      <c r="N20" s="0">
        <f>IF(M20&lt;&gt;"",M20,L20)</f>
      </c>
      <c r="O20" s="0">
        <f>IFERROR(INDEX(Categories!$B$5:$B$35,MATCH(N20,Categories!$A$5:$A$35,0)),"NA")</f>
      </c>
    </row>
    <row r="21">
      <c r="A21" s="7">
        <v>45327</v>
      </c>
      <c r="B21" s="0" t="inlineStr">
        <is>
          <t xml:space="preserve">2024-S06</t>
        </is>
      </c>
      <c r="C21" s="0" t="inlineStr">
        <is>
          <t xml:space="preserve">2024-02</t>
        </is>
      </c>
      <c r="D21" s="0" t="inlineStr">
        <is>
          <t xml:space="preserve">2024</t>
        </is>
      </c>
      <c r="E21" s="6" t="inlineStr">
        <is>
          <t xml:space="preserve">512000</t>
        </is>
      </c>
      <c r="F21" s="6" t="inlineStr">
        <is>
          <t xml:space="preserve">BQ</t>
        </is>
      </c>
      <c r="G21" s="0" t="inlineStr">
        <is>
          <t xml:space="preserve">BQ00129</t>
        </is>
      </c>
      <c r="H21" s="6" t="inlineStr">
        <is>
          <t xml:space="preserve">401000</t>
        </is>
      </c>
      <c r="I21" s="0" t="inlineStr">
        <is>
          <t xml:space="preserve">Reglement fournisseur Telecom Pro F008-202401</t>
        </is>
      </c>
      <c r="J21" s="0" t="inlineStr">
        <is>
          <t xml:space="preserve">Telecom Pro</t>
        </is>
      </c>
      <c r="K21" s="8">
        <v>-576</v>
      </c>
      <c r="L21" s="0" t="inlineStr">
        <is>
          <t xml:space="preserve">Fournisseurs et charges externes</t>
        </is>
      </c>
      <c r="M21" s="9"/>
      <c r="N21" s="0">
        <f>IF(M21&lt;&gt;"",M21,L21)</f>
      </c>
      <c r="O21" s="0">
        <f>IFERROR(INDEX(Categories!$B$5:$B$35,MATCH(N21,Categories!$A$5:$A$35,0)),"NA")</f>
      </c>
    </row>
    <row r="22">
      <c r="A22" s="7">
        <v>45327</v>
      </c>
      <c r="B22" s="0" t="inlineStr">
        <is>
          <t xml:space="preserve">2024-S06</t>
        </is>
      </c>
      <c r="C22" s="0" t="inlineStr">
        <is>
          <t xml:space="preserve">2024-02</t>
        </is>
      </c>
      <c r="D22" s="0" t="inlineStr">
        <is>
          <t xml:space="preserve">2024</t>
        </is>
      </c>
      <c r="E22" s="6" t="inlineStr">
        <is>
          <t xml:space="preserve">512000</t>
        </is>
      </c>
      <c r="F22" s="6" t="inlineStr">
        <is>
          <t xml:space="preserve">BQ</t>
        </is>
      </c>
      <c r="G22" s="0" t="inlineStr">
        <is>
          <t xml:space="preserve">BQ00130</t>
        </is>
      </c>
      <c r="H22" s="6" t="inlineStr">
        <is>
          <t xml:space="preserve">401000</t>
        </is>
      </c>
      <c r="I22" s="0" t="inlineStr">
        <is>
          <t xml:space="preserve">Reglement fournisseur Assurances Mutuelles Exemple F006-202401</t>
        </is>
      </c>
      <c r="J22" s="0" t="inlineStr">
        <is>
          <t xml:space="preserve">Assurances Mutuelles Exemple</t>
        </is>
      </c>
      <c r="K22" s="8">
        <v>-3000</v>
      </c>
      <c r="L22" s="0" t="inlineStr">
        <is>
          <t xml:space="preserve">Fournisseurs et charges externes</t>
        </is>
      </c>
      <c r="M22" s="9"/>
      <c r="N22" s="0">
        <f>IF(M22&lt;&gt;"",M22,L22)</f>
      </c>
      <c r="O22" s="0">
        <f>IFERROR(INDEX(Categories!$B$5:$B$35,MATCH(N22,Categories!$A$5:$A$35,0)),"NA")</f>
      </c>
    </row>
    <row r="23">
      <c r="A23" s="7">
        <v>45332</v>
      </c>
      <c r="B23" s="0" t="inlineStr">
        <is>
          <t xml:space="preserve">2024-S06</t>
        </is>
      </c>
      <c r="C23" s="0" t="inlineStr">
        <is>
          <t xml:space="preserve">2024-02</t>
        </is>
      </c>
      <c r="D23" s="0" t="inlineStr">
        <is>
          <t xml:space="preserve">2024</t>
        </is>
      </c>
      <c r="E23" s="6" t="inlineStr">
        <is>
          <t xml:space="preserve">512000</t>
        </is>
      </c>
      <c r="F23" s="6" t="inlineStr">
        <is>
          <t xml:space="preserve">BQ</t>
        </is>
      </c>
      <c r="G23" s="0" t="inlineStr">
        <is>
          <t xml:space="preserve">BQ00005</t>
        </is>
      </c>
      <c r="H23" s="6" t="inlineStr">
        <is>
          <t xml:space="preserve">164000</t>
        </is>
      </c>
      <c r="I23" s="0" t="inlineStr">
        <is>
          <t xml:space="preserve">Echeance emprunt 02/2024</t>
        </is>
      </c>
      <c r="J23" s="0"/>
      <c r="K23" s="8">
        <v>-2000</v>
      </c>
      <c r="L23" s="0" t="inlineStr">
        <is>
          <t xml:space="preserve">Emprunts - capital</t>
        </is>
      </c>
      <c r="M23" s="9"/>
      <c r="N23" s="0">
        <f>IF(M23&lt;&gt;"",M23,L23)</f>
      </c>
      <c r="O23" s="0">
        <f>IFERROR(INDEX(Categories!$B$5:$B$35,MATCH(N23,Categories!$A$5:$A$35,0)),"NA")</f>
      </c>
    </row>
    <row r="24">
      <c r="A24" s="7">
        <v>45332</v>
      </c>
      <c r="B24" s="0" t="inlineStr">
        <is>
          <t xml:space="preserve">2024-S06</t>
        </is>
      </c>
      <c r="C24" s="0" t="inlineStr">
        <is>
          <t xml:space="preserve">2024-02</t>
        </is>
      </c>
      <c r="D24" s="0" t="inlineStr">
        <is>
          <t xml:space="preserve">2024</t>
        </is>
      </c>
      <c r="E24" s="6" t="inlineStr">
        <is>
          <t xml:space="preserve">512000</t>
        </is>
      </c>
      <c r="F24" s="6" t="inlineStr">
        <is>
          <t xml:space="preserve">BQ</t>
        </is>
      </c>
      <c r="G24" s="0" t="inlineStr">
        <is>
          <t xml:space="preserve">BQ00005</t>
        </is>
      </c>
      <c r="H24" s="6" t="inlineStr">
        <is>
          <t xml:space="preserve">661100</t>
        </is>
      </c>
      <c r="I24" s="0" t="inlineStr">
        <is>
          <t xml:space="preserve">Echeance emprunt 02/2024</t>
        </is>
      </c>
      <c r="J24" s="0"/>
      <c r="K24" s="8">
        <v>-293.33</v>
      </c>
      <c r="L24" s="0" t="inlineStr">
        <is>
          <t xml:space="preserve">Intérêts et charges financières</t>
        </is>
      </c>
      <c r="M24" s="9"/>
      <c r="N24" s="0">
        <f>IF(M24&lt;&gt;"",M24,L24)</f>
      </c>
      <c r="O24" s="0">
        <f>IFERROR(INDEX(Categories!$B$5:$B$35,MATCH(N24,Categories!$A$5:$A$35,0)),"NA")</f>
      </c>
    </row>
    <row r="25">
      <c r="A25" s="7">
        <v>45337</v>
      </c>
      <c r="B25" s="0" t="inlineStr">
        <is>
          <t xml:space="preserve">2024-S07</t>
        </is>
      </c>
      <c r="C25" s="0" t="inlineStr">
        <is>
          <t xml:space="preserve">2024-02</t>
        </is>
      </c>
      <c r="D25" s="0" t="inlineStr">
        <is>
          <t xml:space="preserve">2024</t>
        </is>
      </c>
      <c r="E25" s="6" t="inlineStr">
        <is>
          <t xml:space="preserve">512000</t>
        </is>
      </c>
      <c r="F25" s="6" t="inlineStr">
        <is>
          <t xml:space="preserve">BQ</t>
        </is>
      </c>
      <c r="G25" s="0" t="inlineStr">
        <is>
          <t xml:space="preserve">BQ00039</t>
        </is>
      </c>
      <c r="H25" s="6" t="inlineStr">
        <is>
          <t xml:space="preserve">431000</t>
        </is>
      </c>
      <c r="I25" s="0" t="inlineStr">
        <is>
          <t xml:space="preserve">Reglement URSSAF 01/2024</t>
        </is>
      </c>
      <c r="J25" s="0"/>
      <c r="K25" s="8">
        <v>-33742.58</v>
      </c>
      <c r="L25" s="0" t="inlineStr">
        <is>
          <t xml:space="preserve">Charges sociales</t>
        </is>
      </c>
      <c r="M25" s="9"/>
      <c r="N25" s="0">
        <f>IF(M25&lt;&gt;"",M25,L25)</f>
      </c>
      <c r="O25" s="0">
        <f>IFERROR(INDEX(Categories!$B$5:$B$35,MATCH(N25,Categories!$A$5:$A$35,0)),"NA")</f>
      </c>
    </row>
    <row r="26">
      <c r="A26" s="7">
        <v>45338</v>
      </c>
      <c r="B26" s="0" t="inlineStr">
        <is>
          <t xml:space="preserve">2024-S07</t>
        </is>
      </c>
      <c r="C26" s="0" t="inlineStr">
        <is>
          <t xml:space="preserve">2024-02</t>
        </is>
      </c>
      <c r="D26" s="0" t="inlineStr">
        <is>
          <t xml:space="preserve">2024</t>
        </is>
      </c>
      <c r="E26" s="6" t="inlineStr">
        <is>
          <t xml:space="preserve">512000</t>
        </is>
      </c>
      <c r="F26" s="6" t="inlineStr">
        <is>
          <t xml:space="preserve">BQ</t>
        </is>
      </c>
      <c r="G26" s="0" t="inlineStr">
        <is>
          <t xml:space="preserve">BQ00070</t>
        </is>
      </c>
      <c r="H26" s="6" t="inlineStr">
        <is>
          <t xml:space="preserve">411000</t>
        </is>
      </c>
      <c r="I26" s="0" t="inlineStr">
        <is>
          <t xml:space="preserve">Reglement client Boutique Hetre et Chene FA2024-0005</t>
        </is>
      </c>
      <c r="J26" s="0" t="inlineStr">
        <is>
          <t xml:space="preserve">Boutique Hetre et Chene</t>
        </is>
      </c>
      <c r="K26" s="8">
        <v>22023.36</v>
      </c>
      <c r="L26" s="0" t="inlineStr">
        <is>
          <t xml:space="preserve">Clients</t>
        </is>
      </c>
      <c r="M26" s="9"/>
      <c r="N26" s="0">
        <f>IF(M26&lt;&gt;"",M26,L26)</f>
      </c>
      <c r="O26" s="0">
        <f>IFERROR(INDEX(Categories!$B$5:$B$35,MATCH(N26,Categories!$A$5:$A$35,0)),"NA")</f>
      </c>
    </row>
    <row r="27">
      <c r="A27" s="7">
        <v>45341</v>
      </c>
      <c r="B27" s="0" t="inlineStr">
        <is>
          <t xml:space="preserve">2024-S08</t>
        </is>
      </c>
      <c r="C27" s="0" t="inlineStr">
        <is>
          <t xml:space="preserve">2024-02</t>
        </is>
      </c>
      <c r="D27" s="0" t="inlineStr">
        <is>
          <t xml:space="preserve">2024</t>
        </is>
      </c>
      <c r="E27" s="6" t="inlineStr">
        <is>
          <t xml:space="preserve">512000</t>
        </is>
      </c>
      <c r="F27" s="6" t="inlineStr">
        <is>
          <t xml:space="preserve">BQ</t>
        </is>
      </c>
      <c r="G27" s="0" t="inlineStr">
        <is>
          <t xml:space="preserve">BQ00068</t>
        </is>
      </c>
      <c r="H27" s="6" t="inlineStr">
        <is>
          <t xml:space="preserve">411000</t>
        </is>
      </c>
      <c r="I27" s="0" t="inlineStr">
        <is>
          <t xml:space="preserve">Reglement client Cabinet Varenne Associes FA2024-0003</t>
        </is>
      </c>
      <c r="J27" s="0" t="inlineStr">
        <is>
          <t xml:space="preserve">Cabinet Varenne Associes</t>
        </is>
      </c>
      <c r="K27" s="8">
        <v>25702.04</v>
      </c>
      <c r="L27" s="0" t="inlineStr">
        <is>
          <t xml:space="preserve">Clients</t>
        </is>
      </c>
      <c r="M27" s="9"/>
      <c r="N27" s="0">
        <f>IF(M27&lt;&gt;"",M27,L27)</f>
      </c>
      <c r="O27" s="0">
        <f>IFERROR(INDEX(Categories!$B$5:$B$35,MATCH(N27,Categories!$A$5:$A$35,0)),"NA")</f>
      </c>
    </row>
    <row r="28">
      <c r="A28" s="7">
        <v>45341</v>
      </c>
      <c r="B28" s="0" t="inlineStr">
        <is>
          <t xml:space="preserve">2024-S08</t>
        </is>
      </c>
      <c r="C28" s="0" t="inlineStr">
        <is>
          <t xml:space="preserve">2024-02</t>
        </is>
      </c>
      <c r="D28" s="0" t="inlineStr">
        <is>
          <t xml:space="preserve">2024</t>
        </is>
      </c>
      <c r="E28" s="6" t="inlineStr">
        <is>
          <t xml:space="preserve">512000</t>
        </is>
      </c>
      <c r="F28" s="6" t="inlineStr">
        <is>
          <t xml:space="preserve">BQ</t>
        </is>
      </c>
      <c r="G28" s="0" t="inlineStr">
        <is>
          <t xml:space="preserve">BQ00069</t>
        </is>
      </c>
      <c r="H28" s="6" t="inlineStr">
        <is>
          <t xml:space="preserve">411000</t>
        </is>
      </c>
      <c r="I28" s="0" t="inlineStr">
        <is>
          <t xml:space="preserve">Reglement client Hotel Les Tilleuls FA2024-0004</t>
        </is>
      </c>
      <c r="J28" s="0" t="inlineStr">
        <is>
          <t xml:space="preserve">Hotel Les Tilleuls</t>
        </is>
      </c>
      <c r="K28" s="8">
        <v>22980.32</v>
      </c>
      <c r="L28" s="0" t="inlineStr">
        <is>
          <t xml:space="preserve">Clients</t>
        </is>
      </c>
      <c r="M28" s="9"/>
      <c r="N28" s="0">
        <f>IF(M28&lt;&gt;"",M28,L28)</f>
      </c>
      <c r="O28" s="0">
        <f>IFERROR(INDEX(Categories!$B$5:$B$35,MATCH(N28,Categories!$A$5:$A$35,0)),"NA")</f>
      </c>
    </row>
    <row r="29">
      <c r="A29" s="7">
        <v>45342</v>
      </c>
      <c r="B29" s="0" t="inlineStr">
        <is>
          <t xml:space="preserve">2024-S08</t>
        </is>
      </c>
      <c r="C29" s="0" t="inlineStr">
        <is>
          <t xml:space="preserve">2024-02</t>
        </is>
      </c>
      <c r="D29" s="0" t="inlineStr">
        <is>
          <t xml:space="preserve">2024</t>
        </is>
      </c>
      <c r="E29" s="6" t="inlineStr">
        <is>
          <t xml:space="preserve">512000</t>
        </is>
      </c>
      <c r="F29" s="6" t="inlineStr">
        <is>
          <t xml:space="preserve">BQ</t>
        </is>
      </c>
      <c r="G29" s="0" t="inlineStr">
        <is>
          <t xml:space="preserve">BQ00040</t>
        </is>
      </c>
      <c r="H29" s="6" t="inlineStr">
        <is>
          <t xml:space="preserve">445510</t>
        </is>
      </c>
      <c r="I29" s="0" t="inlineStr">
        <is>
          <t xml:space="preserve">Reglement TVA 01/2024</t>
        </is>
      </c>
      <c r="J29" s="0"/>
      <c r="K29" s="8">
        <v>-14131.22</v>
      </c>
      <c r="L29" s="0" t="inlineStr">
        <is>
          <t xml:space="preserve">TVA</t>
        </is>
      </c>
      <c r="M29" s="9"/>
      <c r="N29" s="0">
        <f>IF(M29&lt;&gt;"",M29,L29)</f>
      </c>
      <c r="O29" s="0">
        <f>IFERROR(INDEX(Categories!$B$5:$B$35,MATCH(N29,Categories!$A$5:$A$35,0)),"NA")</f>
      </c>
    </row>
    <row r="30">
      <c r="A30" s="7">
        <v>45342</v>
      </c>
      <c r="B30" s="0" t="inlineStr">
        <is>
          <t xml:space="preserve">2024-S08</t>
        </is>
      </c>
      <c r="C30" s="0" t="inlineStr">
        <is>
          <t xml:space="preserve">2024-02</t>
        </is>
      </c>
      <c r="D30" s="0" t="inlineStr">
        <is>
          <t xml:space="preserve">2024</t>
        </is>
      </c>
      <c r="E30" s="6" t="inlineStr">
        <is>
          <t xml:space="preserve">512000</t>
        </is>
      </c>
      <c r="F30" s="6" t="inlineStr">
        <is>
          <t xml:space="preserve">BQ</t>
        </is>
      </c>
      <c r="G30" s="0" t="inlineStr">
        <is>
          <t xml:space="preserve">BQ00071</t>
        </is>
      </c>
      <c r="H30" s="6" t="inlineStr">
        <is>
          <t xml:space="preserve">411000</t>
        </is>
      </c>
      <c r="I30" s="0" t="inlineStr">
        <is>
          <t xml:space="preserve">Reglement client Restaurant Le Comptoir FA2024-0006</t>
        </is>
      </c>
      <c r="J30" s="0" t="inlineStr">
        <is>
          <t xml:space="preserve">Restaurant Le Comptoir</t>
        </is>
      </c>
      <c r="K30" s="8">
        <v>38509.92</v>
      </c>
      <c r="L30" s="0" t="inlineStr">
        <is>
          <t xml:space="preserve">Clients</t>
        </is>
      </c>
      <c r="M30" s="9"/>
      <c r="N30" s="0">
        <f>IF(M30&lt;&gt;"",M30,L30)</f>
      </c>
      <c r="O30" s="0">
        <f>IFERROR(INDEX(Categories!$B$5:$B$35,MATCH(N30,Categories!$A$5:$A$35,0)),"NA")</f>
      </c>
    </row>
    <row r="31">
      <c r="A31" s="7">
        <v>45348</v>
      </c>
      <c r="B31" s="0" t="inlineStr">
        <is>
          <t xml:space="preserve">2024-S09</t>
        </is>
      </c>
      <c r="C31" s="0" t="inlineStr">
        <is>
          <t xml:space="preserve">2024-02</t>
        </is>
      </c>
      <c r="D31" s="0" t="inlineStr">
        <is>
          <t xml:space="preserve">2024</t>
        </is>
      </c>
      <c r="E31" s="6" t="inlineStr">
        <is>
          <t xml:space="preserve">512000</t>
        </is>
      </c>
      <c r="F31" s="6" t="inlineStr">
        <is>
          <t xml:space="preserve">BQ</t>
        </is>
      </c>
      <c r="G31" s="0" t="inlineStr">
        <is>
          <t xml:space="preserve">BQ00066</t>
        </is>
      </c>
      <c r="H31" s="6" t="inlineStr">
        <is>
          <t xml:space="preserve">411000</t>
        </is>
      </c>
      <c r="I31" s="0" t="inlineStr">
        <is>
          <t xml:space="preserve">Reglement client Agence Mobilis FA2024-0001</t>
        </is>
      </c>
      <c r="J31" s="0" t="inlineStr">
        <is>
          <t xml:space="preserve">Agence Mobilis</t>
        </is>
      </c>
      <c r="K31" s="8">
        <v>22251.64</v>
      </c>
      <c r="L31" s="0" t="inlineStr">
        <is>
          <t xml:space="preserve">Clients</t>
        </is>
      </c>
      <c r="M31" s="9"/>
      <c r="N31" s="0">
        <f>IF(M31&lt;&gt;"",M31,L31)</f>
      </c>
      <c r="O31" s="0">
        <f>IFERROR(INDEX(Categories!$B$5:$B$35,MATCH(N31,Categories!$A$5:$A$35,0)),"NA")</f>
      </c>
    </row>
    <row r="32">
      <c r="A32" s="7">
        <v>45351</v>
      </c>
      <c r="B32" s="0" t="inlineStr">
        <is>
          <t xml:space="preserve">2024-S09</t>
        </is>
      </c>
      <c r="C32" s="0" t="inlineStr">
        <is>
          <t xml:space="preserve">2024-02</t>
        </is>
      </c>
      <c r="D32" s="0" t="inlineStr">
        <is>
          <t xml:space="preserve">2024</t>
        </is>
      </c>
      <c r="E32" s="6" t="inlineStr">
        <is>
          <t xml:space="preserve">512000</t>
        </is>
      </c>
      <c r="F32" s="6" t="inlineStr">
        <is>
          <t xml:space="preserve">BQ</t>
        </is>
      </c>
      <c r="G32" s="0" t="inlineStr">
        <is>
          <t xml:space="preserve">BQ00004</t>
        </is>
      </c>
      <c r="H32" s="6" t="inlineStr">
        <is>
          <t xml:space="preserve">421000</t>
        </is>
      </c>
      <c r="I32" s="0" t="inlineStr">
        <is>
          <t xml:space="preserve">Virement salaires 02/2024</t>
        </is>
      </c>
      <c r="J32" s="0"/>
      <c r="K32" s="8">
        <v>-40186.76</v>
      </c>
      <c r="L32" s="0" t="inlineStr">
        <is>
          <t xml:space="preserve">Salaires et personnel</t>
        </is>
      </c>
      <c r="M32" s="9"/>
      <c r="N32" s="0">
        <f>IF(M32&lt;&gt;"",M32,L32)</f>
      </c>
      <c r="O32" s="0">
        <f>IFERROR(INDEX(Categories!$B$5:$B$35,MATCH(N32,Categories!$A$5:$A$35,0)),"NA")</f>
      </c>
    </row>
    <row r="33">
      <c r="A33" s="7">
        <v>45351</v>
      </c>
      <c r="B33" s="0" t="inlineStr">
        <is>
          <t xml:space="preserve">2024-S09</t>
        </is>
      </c>
      <c r="C33" s="0" t="inlineStr">
        <is>
          <t xml:space="preserve">2024-02</t>
        </is>
      </c>
      <c r="D33" s="0" t="inlineStr">
        <is>
          <t xml:space="preserve">2024</t>
        </is>
      </c>
      <c r="E33" s="6" t="inlineStr">
        <is>
          <t xml:space="preserve">512000</t>
        </is>
      </c>
      <c r="F33" s="6" t="inlineStr">
        <is>
          <t xml:space="preserve">BQ</t>
        </is>
      </c>
      <c r="G33" s="0" t="inlineStr">
        <is>
          <t xml:space="preserve">BQ00006</t>
        </is>
      </c>
      <c r="H33" s="6" t="inlineStr">
        <is>
          <t xml:space="preserve">627000</t>
        </is>
      </c>
      <c r="I33" s="0" t="inlineStr">
        <is>
          <t xml:space="preserve">Frais bancaires 02/2024</t>
        </is>
      </c>
      <c r="J33" s="0"/>
      <c r="K33" s="8">
        <v>-85</v>
      </c>
      <c r="L33" s="0" t="inlineStr">
        <is>
          <t xml:space="preserve">Frais bancaires</t>
        </is>
      </c>
      <c r="M33" s="9"/>
      <c r="N33" s="0">
        <f>IF(M33&lt;&gt;"",M33,L33)</f>
      </c>
      <c r="O33" s="0">
        <f>IFERROR(INDEX(Categories!$B$5:$B$35,MATCH(N33,Categories!$A$5:$A$35,0)),"NA")</f>
      </c>
    </row>
    <row r="34">
      <c r="A34" s="7">
        <v>45351</v>
      </c>
      <c r="B34" s="0" t="inlineStr">
        <is>
          <t xml:space="preserve">2024-S09</t>
        </is>
      </c>
      <c r="C34" s="0" t="inlineStr">
        <is>
          <t xml:space="preserve">2024-02</t>
        </is>
      </c>
      <c r="D34" s="0" t="inlineStr">
        <is>
          <t xml:space="preserve">2024</t>
        </is>
      </c>
      <c r="E34" s="6" t="inlineStr">
        <is>
          <t xml:space="preserve">512000</t>
        </is>
      </c>
      <c r="F34" s="6" t="inlineStr">
        <is>
          <t xml:space="preserve">BQ</t>
        </is>
      </c>
      <c r="G34" s="0" t="inlineStr">
        <is>
          <t xml:space="preserve">BQ00126</t>
        </is>
      </c>
      <c r="H34" s="6" t="inlineStr">
        <is>
          <t xml:space="preserve">401000</t>
        </is>
      </c>
      <c r="I34" s="0" t="inlineStr">
        <is>
          <t xml:space="preserve">Reglement fournisseur Scierie du Nord F001-2024012</t>
        </is>
      </c>
      <c r="J34" s="0" t="inlineStr">
        <is>
          <t xml:space="preserve">Scierie du Nord</t>
        </is>
      </c>
      <c r="K34" s="8">
        <v>-31910.65</v>
      </c>
      <c r="L34" s="0" t="inlineStr">
        <is>
          <t xml:space="preserve">Fournisseurs et charges externes</t>
        </is>
      </c>
      <c r="M34" s="9"/>
      <c r="N34" s="0">
        <f>IF(M34&lt;&gt;"",M34,L34)</f>
      </c>
      <c r="O34" s="0">
        <f>IFERROR(INDEX(Categories!$B$5:$B$35,MATCH(N34,Categories!$A$5:$A$35,0)),"NA")</f>
      </c>
    </row>
    <row r="35">
      <c r="A35" s="7">
        <v>45357</v>
      </c>
      <c r="B35" s="0" t="inlineStr">
        <is>
          <t xml:space="preserve">2024-S10</t>
        </is>
      </c>
      <c r="C35" s="0" t="inlineStr">
        <is>
          <t xml:space="preserve">2024-03</t>
        </is>
      </c>
      <c r="D35" s="0" t="inlineStr">
        <is>
          <t xml:space="preserve">2024</t>
        </is>
      </c>
      <c r="E35" s="6" t="inlineStr">
        <is>
          <t xml:space="preserve">512000</t>
        </is>
      </c>
      <c r="F35" s="6" t="inlineStr">
        <is>
          <t xml:space="preserve">BQ</t>
        </is>
      </c>
      <c r="G35" s="0" t="inlineStr">
        <is>
          <t xml:space="preserve">BQ00133</t>
        </is>
      </c>
      <c r="H35" s="6" t="inlineStr">
        <is>
          <t xml:space="preserve">401000</t>
        </is>
      </c>
      <c r="I35" s="0" t="inlineStr">
        <is>
          <t xml:space="preserve">Reglement fournisseur SCI Les Halles F004-202402</t>
        </is>
      </c>
      <c r="J35" s="0" t="inlineStr">
        <is>
          <t xml:space="preserve">SCI Les Halles</t>
        </is>
      </c>
      <c r="K35" s="8">
        <v>-10200</v>
      </c>
      <c r="L35" s="0" t="inlineStr">
        <is>
          <t xml:space="preserve">Fournisseurs et charges externes</t>
        </is>
      </c>
      <c r="M35" s="9"/>
      <c r="N35" s="0">
        <f>IF(M35&lt;&gt;"",M35,L35)</f>
      </c>
      <c r="O35" s="0">
        <f>IFERROR(INDEX(Categories!$B$5:$B$35,MATCH(N35,Categories!$A$5:$A$35,0)),"NA")</f>
      </c>
    </row>
    <row r="36">
      <c r="A36" s="7">
        <v>45357</v>
      </c>
      <c r="B36" s="0" t="inlineStr">
        <is>
          <t xml:space="preserve">2024-S10</t>
        </is>
      </c>
      <c r="C36" s="0" t="inlineStr">
        <is>
          <t xml:space="preserve">2024-03</t>
        </is>
      </c>
      <c r="D36" s="0" t="inlineStr">
        <is>
          <t xml:space="preserve">2024</t>
        </is>
      </c>
      <c r="E36" s="6" t="inlineStr">
        <is>
          <t xml:space="preserve">512000</t>
        </is>
      </c>
      <c r="F36" s="6" t="inlineStr">
        <is>
          <t xml:space="preserve">BQ</t>
        </is>
      </c>
      <c r="G36" s="0" t="inlineStr">
        <is>
          <t xml:space="preserve">BQ00134</t>
        </is>
      </c>
      <c r="H36" s="6" t="inlineStr">
        <is>
          <t xml:space="preserve">401000</t>
        </is>
      </c>
      <c r="I36" s="0" t="inlineStr">
        <is>
          <t xml:space="preserve">Reglement fournisseur Energie Plus F005-202402</t>
        </is>
      </c>
      <c r="J36" s="0" t="inlineStr">
        <is>
          <t xml:space="preserve">Energie Plus</t>
        </is>
      </c>
      <c r="K36" s="8">
        <v>-3628.86</v>
      </c>
      <c r="L36" s="0" t="inlineStr">
        <is>
          <t xml:space="preserve">Fournisseurs et charges externes</t>
        </is>
      </c>
      <c r="M36" s="9"/>
      <c r="N36" s="0">
        <f>IF(M36&lt;&gt;"",M36,L36)</f>
      </c>
      <c r="O36" s="0">
        <f>IFERROR(INDEX(Categories!$B$5:$B$35,MATCH(N36,Categories!$A$5:$A$35,0)),"NA")</f>
      </c>
    </row>
    <row r="37">
      <c r="A37" s="7">
        <v>45357</v>
      </c>
      <c r="B37" s="0" t="inlineStr">
        <is>
          <t xml:space="preserve">2024-S10</t>
        </is>
      </c>
      <c r="C37" s="0" t="inlineStr">
        <is>
          <t xml:space="preserve">2024-03</t>
        </is>
      </c>
      <c r="D37" s="0" t="inlineStr">
        <is>
          <t xml:space="preserve">2024</t>
        </is>
      </c>
      <c r="E37" s="6" t="inlineStr">
        <is>
          <t xml:space="preserve">512000</t>
        </is>
      </c>
      <c r="F37" s="6" t="inlineStr">
        <is>
          <t xml:space="preserve">BQ</t>
        </is>
      </c>
      <c r="G37" s="0" t="inlineStr">
        <is>
          <t xml:space="preserve">BQ00135</t>
        </is>
      </c>
      <c r="H37" s="6" t="inlineStr">
        <is>
          <t xml:space="preserve">401000</t>
        </is>
      </c>
      <c r="I37" s="0" t="inlineStr">
        <is>
          <t xml:space="preserve">Reglement fournisseur Telecom Pro F008-202402</t>
        </is>
      </c>
      <c r="J37" s="0" t="inlineStr">
        <is>
          <t xml:space="preserve">Telecom Pro</t>
        </is>
      </c>
      <c r="K37" s="8">
        <v>-576</v>
      </c>
      <c r="L37" s="0" t="inlineStr">
        <is>
          <t xml:space="preserve">Fournisseurs et charges externes</t>
        </is>
      </c>
      <c r="M37" s="9"/>
      <c r="N37" s="0">
        <f>IF(M37&lt;&gt;"",M37,L37)</f>
      </c>
      <c r="O37" s="0">
        <f>IFERROR(INDEX(Categories!$B$5:$B$35,MATCH(N37,Categories!$A$5:$A$35,0)),"NA")</f>
      </c>
    </row>
    <row r="38">
      <c r="A38" s="7">
        <v>45361</v>
      </c>
      <c r="B38" s="0" t="inlineStr">
        <is>
          <t xml:space="preserve">2024-S10</t>
        </is>
      </c>
      <c r="C38" s="0" t="inlineStr">
        <is>
          <t xml:space="preserve">2024-03</t>
        </is>
      </c>
      <c r="D38" s="0" t="inlineStr">
        <is>
          <t xml:space="preserve">2024</t>
        </is>
      </c>
      <c r="E38" s="6" t="inlineStr">
        <is>
          <t xml:space="preserve">512000</t>
        </is>
      </c>
      <c r="F38" s="6" t="inlineStr">
        <is>
          <t xml:space="preserve">BQ</t>
        </is>
      </c>
      <c r="G38" s="0" t="inlineStr">
        <is>
          <t xml:space="preserve">BQ00008</t>
        </is>
      </c>
      <c r="H38" s="6" t="inlineStr">
        <is>
          <t xml:space="preserve">164000</t>
        </is>
      </c>
      <c r="I38" s="0" t="inlineStr">
        <is>
          <t xml:space="preserve">Echeance emprunt 03/2024</t>
        </is>
      </c>
      <c r="J38" s="0"/>
      <c r="K38" s="8">
        <v>-2000</v>
      </c>
      <c r="L38" s="0" t="inlineStr">
        <is>
          <t xml:space="preserve">Emprunts - capital</t>
        </is>
      </c>
      <c r="M38" s="9"/>
      <c r="N38" s="0">
        <f>IF(M38&lt;&gt;"",M38,L38)</f>
      </c>
      <c r="O38" s="0">
        <f>IFERROR(INDEX(Categories!$B$5:$B$35,MATCH(N38,Categories!$A$5:$A$35,0)),"NA")</f>
      </c>
    </row>
    <row r="39">
      <c r="A39" s="7">
        <v>45361</v>
      </c>
      <c r="B39" s="0" t="inlineStr">
        <is>
          <t xml:space="preserve">2024-S10</t>
        </is>
      </c>
      <c r="C39" s="0" t="inlineStr">
        <is>
          <t xml:space="preserve">2024-03</t>
        </is>
      </c>
      <c r="D39" s="0" t="inlineStr">
        <is>
          <t xml:space="preserve">2024</t>
        </is>
      </c>
      <c r="E39" s="6" t="inlineStr">
        <is>
          <t xml:space="preserve">512000</t>
        </is>
      </c>
      <c r="F39" s="6" t="inlineStr">
        <is>
          <t xml:space="preserve">BQ</t>
        </is>
      </c>
      <c r="G39" s="0" t="inlineStr">
        <is>
          <t xml:space="preserve">BQ00008</t>
        </is>
      </c>
      <c r="H39" s="6" t="inlineStr">
        <is>
          <t xml:space="preserve">661100</t>
        </is>
      </c>
      <c r="I39" s="0" t="inlineStr">
        <is>
          <t xml:space="preserve">Echeance emprunt 03/2024</t>
        </is>
      </c>
      <c r="J39" s="0"/>
      <c r="K39" s="8">
        <v>-286.67</v>
      </c>
      <c r="L39" s="0" t="inlineStr">
        <is>
          <t xml:space="preserve">Intérêts et charges financières</t>
        </is>
      </c>
      <c r="M39" s="9"/>
      <c r="N39" s="0">
        <f>IF(M39&lt;&gt;"",M39,L39)</f>
      </c>
      <c r="O39" s="0">
        <f>IFERROR(INDEX(Categories!$B$5:$B$35,MATCH(N39,Categories!$A$5:$A$35,0)),"NA")</f>
      </c>
    </row>
    <row r="40">
      <c r="A40" s="7">
        <v>45366</v>
      </c>
      <c r="B40" s="0" t="inlineStr">
        <is>
          <t xml:space="preserve">2024-S11</t>
        </is>
      </c>
      <c r="C40" s="0" t="inlineStr">
        <is>
          <t xml:space="preserve">2024-03</t>
        </is>
      </c>
      <c r="D40" s="0" t="inlineStr">
        <is>
          <t xml:space="preserve">2024</t>
        </is>
      </c>
      <c r="E40" s="6" t="inlineStr">
        <is>
          <t xml:space="preserve">512000</t>
        </is>
      </c>
      <c r="F40" s="6" t="inlineStr">
        <is>
          <t xml:space="preserve">BQ</t>
        </is>
      </c>
      <c r="G40" s="0" t="inlineStr">
        <is>
          <t xml:space="preserve">BQ00041</t>
        </is>
      </c>
      <c r="H40" s="6" t="inlineStr">
        <is>
          <t xml:space="preserve">431000</t>
        </is>
      </c>
      <c r="I40" s="0" t="inlineStr">
        <is>
          <t xml:space="preserve">Reglement URSSAF 02/2024</t>
        </is>
      </c>
      <c r="J40" s="0"/>
      <c r="K40" s="8">
        <v>-32973.76</v>
      </c>
      <c r="L40" s="0" t="inlineStr">
        <is>
          <t xml:space="preserve">Charges sociales</t>
        </is>
      </c>
      <c r="M40" s="9"/>
      <c r="N40" s="0">
        <f>IF(M40&lt;&gt;"",M40,L40)</f>
      </c>
      <c r="O40" s="0">
        <f>IFERROR(INDEX(Categories!$B$5:$B$35,MATCH(N40,Categories!$A$5:$A$35,0)),"NA")</f>
      </c>
    </row>
    <row r="41">
      <c r="A41" s="7">
        <v>45369</v>
      </c>
      <c r="B41" s="0" t="inlineStr">
        <is>
          <t xml:space="preserve">2024-S12</t>
        </is>
      </c>
      <c r="C41" s="0" t="inlineStr">
        <is>
          <t xml:space="preserve">2024-03</t>
        </is>
      </c>
      <c r="D41" s="0" t="inlineStr">
        <is>
          <t xml:space="preserve">2024</t>
        </is>
      </c>
      <c r="E41" s="6" t="inlineStr">
        <is>
          <t xml:space="preserve">512000</t>
        </is>
      </c>
      <c r="F41" s="6" t="inlineStr">
        <is>
          <t xml:space="preserve">BQ</t>
        </is>
      </c>
      <c r="G41" s="0" t="inlineStr">
        <is>
          <t xml:space="preserve">BQ00076</t>
        </is>
      </c>
      <c r="H41" s="6" t="inlineStr">
        <is>
          <t xml:space="preserve">411000</t>
        </is>
      </c>
      <c r="I41" s="0" t="inlineStr">
        <is>
          <t xml:space="preserve">Reglement client Agence Mobilis FA2024-0011</t>
        </is>
      </c>
      <c r="J41" s="0" t="inlineStr">
        <is>
          <t xml:space="preserve">Agence Mobilis</t>
        </is>
      </c>
      <c r="K41" s="8">
        <v>47082.47</v>
      </c>
      <c r="L41" s="0" t="inlineStr">
        <is>
          <t xml:space="preserve">Clients</t>
        </is>
      </c>
      <c r="M41" s="9"/>
      <c r="N41" s="0">
        <f>IF(M41&lt;&gt;"",M41,L41)</f>
      </c>
      <c r="O41" s="0">
        <f>IFERROR(INDEX(Categories!$B$5:$B$35,MATCH(N41,Categories!$A$5:$A$35,0)),"NA")</f>
      </c>
    </row>
    <row r="42">
      <c r="A42" s="7">
        <v>45370</v>
      </c>
      <c r="B42" s="0" t="inlineStr">
        <is>
          <t xml:space="preserve">2024-S12</t>
        </is>
      </c>
      <c r="C42" s="0" t="inlineStr">
        <is>
          <t xml:space="preserve">2024-03</t>
        </is>
      </c>
      <c r="D42" s="0" t="inlineStr">
        <is>
          <t xml:space="preserve">2024</t>
        </is>
      </c>
      <c r="E42" s="6" t="inlineStr">
        <is>
          <t xml:space="preserve">512000</t>
        </is>
      </c>
      <c r="F42" s="6" t="inlineStr">
        <is>
          <t xml:space="preserve">BQ</t>
        </is>
      </c>
      <c r="G42" s="0" t="inlineStr">
        <is>
          <t xml:space="preserve">BQ00074</t>
        </is>
      </c>
      <c r="H42" s="6" t="inlineStr">
        <is>
          <t xml:space="preserve">411000</t>
        </is>
      </c>
      <c r="I42" s="0" t="inlineStr">
        <is>
          <t xml:space="preserve">Reglement client Agence Mobilis FA2024-0009</t>
        </is>
      </c>
      <c r="J42" s="0" t="inlineStr">
        <is>
          <t xml:space="preserve">Agence Mobilis</t>
        </is>
      </c>
      <c r="K42" s="8">
        <v>34050.62</v>
      </c>
      <c r="L42" s="0" t="inlineStr">
        <is>
          <t xml:space="preserve">Clients</t>
        </is>
      </c>
      <c r="M42" s="9"/>
      <c r="N42" s="0">
        <f>IF(M42&lt;&gt;"",M42,L42)</f>
      </c>
      <c r="O42" s="0">
        <f>IFERROR(INDEX(Categories!$B$5:$B$35,MATCH(N42,Categories!$A$5:$A$35,0)),"NA")</f>
      </c>
    </row>
    <row r="43">
      <c r="A43" s="7">
        <v>45371</v>
      </c>
      <c r="B43" s="0" t="inlineStr">
        <is>
          <t xml:space="preserve">2024-S12</t>
        </is>
      </c>
      <c r="C43" s="0" t="inlineStr">
        <is>
          <t xml:space="preserve">2024-03</t>
        </is>
      </c>
      <c r="D43" s="0" t="inlineStr">
        <is>
          <t xml:space="preserve">2024</t>
        </is>
      </c>
      <c r="E43" s="6" t="inlineStr">
        <is>
          <t xml:space="preserve">512000</t>
        </is>
      </c>
      <c r="F43" s="6" t="inlineStr">
        <is>
          <t xml:space="preserve">BQ</t>
        </is>
      </c>
      <c r="G43" s="0" t="inlineStr">
        <is>
          <t xml:space="preserve">BQ00042</t>
        </is>
      </c>
      <c r="H43" s="6" t="inlineStr">
        <is>
          <t xml:space="preserve">445510</t>
        </is>
      </c>
      <c r="I43" s="0" t="inlineStr">
        <is>
          <t xml:space="preserve">Reglement TVA 02/2024</t>
        </is>
      </c>
      <c r="J43" s="0"/>
      <c r="K43" s="8">
        <v>-14999.19</v>
      </c>
      <c r="L43" s="0" t="inlineStr">
        <is>
          <t xml:space="preserve">TVA</t>
        </is>
      </c>
      <c r="M43" s="9"/>
      <c r="N43" s="0">
        <f>IF(M43&lt;&gt;"",M43,L43)</f>
      </c>
      <c r="O43" s="0">
        <f>IFERROR(INDEX(Categories!$B$5:$B$35,MATCH(N43,Categories!$A$5:$A$35,0)),"NA")</f>
      </c>
    </row>
    <row r="44">
      <c r="A44" s="7">
        <v>45372</v>
      </c>
      <c r="B44" s="0" t="inlineStr">
        <is>
          <t xml:space="preserve">2024-S12</t>
        </is>
      </c>
      <c r="C44" s="0" t="inlineStr">
        <is>
          <t xml:space="preserve">2024-03</t>
        </is>
      </c>
      <c r="D44" s="0" t="inlineStr">
        <is>
          <t xml:space="preserve">2024</t>
        </is>
      </c>
      <c r="E44" s="6" t="inlineStr">
        <is>
          <t xml:space="preserve">512000</t>
        </is>
      </c>
      <c r="F44" s="6" t="inlineStr">
        <is>
          <t xml:space="preserve">BQ</t>
        </is>
      </c>
      <c r="G44" s="0" t="inlineStr">
        <is>
          <t xml:space="preserve">BQ00073</t>
        </is>
      </c>
      <c r="H44" s="6" t="inlineStr">
        <is>
          <t xml:space="preserve">411000</t>
        </is>
      </c>
      <c r="I44" s="0" t="inlineStr">
        <is>
          <t xml:space="preserve">Reglement client Clinique du Parc FA2024-0008</t>
        </is>
      </c>
      <c r="J44" s="0" t="inlineStr">
        <is>
          <t xml:space="preserve">Clinique du Parc</t>
        </is>
      </c>
      <c r="K44" s="8">
        <v>22339.12</v>
      </c>
      <c r="L44" s="0" t="inlineStr">
        <is>
          <t xml:space="preserve">Clients</t>
        </is>
      </c>
      <c r="M44" s="9"/>
      <c r="N44" s="0">
        <f>IF(M44&lt;&gt;"",M44,L44)</f>
      </c>
      <c r="O44" s="0">
        <f>IFERROR(INDEX(Categories!$B$5:$B$35,MATCH(N44,Categories!$A$5:$A$35,0)),"NA")</f>
      </c>
    </row>
    <row r="45">
      <c r="A45" s="7">
        <v>45377</v>
      </c>
      <c r="B45" s="0" t="inlineStr">
        <is>
          <t xml:space="preserve">2024-S13</t>
        </is>
      </c>
      <c r="C45" s="0" t="inlineStr">
        <is>
          <t xml:space="preserve">2024-03</t>
        </is>
      </c>
      <c r="D45" s="0" t="inlineStr">
        <is>
          <t xml:space="preserve">2024</t>
        </is>
      </c>
      <c r="E45" s="6" t="inlineStr">
        <is>
          <t xml:space="preserve">512000</t>
        </is>
      </c>
      <c r="F45" s="6" t="inlineStr">
        <is>
          <t xml:space="preserve">BQ</t>
        </is>
      </c>
      <c r="G45" s="0" t="inlineStr">
        <is>
          <t xml:space="preserve">BQ00125</t>
        </is>
      </c>
      <c r="H45" s="6" t="inlineStr">
        <is>
          <t xml:space="preserve">401000</t>
        </is>
      </c>
      <c r="I45" s="0" t="inlineStr">
        <is>
          <t xml:space="preserve">Reglement fournisseur Scierie du Nord F001-2024011</t>
        </is>
      </c>
      <c r="J45" s="0" t="inlineStr">
        <is>
          <t xml:space="preserve">Scierie du Nord</t>
        </is>
      </c>
      <c r="K45" s="8">
        <v>-39489.35</v>
      </c>
      <c r="L45" s="0" t="inlineStr">
        <is>
          <t xml:space="preserve">Fournisseurs et charges externes</t>
        </is>
      </c>
      <c r="M45" s="9"/>
      <c r="N45" s="0">
        <f>IF(M45&lt;&gt;"",M45,L45)</f>
      </c>
      <c r="O45" s="0">
        <f>IFERROR(INDEX(Categories!$B$5:$B$35,MATCH(N45,Categories!$A$5:$A$35,0)),"NA")</f>
      </c>
    </row>
    <row r="46">
      <c r="A46" s="7">
        <v>45379</v>
      </c>
      <c r="B46" s="0" t="inlineStr">
        <is>
          <t xml:space="preserve">2024-S13</t>
        </is>
      </c>
      <c r="C46" s="0" t="inlineStr">
        <is>
          <t xml:space="preserve">2024-03</t>
        </is>
      </c>
      <c r="D46" s="0" t="inlineStr">
        <is>
          <t xml:space="preserve">2024</t>
        </is>
      </c>
      <c r="E46" s="6" t="inlineStr">
        <is>
          <t xml:space="preserve">512000</t>
        </is>
      </c>
      <c r="F46" s="6" t="inlineStr">
        <is>
          <t xml:space="preserve">BQ</t>
        </is>
      </c>
      <c r="G46" s="0" t="inlineStr">
        <is>
          <t xml:space="preserve">BQ00077</t>
        </is>
      </c>
      <c r="H46" s="6" t="inlineStr">
        <is>
          <t xml:space="preserve">411000</t>
        </is>
      </c>
      <c r="I46" s="0" t="inlineStr">
        <is>
          <t xml:space="preserve">Reglement client Coworking Atelier 9 FA2024-0012</t>
        </is>
      </c>
      <c r="J46" s="0" t="inlineStr">
        <is>
          <t xml:space="preserve">Coworking Atelier 9</t>
        </is>
      </c>
      <c r="K46" s="8">
        <v>23334.37</v>
      </c>
      <c r="L46" s="0" t="inlineStr">
        <is>
          <t xml:space="preserve">Clients</t>
        </is>
      </c>
      <c r="M46" s="9"/>
      <c r="N46" s="0">
        <f>IF(M46&lt;&gt;"",M46,L46)</f>
      </c>
      <c r="O46" s="0">
        <f>IFERROR(INDEX(Categories!$B$5:$B$35,MATCH(N46,Categories!$A$5:$A$35,0)),"NA")</f>
      </c>
    </row>
    <row r="47">
      <c r="A47" s="7">
        <v>45380</v>
      </c>
      <c r="B47" s="0" t="inlineStr">
        <is>
          <t xml:space="preserve">2024-S13</t>
        </is>
      </c>
      <c r="C47" s="0" t="inlineStr">
        <is>
          <t xml:space="preserve">2024-03</t>
        </is>
      </c>
      <c r="D47" s="0" t="inlineStr">
        <is>
          <t xml:space="preserve">2024</t>
        </is>
      </c>
      <c r="E47" s="6" t="inlineStr">
        <is>
          <t xml:space="preserve">512000</t>
        </is>
      </c>
      <c r="F47" s="6" t="inlineStr">
        <is>
          <t xml:space="preserve">BQ</t>
        </is>
      </c>
      <c r="G47" s="0" t="inlineStr">
        <is>
          <t xml:space="preserve">BQ00132</t>
        </is>
      </c>
      <c r="H47" s="6" t="inlineStr">
        <is>
          <t xml:space="preserve">401000</t>
        </is>
      </c>
      <c r="I47" s="0" t="inlineStr">
        <is>
          <t xml:space="preserve">Reglement fournisseur Scierie du Nord F001-2024022</t>
        </is>
      </c>
      <c r="J47" s="0" t="inlineStr">
        <is>
          <t xml:space="preserve">Scierie du Nord</t>
        </is>
      </c>
      <c r="K47" s="8">
        <v>-35715.06</v>
      </c>
      <c r="L47" s="0" t="inlineStr">
        <is>
          <t xml:space="preserve">Fournisseurs et charges externes</t>
        </is>
      </c>
      <c r="M47" s="9"/>
      <c r="N47" s="0">
        <f>IF(M47&lt;&gt;"",M47,L47)</f>
      </c>
      <c r="O47" s="0">
        <f>IFERROR(INDEX(Categories!$B$5:$B$35,MATCH(N47,Categories!$A$5:$A$35,0)),"NA")</f>
      </c>
    </row>
    <row r="48">
      <c r="A48" s="7">
        <v>45382</v>
      </c>
      <c r="B48" s="0" t="inlineStr">
        <is>
          <t xml:space="preserve">2024-S13</t>
        </is>
      </c>
      <c r="C48" s="0" t="inlineStr">
        <is>
          <t xml:space="preserve">2024-03</t>
        </is>
      </c>
      <c r="D48" s="0" t="inlineStr">
        <is>
          <t xml:space="preserve">2024</t>
        </is>
      </c>
      <c r="E48" s="6" t="inlineStr">
        <is>
          <t xml:space="preserve">512000</t>
        </is>
      </c>
      <c r="F48" s="6" t="inlineStr">
        <is>
          <t xml:space="preserve">BQ</t>
        </is>
      </c>
      <c r="G48" s="0" t="inlineStr">
        <is>
          <t xml:space="preserve">BQ00007</t>
        </is>
      </c>
      <c r="H48" s="6" t="inlineStr">
        <is>
          <t xml:space="preserve">421000</t>
        </is>
      </c>
      <c r="I48" s="0" t="inlineStr">
        <is>
          <t xml:space="preserve">Virement salaires 03/2024</t>
        </is>
      </c>
      <c r="J48" s="0"/>
      <c r="K48" s="8">
        <v>-40433.71</v>
      </c>
      <c r="L48" s="0" t="inlineStr">
        <is>
          <t xml:space="preserve">Salaires et personnel</t>
        </is>
      </c>
      <c r="M48" s="9"/>
      <c r="N48" s="0">
        <f>IF(M48&lt;&gt;"",M48,L48)</f>
      </c>
      <c r="O48" s="0">
        <f>IFERROR(INDEX(Categories!$B$5:$B$35,MATCH(N48,Categories!$A$5:$A$35,0)),"NA")</f>
      </c>
    </row>
    <row r="49">
      <c r="A49" s="7">
        <v>45382</v>
      </c>
      <c r="B49" s="0" t="inlineStr">
        <is>
          <t xml:space="preserve">2024-S13</t>
        </is>
      </c>
      <c r="C49" s="0" t="inlineStr">
        <is>
          <t xml:space="preserve">2024-03</t>
        </is>
      </c>
      <c r="D49" s="0" t="inlineStr">
        <is>
          <t xml:space="preserve">2024</t>
        </is>
      </c>
      <c r="E49" s="6" t="inlineStr">
        <is>
          <t xml:space="preserve">512000</t>
        </is>
      </c>
      <c r="F49" s="6" t="inlineStr">
        <is>
          <t xml:space="preserve">BQ</t>
        </is>
      </c>
      <c r="G49" s="0" t="inlineStr">
        <is>
          <t xml:space="preserve">BQ00009</t>
        </is>
      </c>
      <c r="H49" s="6" t="inlineStr">
        <is>
          <t xml:space="preserve">627000</t>
        </is>
      </c>
      <c r="I49" s="0" t="inlineStr">
        <is>
          <t xml:space="preserve">Frais bancaires 03/2024</t>
        </is>
      </c>
      <c r="J49" s="0"/>
      <c r="K49" s="8">
        <v>-85</v>
      </c>
      <c r="L49" s="0" t="inlineStr">
        <is>
          <t xml:space="preserve">Frais bancaires</t>
        </is>
      </c>
      <c r="M49" s="9"/>
      <c r="N49" s="0">
        <f>IF(M49&lt;&gt;"",M49,L49)</f>
      </c>
      <c r="O49" s="0">
        <f>IFERROR(INDEX(Categories!$B$5:$B$35,MATCH(N49,Categories!$A$5:$A$35,0)),"NA")</f>
      </c>
    </row>
    <row r="50">
      <c r="A50" s="7">
        <v>45383</v>
      </c>
      <c r="B50" s="0" t="inlineStr">
        <is>
          <t xml:space="preserve">2024-S14</t>
        </is>
      </c>
      <c r="C50" s="0" t="inlineStr">
        <is>
          <t xml:space="preserve">2024-04</t>
        </is>
      </c>
      <c r="D50" s="0" t="inlineStr">
        <is>
          <t xml:space="preserve">2024</t>
        </is>
      </c>
      <c r="E50" s="6" t="inlineStr">
        <is>
          <t xml:space="preserve">512000</t>
        </is>
      </c>
      <c r="F50" s="6" t="inlineStr">
        <is>
          <t xml:space="preserve">BQ</t>
        </is>
      </c>
      <c r="G50" s="0" t="inlineStr">
        <is>
          <t xml:space="preserve">BQ00075</t>
        </is>
      </c>
      <c r="H50" s="6" t="inlineStr">
        <is>
          <t xml:space="preserve">411000</t>
        </is>
      </c>
      <c r="I50" s="0" t="inlineStr">
        <is>
          <t xml:space="preserve">Reglement client Cabinet Varenne Associes FA2024-0010</t>
        </is>
      </c>
      <c r="J50" s="0" t="inlineStr">
        <is>
          <t xml:space="preserve">Cabinet Varenne Associes</t>
        </is>
      </c>
      <c r="K50" s="8">
        <v>24630.2</v>
      </c>
      <c r="L50" s="0" t="inlineStr">
        <is>
          <t xml:space="preserve">Clients</t>
        </is>
      </c>
      <c r="M50" s="9"/>
      <c r="N50" s="0">
        <f>IF(M50&lt;&gt;"",M50,L50)</f>
      </c>
      <c r="O50" s="0">
        <f>IFERROR(INDEX(Categories!$B$5:$B$35,MATCH(N50,Categories!$A$5:$A$35,0)),"NA")</f>
      </c>
    </row>
    <row r="51">
      <c r="A51" s="7">
        <v>45386</v>
      </c>
      <c r="B51" s="0" t="inlineStr">
        <is>
          <t xml:space="preserve">2024-S14</t>
        </is>
      </c>
      <c r="C51" s="0" t="inlineStr">
        <is>
          <t xml:space="preserve">2024-04</t>
        </is>
      </c>
      <c r="D51" s="0" t="inlineStr">
        <is>
          <t xml:space="preserve">2024</t>
        </is>
      </c>
      <c r="E51" s="6" t="inlineStr">
        <is>
          <t xml:space="preserve">512000</t>
        </is>
      </c>
      <c r="F51" s="6" t="inlineStr">
        <is>
          <t xml:space="preserve">BQ</t>
        </is>
      </c>
      <c r="G51" s="0" t="inlineStr">
        <is>
          <t xml:space="preserve">BQ00139</t>
        </is>
      </c>
      <c r="H51" s="6" t="inlineStr">
        <is>
          <t xml:space="preserve">401000</t>
        </is>
      </c>
      <c r="I51" s="0" t="inlineStr">
        <is>
          <t xml:space="preserve">Reglement fournisseur SCI Les Halles F004-202403</t>
        </is>
      </c>
      <c r="J51" s="0" t="inlineStr">
        <is>
          <t xml:space="preserve">SCI Les Halles</t>
        </is>
      </c>
      <c r="K51" s="8">
        <v>-10200</v>
      </c>
      <c r="L51" s="0" t="inlineStr">
        <is>
          <t xml:space="preserve">Fournisseurs et charges externes</t>
        </is>
      </c>
      <c r="M51" s="9"/>
      <c r="N51" s="0">
        <f>IF(M51&lt;&gt;"",M51,L51)</f>
      </c>
      <c r="O51" s="0">
        <f>IFERROR(INDEX(Categories!$B$5:$B$35,MATCH(N51,Categories!$A$5:$A$35,0)),"NA")</f>
      </c>
    </row>
    <row r="52">
      <c r="A52" s="7">
        <v>45386</v>
      </c>
      <c r="B52" s="0" t="inlineStr">
        <is>
          <t xml:space="preserve">2024-S14</t>
        </is>
      </c>
      <c r="C52" s="0" t="inlineStr">
        <is>
          <t xml:space="preserve">2024-04</t>
        </is>
      </c>
      <c r="D52" s="0" t="inlineStr">
        <is>
          <t xml:space="preserve">2024</t>
        </is>
      </c>
      <c r="E52" s="6" t="inlineStr">
        <is>
          <t xml:space="preserve">512000</t>
        </is>
      </c>
      <c r="F52" s="6" t="inlineStr">
        <is>
          <t xml:space="preserve">BQ</t>
        </is>
      </c>
      <c r="G52" s="0" t="inlineStr">
        <is>
          <t xml:space="preserve">BQ00140</t>
        </is>
      </c>
      <c r="H52" s="6" t="inlineStr">
        <is>
          <t xml:space="preserve">401000</t>
        </is>
      </c>
      <c r="I52" s="0" t="inlineStr">
        <is>
          <t xml:space="preserve">Reglement fournisseur Energie Plus F005-202403</t>
        </is>
      </c>
      <c r="J52" s="0" t="inlineStr">
        <is>
          <t xml:space="preserve">Energie Plus</t>
        </is>
      </c>
      <c r="K52" s="8">
        <v>-4163.17</v>
      </c>
      <c r="L52" s="0" t="inlineStr">
        <is>
          <t xml:space="preserve">Fournisseurs et charges externes</t>
        </is>
      </c>
      <c r="M52" s="9"/>
      <c r="N52" s="0">
        <f>IF(M52&lt;&gt;"",M52,L52)</f>
      </c>
      <c r="O52" s="0">
        <f>IFERROR(INDEX(Categories!$B$5:$B$35,MATCH(N52,Categories!$A$5:$A$35,0)),"NA")</f>
      </c>
    </row>
    <row r="53">
      <c r="A53" s="7">
        <v>45386</v>
      </c>
      <c r="B53" s="0" t="inlineStr">
        <is>
          <t xml:space="preserve">2024-S14</t>
        </is>
      </c>
      <c r="C53" s="0" t="inlineStr">
        <is>
          <t xml:space="preserve">2024-04</t>
        </is>
      </c>
      <c r="D53" s="0" t="inlineStr">
        <is>
          <t xml:space="preserve">2024</t>
        </is>
      </c>
      <c r="E53" s="6" t="inlineStr">
        <is>
          <t xml:space="preserve">512000</t>
        </is>
      </c>
      <c r="F53" s="6" t="inlineStr">
        <is>
          <t xml:space="preserve">BQ</t>
        </is>
      </c>
      <c r="G53" s="0" t="inlineStr">
        <is>
          <t xml:space="preserve">BQ00141</t>
        </is>
      </c>
      <c r="H53" s="6" t="inlineStr">
        <is>
          <t xml:space="preserve">401000</t>
        </is>
      </c>
      <c r="I53" s="0" t="inlineStr">
        <is>
          <t xml:space="preserve">Reglement fournisseur Telecom Pro F008-202403</t>
        </is>
      </c>
      <c r="J53" s="0" t="inlineStr">
        <is>
          <t xml:space="preserve">Telecom Pro</t>
        </is>
      </c>
      <c r="K53" s="8">
        <v>-576</v>
      </c>
      <c r="L53" s="0" t="inlineStr">
        <is>
          <t xml:space="preserve">Fournisseurs et charges externes</t>
        </is>
      </c>
      <c r="M53" s="9"/>
      <c r="N53" s="0">
        <f>IF(M53&lt;&gt;"",M53,L53)</f>
      </c>
      <c r="O53" s="0">
        <f>IFERROR(INDEX(Categories!$B$5:$B$35,MATCH(N53,Categories!$A$5:$A$35,0)),"NA")</f>
      </c>
    </row>
    <row r="54">
      <c r="A54" s="7">
        <v>45386</v>
      </c>
      <c r="B54" s="0" t="inlineStr">
        <is>
          <t xml:space="preserve">2024-S14</t>
        </is>
      </c>
      <c r="C54" s="0" t="inlineStr">
        <is>
          <t xml:space="preserve">2024-04</t>
        </is>
      </c>
      <c r="D54" s="0" t="inlineStr">
        <is>
          <t xml:space="preserve">2024</t>
        </is>
      </c>
      <c r="E54" s="6" t="inlineStr">
        <is>
          <t xml:space="preserve">512000</t>
        </is>
      </c>
      <c r="F54" s="6" t="inlineStr">
        <is>
          <t xml:space="preserve">BQ</t>
        </is>
      </c>
      <c r="G54" s="0" t="inlineStr">
        <is>
          <t xml:space="preserve">BQ00142</t>
        </is>
      </c>
      <c r="H54" s="6" t="inlineStr">
        <is>
          <t xml:space="preserve">401000</t>
        </is>
      </c>
      <c r="I54" s="0" t="inlineStr">
        <is>
          <t xml:space="preserve">Reglement fournisseur Cabinet Comptable Exemple F007-202403</t>
        </is>
      </c>
      <c r="J54" s="0" t="inlineStr">
        <is>
          <t xml:space="preserve">Cabinet Comptable Exemple</t>
        </is>
      </c>
      <c r="K54" s="8">
        <v>-7200</v>
      </c>
      <c r="L54" s="0" t="inlineStr">
        <is>
          <t xml:space="preserve">Fournisseurs et charges externes</t>
        </is>
      </c>
      <c r="M54" s="9"/>
      <c r="N54" s="0">
        <f>IF(M54&lt;&gt;"",M54,L54)</f>
      </c>
      <c r="O54" s="0">
        <f>IFERROR(INDEX(Categories!$B$5:$B$35,MATCH(N54,Categories!$A$5:$A$35,0)),"NA")</f>
      </c>
    </row>
    <row r="55">
      <c r="A55" s="7">
        <v>45390</v>
      </c>
      <c r="B55" s="0" t="inlineStr">
        <is>
          <t xml:space="preserve">2024-S15</t>
        </is>
      </c>
      <c r="C55" s="0" t="inlineStr">
        <is>
          <t xml:space="preserve">2024-04</t>
        </is>
      </c>
      <c r="D55" s="0" t="inlineStr">
        <is>
          <t xml:space="preserve">2024</t>
        </is>
      </c>
      <c r="E55" s="6" t="inlineStr">
        <is>
          <t xml:space="preserve">512000</t>
        </is>
      </c>
      <c r="F55" s="6" t="inlineStr">
        <is>
          <t xml:space="preserve">BQ</t>
        </is>
      </c>
      <c r="G55" s="0" t="inlineStr">
        <is>
          <t xml:space="preserve">BQ00082</t>
        </is>
      </c>
      <c r="H55" s="6" t="inlineStr">
        <is>
          <t xml:space="preserve">411000</t>
        </is>
      </c>
      <c r="I55" s="0" t="inlineStr">
        <is>
          <t xml:space="preserve">Reglement client Coworking Atelier 9 FA2024-0017</t>
        </is>
      </c>
      <c r="J55" s="0" t="inlineStr">
        <is>
          <t xml:space="preserve">Coworking Atelier 9</t>
        </is>
      </c>
      <c r="K55" s="8">
        <v>22939.06</v>
      </c>
      <c r="L55" s="0" t="inlineStr">
        <is>
          <t xml:space="preserve">Clients</t>
        </is>
      </c>
      <c r="M55" s="9"/>
      <c r="N55" s="0">
        <f>IF(M55&lt;&gt;"",M55,L55)</f>
      </c>
      <c r="O55" s="0">
        <f>IFERROR(INDEX(Categories!$B$5:$B$35,MATCH(N55,Categories!$A$5:$A$35,0)),"NA")</f>
      </c>
    </row>
    <row r="56">
      <c r="A56" s="7">
        <v>45392</v>
      </c>
      <c r="B56" s="0" t="inlineStr">
        <is>
          <t xml:space="preserve">2024-S15</t>
        </is>
      </c>
      <c r="C56" s="0" t="inlineStr">
        <is>
          <t xml:space="preserve">2024-04</t>
        </is>
      </c>
      <c r="D56" s="0" t="inlineStr">
        <is>
          <t xml:space="preserve">2024</t>
        </is>
      </c>
      <c r="E56" s="6" t="inlineStr">
        <is>
          <t xml:space="preserve">512000</t>
        </is>
      </c>
      <c r="F56" s="6" t="inlineStr">
        <is>
          <t xml:space="preserve">BQ</t>
        </is>
      </c>
      <c r="G56" s="0" t="inlineStr">
        <is>
          <t xml:space="preserve">BQ00011</t>
        </is>
      </c>
      <c r="H56" s="6" t="inlineStr">
        <is>
          <t xml:space="preserve">164000</t>
        </is>
      </c>
      <c r="I56" s="0" t="inlineStr">
        <is>
          <t xml:space="preserve">Echeance emprunt 04/2024</t>
        </is>
      </c>
      <c r="J56" s="0"/>
      <c r="K56" s="8">
        <v>-2000</v>
      </c>
      <c r="L56" s="0" t="inlineStr">
        <is>
          <t xml:space="preserve">Emprunts - capital</t>
        </is>
      </c>
      <c r="M56" s="9"/>
      <c r="N56" s="0">
        <f>IF(M56&lt;&gt;"",M56,L56)</f>
      </c>
      <c r="O56" s="0">
        <f>IFERROR(INDEX(Categories!$B$5:$B$35,MATCH(N56,Categories!$A$5:$A$35,0)),"NA")</f>
      </c>
    </row>
    <row r="57">
      <c r="A57" s="7">
        <v>45392</v>
      </c>
      <c r="B57" s="0" t="inlineStr">
        <is>
          <t xml:space="preserve">2024-S15</t>
        </is>
      </c>
      <c r="C57" s="0" t="inlineStr">
        <is>
          <t xml:space="preserve">2024-04</t>
        </is>
      </c>
      <c r="D57" s="0" t="inlineStr">
        <is>
          <t xml:space="preserve">2024</t>
        </is>
      </c>
      <c r="E57" s="6" t="inlineStr">
        <is>
          <t xml:space="preserve">512000</t>
        </is>
      </c>
      <c r="F57" s="6" t="inlineStr">
        <is>
          <t xml:space="preserve">BQ</t>
        </is>
      </c>
      <c r="G57" s="0" t="inlineStr">
        <is>
          <t xml:space="preserve">BQ00011</t>
        </is>
      </c>
      <c r="H57" s="6" t="inlineStr">
        <is>
          <t xml:space="preserve">661100</t>
        </is>
      </c>
      <c r="I57" s="0" t="inlineStr">
        <is>
          <t xml:space="preserve">Echeance emprunt 04/2024</t>
        </is>
      </c>
      <c r="J57" s="0"/>
      <c r="K57" s="8">
        <v>-280</v>
      </c>
      <c r="L57" s="0" t="inlineStr">
        <is>
          <t xml:space="preserve">Intérêts et charges financières</t>
        </is>
      </c>
      <c r="M57" s="9"/>
      <c r="N57" s="0">
        <f>IF(M57&lt;&gt;"",M57,L57)</f>
      </c>
      <c r="O57" s="0">
        <f>IFERROR(INDEX(Categories!$B$5:$B$35,MATCH(N57,Categories!$A$5:$A$35,0)),"NA")</f>
      </c>
    </row>
    <row r="58">
      <c r="A58" s="7">
        <v>45392</v>
      </c>
      <c r="B58" s="0" t="inlineStr">
        <is>
          <t xml:space="preserve">2024-S15</t>
        </is>
      </c>
      <c r="C58" s="0" t="inlineStr">
        <is>
          <t xml:space="preserve">2024-04</t>
        </is>
      </c>
      <c r="D58" s="0" t="inlineStr">
        <is>
          <t xml:space="preserve">2024</t>
        </is>
      </c>
      <c r="E58" s="6" t="inlineStr">
        <is>
          <t xml:space="preserve">512000</t>
        </is>
      </c>
      <c r="F58" s="6" t="inlineStr">
        <is>
          <t xml:space="preserve">BQ</t>
        </is>
      </c>
      <c r="G58" s="0" t="inlineStr">
        <is>
          <t xml:space="preserve">BQ00131</t>
        </is>
      </c>
      <c r="H58" s="6" t="inlineStr">
        <is>
          <t xml:space="preserve">401000</t>
        </is>
      </c>
      <c r="I58" s="0" t="inlineStr">
        <is>
          <t xml:space="preserve">Reglement fournisseur Quincaillerie Pro Est F002-2024021</t>
        </is>
      </c>
      <c r="J58" s="0" t="inlineStr">
        <is>
          <t xml:space="preserve">Quincaillerie Pro Est</t>
        </is>
      </c>
      <c r="K58" s="8">
        <v>-39884.94</v>
      </c>
      <c r="L58" s="0" t="inlineStr">
        <is>
          <t xml:space="preserve">Fournisseurs et charges externes</t>
        </is>
      </c>
      <c r="M58" s="9"/>
      <c r="N58" s="0">
        <f>IF(M58&lt;&gt;"",M58,L58)</f>
      </c>
      <c r="O58" s="0">
        <f>IFERROR(INDEX(Categories!$B$5:$B$35,MATCH(N58,Categories!$A$5:$A$35,0)),"NA")</f>
      </c>
    </row>
    <row r="59">
      <c r="A59" s="7">
        <v>45394</v>
      </c>
      <c r="B59" s="0" t="inlineStr">
        <is>
          <t xml:space="preserve">2024-S15</t>
        </is>
      </c>
      <c r="C59" s="0" t="inlineStr">
        <is>
          <t xml:space="preserve">2024-04</t>
        </is>
      </c>
      <c r="D59" s="0" t="inlineStr">
        <is>
          <t xml:space="preserve">2024</t>
        </is>
      </c>
      <c r="E59" s="6" t="inlineStr">
        <is>
          <t xml:space="preserve">512000</t>
        </is>
      </c>
      <c r="F59" s="6" t="inlineStr">
        <is>
          <t xml:space="preserve">BQ</t>
        </is>
      </c>
      <c r="G59" s="0" t="inlineStr">
        <is>
          <t xml:space="preserve">BQ00072</t>
        </is>
      </c>
      <c r="H59" s="6" t="inlineStr">
        <is>
          <t xml:space="preserve">411000</t>
        </is>
      </c>
      <c r="I59" s="0" t="inlineStr">
        <is>
          <t xml:space="preserve">Reglement client Restaurant Le Comptoir FA2024-0007</t>
        </is>
      </c>
      <c r="J59" s="0" t="inlineStr">
        <is>
          <t xml:space="preserve">Restaurant Le Comptoir</t>
        </is>
      </c>
      <c r="K59" s="8">
        <v>28563.22</v>
      </c>
      <c r="L59" s="0" t="inlineStr">
        <is>
          <t xml:space="preserve">Clients</t>
        </is>
      </c>
      <c r="M59" s="9"/>
      <c r="N59" s="0">
        <f>IF(M59&lt;&gt;"",M59,L59)</f>
      </c>
      <c r="O59" s="0">
        <f>IFERROR(INDEX(Categories!$B$5:$B$35,MATCH(N59,Categories!$A$5:$A$35,0)),"NA")</f>
      </c>
    </row>
    <row r="60">
      <c r="A60" s="7">
        <v>45397</v>
      </c>
      <c r="B60" s="0" t="inlineStr">
        <is>
          <t xml:space="preserve">2024-S16</t>
        </is>
      </c>
      <c r="C60" s="0" t="inlineStr">
        <is>
          <t xml:space="preserve">2024-04</t>
        </is>
      </c>
      <c r="D60" s="0" t="inlineStr">
        <is>
          <t xml:space="preserve">2024</t>
        </is>
      </c>
      <c r="E60" s="6" t="inlineStr">
        <is>
          <t xml:space="preserve">512000</t>
        </is>
      </c>
      <c r="F60" s="6" t="inlineStr">
        <is>
          <t xml:space="preserve">BQ</t>
        </is>
      </c>
      <c r="G60" s="0" t="inlineStr">
        <is>
          <t xml:space="preserve">BQ00043</t>
        </is>
      </c>
      <c r="H60" s="6" t="inlineStr">
        <is>
          <t xml:space="preserve">431000</t>
        </is>
      </c>
      <c r="I60" s="0" t="inlineStr">
        <is>
          <t xml:space="preserve">Reglement URSSAF 03/2024</t>
        </is>
      </c>
      <c r="J60" s="0"/>
      <c r="K60" s="8">
        <v>-33176.38</v>
      </c>
      <c r="L60" s="0" t="inlineStr">
        <is>
          <t xml:space="preserve">Charges sociales</t>
        </is>
      </c>
      <c r="M60" s="9"/>
      <c r="N60" s="0">
        <f>IF(M60&lt;&gt;"",M60,L60)</f>
      </c>
      <c r="O60" s="0">
        <f>IFERROR(INDEX(Categories!$B$5:$B$35,MATCH(N60,Categories!$A$5:$A$35,0)),"NA")</f>
      </c>
    </row>
    <row r="61">
      <c r="A61" s="7">
        <v>45397</v>
      </c>
      <c r="B61" s="0" t="inlineStr">
        <is>
          <t xml:space="preserve">2024-S16</t>
        </is>
      </c>
      <c r="C61" s="0" t="inlineStr">
        <is>
          <t xml:space="preserve">2024-04</t>
        </is>
      </c>
      <c r="D61" s="0" t="inlineStr">
        <is>
          <t xml:space="preserve">2024</t>
        </is>
      </c>
      <c r="E61" s="6" t="inlineStr">
        <is>
          <t xml:space="preserve">512000</t>
        </is>
      </c>
      <c r="F61" s="6" t="inlineStr">
        <is>
          <t xml:space="preserve">BQ</t>
        </is>
      </c>
      <c r="G61" s="0" t="inlineStr">
        <is>
          <t xml:space="preserve">BQ00078</t>
        </is>
      </c>
      <c r="H61" s="6" t="inlineStr">
        <is>
          <t xml:space="preserve">411000</t>
        </is>
      </c>
      <c r="I61" s="0" t="inlineStr">
        <is>
          <t xml:space="preserve">Reglement client Clinique du Parc FA2024-0013</t>
        </is>
      </c>
      <c r="J61" s="0" t="inlineStr">
        <is>
          <t xml:space="preserve">Clinique du Parc</t>
        </is>
      </c>
      <c r="K61" s="8">
        <v>40933.76</v>
      </c>
      <c r="L61" s="0" t="inlineStr">
        <is>
          <t xml:space="preserve">Clients</t>
        </is>
      </c>
      <c r="M61" s="9"/>
      <c r="N61" s="0">
        <f>IF(M61&lt;&gt;"",M61,L61)</f>
      </c>
      <c r="O61" s="0">
        <f>IFERROR(INDEX(Categories!$B$5:$B$35,MATCH(N61,Categories!$A$5:$A$35,0)),"NA")</f>
      </c>
    </row>
    <row r="62">
      <c r="A62" s="7">
        <v>45401</v>
      </c>
      <c r="B62" s="0" t="inlineStr">
        <is>
          <t xml:space="preserve">2024-S16</t>
        </is>
      </c>
      <c r="C62" s="0" t="inlineStr">
        <is>
          <t xml:space="preserve">2024-04</t>
        </is>
      </c>
      <c r="D62" s="0" t="inlineStr">
        <is>
          <t xml:space="preserve">2024</t>
        </is>
      </c>
      <c r="E62" s="6" t="inlineStr">
        <is>
          <t xml:space="preserve">512000</t>
        </is>
      </c>
      <c r="F62" s="6" t="inlineStr">
        <is>
          <t xml:space="preserve">BQ</t>
        </is>
      </c>
      <c r="G62" s="0" t="inlineStr">
        <is>
          <t xml:space="preserve">BQ00079</t>
        </is>
      </c>
      <c r="H62" s="6" t="inlineStr">
        <is>
          <t xml:space="preserve">411000</t>
        </is>
      </c>
      <c r="I62" s="0" t="inlineStr">
        <is>
          <t xml:space="preserve">Reglement client Agence Mobilis FA2024-0014</t>
        </is>
      </c>
      <c r="J62" s="0" t="inlineStr">
        <is>
          <t xml:space="preserve">Agence Mobilis</t>
        </is>
      </c>
      <c r="K62" s="8">
        <v>27597.73</v>
      </c>
      <c r="L62" s="0" t="inlineStr">
        <is>
          <t xml:space="preserve">Clients</t>
        </is>
      </c>
      <c r="M62" s="9"/>
      <c r="N62" s="0">
        <f>IF(M62&lt;&gt;"",M62,L62)</f>
      </c>
      <c r="O62" s="0">
        <f>IFERROR(INDEX(Categories!$B$5:$B$35,MATCH(N62,Categories!$A$5:$A$35,0)),"NA")</f>
      </c>
    </row>
    <row r="63">
      <c r="A63" s="7">
        <v>45402</v>
      </c>
      <c r="B63" s="0" t="inlineStr">
        <is>
          <t xml:space="preserve">2024-S16</t>
        </is>
      </c>
      <c r="C63" s="0" t="inlineStr">
        <is>
          <t xml:space="preserve">2024-04</t>
        </is>
      </c>
      <c r="D63" s="0" t="inlineStr">
        <is>
          <t xml:space="preserve">2024</t>
        </is>
      </c>
      <c r="E63" s="6" t="inlineStr">
        <is>
          <t xml:space="preserve">512000</t>
        </is>
      </c>
      <c r="F63" s="6" t="inlineStr">
        <is>
          <t xml:space="preserve">BQ</t>
        </is>
      </c>
      <c r="G63" s="0" t="inlineStr">
        <is>
          <t xml:space="preserve">BQ00044</t>
        </is>
      </c>
      <c r="H63" s="6" t="inlineStr">
        <is>
          <t xml:space="preserve">445510</t>
        </is>
      </c>
      <c r="I63" s="0" t="inlineStr">
        <is>
          <t xml:space="preserve">Reglement TVA 03/2024</t>
        </is>
      </c>
      <c r="J63" s="0"/>
      <c r="K63" s="8">
        <v>-16610.13</v>
      </c>
      <c r="L63" s="0" t="inlineStr">
        <is>
          <t xml:space="preserve">TVA</t>
        </is>
      </c>
      <c r="M63" s="9"/>
      <c r="N63" s="0">
        <f>IF(M63&lt;&gt;"",M63,L63)</f>
      </c>
      <c r="O63" s="0">
        <f>IFERROR(INDEX(Categories!$B$5:$B$35,MATCH(N63,Categories!$A$5:$A$35,0)),"NA")</f>
      </c>
    </row>
    <row r="64">
      <c r="A64" s="7">
        <v>45404</v>
      </c>
      <c r="B64" s="0" t="inlineStr">
        <is>
          <t xml:space="preserve">2024-S17</t>
        </is>
      </c>
      <c r="C64" s="0" t="inlineStr">
        <is>
          <t xml:space="preserve">2024-04</t>
        </is>
      </c>
      <c r="D64" s="0" t="inlineStr">
        <is>
          <t xml:space="preserve">2024</t>
        </is>
      </c>
      <c r="E64" s="6" t="inlineStr">
        <is>
          <t xml:space="preserve">512000</t>
        </is>
      </c>
      <c r="F64" s="6" t="inlineStr">
        <is>
          <t xml:space="preserve">BQ</t>
        </is>
      </c>
      <c r="G64" s="0" t="inlineStr">
        <is>
          <t xml:space="preserve">BQ00080</t>
        </is>
      </c>
      <c r="H64" s="6" t="inlineStr">
        <is>
          <t xml:space="preserve">411000</t>
        </is>
      </c>
      <c r="I64" s="0" t="inlineStr">
        <is>
          <t xml:space="preserve">Reglement client Clinique du Parc FA2024-0015</t>
        </is>
      </c>
      <c r="J64" s="0" t="inlineStr">
        <is>
          <t xml:space="preserve">Clinique du Parc</t>
        </is>
      </c>
      <c r="K64" s="8">
        <v>30576.84</v>
      </c>
      <c r="L64" s="0" t="inlineStr">
        <is>
          <t xml:space="preserve">Clients</t>
        </is>
      </c>
      <c r="M64" s="9"/>
      <c r="N64" s="0">
        <f>IF(M64&lt;&gt;"",M64,L64)</f>
      </c>
      <c r="O64" s="0">
        <f>IFERROR(INDEX(Categories!$B$5:$B$35,MATCH(N64,Categories!$A$5:$A$35,0)),"NA")</f>
      </c>
    </row>
    <row r="65">
      <c r="A65" s="7">
        <v>45406</v>
      </c>
      <c r="B65" s="0" t="inlineStr">
        <is>
          <t xml:space="preserve">2024-S17</t>
        </is>
      </c>
      <c r="C65" s="0" t="inlineStr">
        <is>
          <t xml:space="preserve">2024-04</t>
        </is>
      </c>
      <c r="D65" s="0" t="inlineStr">
        <is>
          <t xml:space="preserve">2024</t>
        </is>
      </c>
      <c r="E65" s="6" t="inlineStr">
        <is>
          <t xml:space="preserve">512000</t>
        </is>
      </c>
      <c r="F65" s="6" t="inlineStr">
        <is>
          <t xml:space="preserve">BQ</t>
        </is>
      </c>
      <c r="G65" s="0" t="inlineStr">
        <is>
          <t xml:space="preserve">BQ00138</t>
        </is>
      </c>
      <c r="H65" s="6" t="inlineStr">
        <is>
          <t xml:space="preserve">401000</t>
        </is>
      </c>
      <c r="I65" s="0" t="inlineStr">
        <is>
          <t xml:space="preserve">Reglement fournisseur Scierie du Nord F001-2024033</t>
        </is>
      </c>
      <c r="J65" s="0" t="inlineStr">
        <is>
          <t xml:space="preserve">Scierie du Nord</t>
        </is>
      </c>
      <c r="K65" s="8">
        <v>-29353.14</v>
      </c>
      <c r="L65" s="0" t="inlineStr">
        <is>
          <t xml:space="preserve">Fournisseurs et charges externes</t>
        </is>
      </c>
      <c r="M65" s="9"/>
      <c r="N65" s="0">
        <f>IF(M65&lt;&gt;"",M65,L65)</f>
      </c>
      <c r="O65" s="0">
        <f>IFERROR(INDEX(Categories!$B$5:$B$35,MATCH(N65,Categories!$A$5:$A$35,0)),"NA")</f>
      </c>
    </row>
    <row r="66">
      <c r="A66" s="7">
        <v>45407</v>
      </c>
      <c r="B66" s="0" t="inlineStr">
        <is>
          <t xml:space="preserve">2024-S17</t>
        </is>
      </c>
      <c r="C66" s="0" t="inlineStr">
        <is>
          <t xml:space="preserve">2024-04</t>
        </is>
      </c>
      <c r="D66" s="0" t="inlineStr">
        <is>
          <t xml:space="preserve">2024</t>
        </is>
      </c>
      <c r="E66" s="6" t="inlineStr">
        <is>
          <t xml:space="preserve">512000</t>
        </is>
      </c>
      <c r="F66" s="6" t="inlineStr">
        <is>
          <t xml:space="preserve">BQ</t>
        </is>
      </c>
      <c r="G66" s="0" t="inlineStr">
        <is>
          <t xml:space="preserve">BQ00083</t>
        </is>
      </c>
      <c r="H66" s="6" t="inlineStr">
        <is>
          <t xml:space="preserve">411000</t>
        </is>
      </c>
      <c r="I66" s="0" t="inlineStr">
        <is>
          <t xml:space="preserve">Reglement client Residence Bel Air FA2024-0018</t>
        </is>
      </c>
      <c r="J66" s="0" t="inlineStr">
        <is>
          <t xml:space="preserve">Residence Bel Air</t>
        </is>
      </c>
      <c r="K66" s="8">
        <v>44737.52</v>
      </c>
      <c r="L66" s="0" t="inlineStr">
        <is>
          <t xml:space="preserve">Clients</t>
        </is>
      </c>
      <c r="M66" s="9"/>
      <c r="N66" s="0">
        <f>IF(M66&lt;&gt;"",M66,L66)</f>
      </c>
      <c r="O66" s="0">
        <f>IFERROR(INDEX(Categories!$B$5:$B$35,MATCH(N66,Categories!$A$5:$A$35,0)),"NA")</f>
      </c>
    </row>
    <row r="67">
      <c r="A67" s="7">
        <v>45408</v>
      </c>
      <c r="B67" s="0" t="inlineStr">
        <is>
          <t xml:space="preserve">2024-S17</t>
        </is>
      </c>
      <c r="C67" s="0" t="inlineStr">
        <is>
          <t xml:space="preserve">2024-04</t>
        </is>
      </c>
      <c r="D67" s="0" t="inlineStr">
        <is>
          <t xml:space="preserve">2024</t>
        </is>
      </c>
      <c r="E67" s="6" t="inlineStr">
        <is>
          <t xml:space="preserve">512000</t>
        </is>
      </c>
      <c r="F67" s="6" t="inlineStr">
        <is>
          <t xml:space="preserve">BQ</t>
        </is>
      </c>
      <c r="G67" s="0" t="inlineStr">
        <is>
          <t xml:space="preserve">BQ00136</t>
        </is>
      </c>
      <c r="H67" s="6" t="inlineStr">
        <is>
          <t xml:space="preserve">401000</t>
        </is>
      </c>
      <c r="I67" s="0" t="inlineStr">
        <is>
          <t xml:space="preserve">Reglement fournisseur Quincaillerie Pro Est F002-2024031</t>
        </is>
      </c>
      <c r="J67" s="0" t="inlineStr">
        <is>
          <t xml:space="preserve">Quincaillerie Pro Est</t>
        </is>
      </c>
      <c r="K67" s="8">
        <v>-32094.94</v>
      </c>
      <c r="L67" s="0" t="inlineStr">
        <is>
          <t xml:space="preserve">Fournisseurs et charges externes</t>
        </is>
      </c>
      <c r="M67" s="9"/>
      <c r="N67" s="0">
        <f>IF(M67&lt;&gt;"",M67,L67)</f>
      </c>
      <c r="O67" s="0">
        <f>IFERROR(INDEX(Categories!$B$5:$B$35,MATCH(N67,Categories!$A$5:$A$35,0)),"NA")</f>
      </c>
    </row>
    <row r="68">
      <c r="A68" s="7">
        <v>45411</v>
      </c>
      <c r="B68" s="0" t="inlineStr">
        <is>
          <t xml:space="preserve">2024-S18</t>
        </is>
      </c>
      <c r="C68" s="0" t="inlineStr">
        <is>
          <t xml:space="preserve">2024-04</t>
        </is>
      </c>
      <c r="D68" s="0" t="inlineStr">
        <is>
          <t xml:space="preserve">2024</t>
        </is>
      </c>
      <c r="E68" s="6" t="inlineStr">
        <is>
          <t xml:space="preserve">512000</t>
        </is>
      </c>
      <c r="F68" s="6" t="inlineStr">
        <is>
          <t xml:space="preserve">BQ</t>
        </is>
      </c>
      <c r="G68" s="0" t="inlineStr">
        <is>
          <t xml:space="preserve">BQ00081</t>
        </is>
      </c>
      <c r="H68" s="6" t="inlineStr">
        <is>
          <t xml:space="preserve">411000</t>
        </is>
      </c>
      <c r="I68" s="0" t="inlineStr">
        <is>
          <t xml:space="preserve">Reglement client Coworking Atelier 9 FA2024-0016</t>
        </is>
      </c>
      <c r="J68" s="0" t="inlineStr">
        <is>
          <t xml:space="preserve">Coworking Atelier 9</t>
        </is>
      </c>
      <c r="K68" s="8">
        <v>43215.08</v>
      </c>
      <c r="L68" s="0" t="inlineStr">
        <is>
          <t xml:space="preserve">Clients</t>
        </is>
      </c>
      <c r="M68" s="9"/>
      <c r="N68" s="0">
        <f>IF(M68&lt;&gt;"",M68,L68)</f>
      </c>
      <c r="O68" s="0">
        <f>IFERROR(INDEX(Categories!$B$5:$B$35,MATCH(N68,Categories!$A$5:$A$35,0)),"NA")</f>
      </c>
    </row>
    <row r="69">
      <c r="A69" s="7">
        <v>45412</v>
      </c>
      <c r="B69" s="0" t="inlineStr">
        <is>
          <t xml:space="preserve">2024-S18</t>
        </is>
      </c>
      <c r="C69" s="0" t="inlineStr">
        <is>
          <t xml:space="preserve">2024-04</t>
        </is>
      </c>
      <c r="D69" s="0" t="inlineStr">
        <is>
          <t xml:space="preserve">2024</t>
        </is>
      </c>
      <c r="E69" s="6" t="inlineStr">
        <is>
          <t xml:space="preserve">512000</t>
        </is>
      </c>
      <c r="F69" s="6" t="inlineStr">
        <is>
          <t xml:space="preserve">BQ</t>
        </is>
      </c>
      <c r="G69" s="0" t="inlineStr">
        <is>
          <t xml:space="preserve">BQ00010</t>
        </is>
      </c>
      <c r="H69" s="6" t="inlineStr">
        <is>
          <t xml:space="preserve">421000</t>
        </is>
      </c>
      <c r="I69" s="0" t="inlineStr">
        <is>
          <t xml:space="preserve">Virement salaires 04/2024</t>
        </is>
      </c>
      <c r="J69" s="0"/>
      <c r="K69" s="8">
        <v>-41012.04</v>
      </c>
      <c r="L69" s="0" t="inlineStr">
        <is>
          <t xml:space="preserve">Salaires et personnel</t>
        </is>
      </c>
      <c r="M69" s="9"/>
      <c r="N69" s="0">
        <f>IF(M69&lt;&gt;"",M69,L69)</f>
      </c>
      <c r="O69" s="0">
        <f>IFERROR(INDEX(Categories!$B$5:$B$35,MATCH(N69,Categories!$A$5:$A$35,0)),"NA")</f>
      </c>
    </row>
    <row r="70">
      <c r="A70" s="7">
        <v>45412</v>
      </c>
      <c r="B70" s="0" t="inlineStr">
        <is>
          <t xml:space="preserve">2024-S18</t>
        </is>
      </c>
      <c r="C70" s="0" t="inlineStr">
        <is>
          <t xml:space="preserve">2024-04</t>
        </is>
      </c>
      <c r="D70" s="0" t="inlineStr">
        <is>
          <t xml:space="preserve">2024</t>
        </is>
      </c>
      <c r="E70" s="6" t="inlineStr">
        <is>
          <t xml:space="preserve">512000</t>
        </is>
      </c>
      <c r="F70" s="6" t="inlineStr">
        <is>
          <t xml:space="preserve">BQ</t>
        </is>
      </c>
      <c r="G70" s="0" t="inlineStr">
        <is>
          <t xml:space="preserve">BQ00012</t>
        </is>
      </c>
      <c r="H70" s="6" t="inlineStr">
        <is>
          <t xml:space="preserve">627000</t>
        </is>
      </c>
      <c r="I70" s="0" t="inlineStr">
        <is>
          <t xml:space="preserve">Frais bancaires 04/2024</t>
        </is>
      </c>
      <c r="J70" s="0"/>
      <c r="K70" s="8">
        <v>-85</v>
      </c>
      <c r="L70" s="0" t="inlineStr">
        <is>
          <t xml:space="preserve">Frais bancaires</t>
        </is>
      </c>
      <c r="M70" s="9"/>
      <c r="N70" s="0">
        <f>IF(M70&lt;&gt;"",M70,L70)</f>
      </c>
      <c r="O70" s="0">
        <f>IFERROR(INDEX(Categories!$B$5:$B$35,MATCH(N70,Categories!$A$5:$A$35,0)),"NA")</f>
      </c>
    </row>
    <row r="71">
      <c r="A71" s="7">
        <v>45418</v>
      </c>
      <c r="B71" s="0" t="inlineStr">
        <is>
          <t xml:space="preserve">2024-S19</t>
        </is>
      </c>
      <c r="C71" s="0" t="inlineStr">
        <is>
          <t xml:space="preserve">2024-05</t>
        </is>
      </c>
      <c r="D71" s="0" t="inlineStr">
        <is>
          <t xml:space="preserve">2024</t>
        </is>
      </c>
      <c r="E71" s="6" t="inlineStr">
        <is>
          <t xml:space="preserve">512000</t>
        </is>
      </c>
      <c r="F71" s="6" t="inlineStr">
        <is>
          <t xml:space="preserve">BQ</t>
        </is>
      </c>
      <c r="G71" s="0" t="inlineStr">
        <is>
          <t xml:space="preserve">BQ00146</t>
        </is>
      </c>
      <c r="H71" s="6" t="inlineStr">
        <is>
          <t xml:space="preserve">401000</t>
        </is>
      </c>
      <c r="I71" s="0" t="inlineStr">
        <is>
          <t xml:space="preserve">Reglement fournisseur SCI Les Halles F004-202404</t>
        </is>
      </c>
      <c r="J71" s="0" t="inlineStr">
        <is>
          <t xml:space="preserve">SCI Les Halles</t>
        </is>
      </c>
      <c r="K71" s="8">
        <v>-10200</v>
      </c>
      <c r="L71" s="0" t="inlineStr">
        <is>
          <t xml:space="preserve">Fournisseurs et charges externes</t>
        </is>
      </c>
      <c r="M71" s="9"/>
      <c r="N71" s="0">
        <f>IF(M71&lt;&gt;"",M71,L71)</f>
      </c>
      <c r="O71" s="0">
        <f>IFERROR(INDEX(Categories!$B$5:$B$35,MATCH(N71,Categories!$A$5:$A$35,0)),"NA")</f>
      </c>
    </row>
    <row r="72">
      <c r="A72" s="7">
        <v>45418</v>
      </c>
      <c r="B72" s="0" t="inlineStr">
        <is>
          <t xml:space="preserve">2024-S19</t>
        </is>
      </c>
      <c r="C72" s="0" t="inlineStr">
        <is>
          <t xml:space="preserve">2024-05</t>
        </is>
      </c>
      <c r="D72" s="0" t="inlineStr">
        <is>
          <t xml:space="preserve">2024</t>
        </is>
      </c>
      <c r="E72" s="6" t="inlineStr">
        <is>
          <t xml:space="preserve">512000</t>
        </is>
      </c>
      <c r="F72" s="6" t="inlineStr">
        <is>
          <t xml:space="preserve">BQ</t>
        </is>
      </c>
      <c r="G72" s="0" t="inlineStr">
        <is>
          <t xml:space="preserve">BQ00147</t>
        </is>
      </c>
      <c r="H72" s="6" t="inlineStr">
        <is>
          <t xml:space="preserve">401000</t>
        </is>
      </c>
      <c r="I72" s="0" t="inlineStr">
        <is>
          <t xml:space="preserve">Reglement fournisseur Energie Plus F005-202404</t>
        </is>
      </c>
      <c r="J72" s="0" t="inlineStr">
        <is>
          <t xml:space="preserve">Energie Plus</t>
        </is>
      </c>
      <c r="K72" s="8">
        <v>-3753.79</v>
      </c>
      <c r="L72" s="0" t="inlineStr">
        <is>
          <t xml:space="preserve">Fournisseurs et charges externes</t>
        </is>
      </c>
      <c r="M72" s="9"/>
      <c r="N72" s="0">
        <f>IF(M72&lt;&gt;"",M72,L72)</f>
      </c>
      <c r="O72" s="0">
        <f>IFERROR(INDEX(Categories!$B$5:$B$35,MATCH(N72,Categories!$A$5:$A$35,0)),"NA")</f>
      </c>
    </row>
    <row r="73">
      <c r="A73" s="7">
        <v>45418</v>
      </c>
      <c r="B73" s="0" t="inlineStr">
        <is>
          <t xml:space="preserve">2024-S19</t>
        </is>
      </c>
      <c r="C73" s="0" t="inlineStr">
        <is>
          <t xml:space="preserve">2024-05</t>
        </is>
      </c>
      <c r="D73" s="0" t="inlineStr">
        <is>
          <t xml:space="preserve">2024</t>
        </is>
      </c>
      <c r="E73" s="6" t="inlineStr">
        <is>
          <t xml:space="preserve">512000</t>
        </is>
      </c>
      <c r="F73" s="6" t="inlineStr">
        <is>
          <t xml:space="preserve">BQ</t>
        </is>
      </c>
      <c r="G73" s="0" t="inlineStr">
        <is>
          <t xml:space="preserve">BQ00148</t>
        </is>
      </c>
      <c r="H73" s="6" t="inlineStr">
        <is>
          <t xml:space="preserve">401000</t>
        </is>
      </c>
      <c r="I73" s="0" t="inlineStr">
        <is>
          <t xml:space="preserve">Reglement fournisseur Telecom Pro F008-202404</t>
        </is>
      </c>
      <c r="J73" s="0" t="inlineStr">
        <is>
          <t xml:space="preserve">Telecom Pro</t>
        </is>
      </c>
      <c r="K73" s="8">
        <v>-576</v>
      </c>
      <c r="L73" s="0" t="inlineStr">
        <is>
          <t xml:space="preserve">Fournisseurs et charges externes</t>
        </is>
      </c>
      <c r="M73" s="9"/>
      <c r="N73" s="0">
        <f>IF(M73&lt;&gt;"",M73,L73)</f>
      </c>
      <c r="O73" s="0">
        <f>IFERROR(INDEX(Categories!$B$5:$B$35,MATCH(N73,Categories!$A$5:$A$35,0)),"NA")</f>
      </c>
    </row>
    <row r="74">
      <c r="A74" s="7">
        <v>45418</v>
      </c>
      <c r="B74" s="0" t="inlineStr">
        <is>
          <t xml:space="preserve">2024-S19</t>
        </is>
      </c>
      <c r="C74" s="0" t="inlineStr">
        <is>
          <t xml:space="preserve">2024-05</t>
        </is>
      </c>
      <c r="D74" s="0" t="inlineStr">
        <is>
          <t xml:space="preserve">2024</t>
        </is>
      </c>
      <c r="E74" s="6" t="inlineStr">
        <is>
          <t xml:space="preserve">512000</t>
        </is>
      </c>
      <c r="F74" s="6" t="inlineStr">
        <is>
          <t xml:space="preserve">BQ</t>
        </is>
      </c>
      <c r="G74" s="0" t="inlineStr">
        <is>
          <t xml:space="preserve">BQ00149</t>
        </is>
      </c>
      <c r="H74" s="6" t="inlineStr">
        <is>
          <t xml:space="preserve">401000</t>
        </is>
      </c>
      <c r="I74" s="0" t="inlineStr">
        <is>
          <t xml:space="preserve">Reglement fournisseur Assurances Mutuelles Exemple F006-202404</t>
        </is>
      </c>
      <c r="J74" s="0" t="inlineStr">
        <is>
          <t xml:space="preserve">Assurances Mutuelles Exemple</t>
        </is>
      </c>
      <c r="K74" s="8">
        <v>-3000</v>
      </c>
      <c r="L74" s="0" t="inlineStr">
        <is>
          <t xml:space="preserve">Fournisseurs et charges externes</t>
        </is>
      </c>
      <c r="M74" s="9"/>
      <c r="N74" s="0">
        <f>IF(M74&lt;&gt;"",M74,L74)</f>
      </c>
      <c r="O74" s="0">
        <f>IFERROR(INDEX(Categories!$B$5:$B$35,MATCH(N74,Categories!$A$5:$A$35,0)),"NA")</f>
      </c>
    </row>
    <row r="75">
      <c r="A75" s="7">
        <v>45420</v>
      </c>
      <c r="B75" s="0" t="inlineStr">
        <is>
          <t xml:space="preserve">2024-S19</t>
        </is>
      </c>
      <c r="C75" s="0" t="inlineStr">
        <is>
          <t xml:space="preserve">2024-05</t>
        </is>
      </c>
      <c r="D75" s="0" t="inlineStr">
        <is>
          <t xml:space="preserve">2024</t>
        </is>
      </c>
      <c r="E75" s="6" t="inlineStr">
        <is>
          <t xml:space="preserve">512000</t>
        </is>
      </c>
      <c r="F75" s="6" t="inlineStr">
        <is>
          <t xml:space="preserve">BQ</t>
        </is>
      </c>
      <c r="G75" s="0" t="inlineStr">
        <is>
          <t xml:space="preserve">BQ00087</t>
        </is>
      </c>
      <c r="H75" s="6" t="inlineStr">
        <is>
          <t xml:space="preserve">411000</t>
        </is>
      </c>
      <c r="I75" s="0" t="inlineStr">
        <is>
          <t xml:space="preserve">Reglement client Clinique du Parc FA2024-0022</t>
        </is>
      </c>
      <c r="J75" s="0" t="inlineStr">
        <is>
          <t xml:space="preserve">Clinique du Parc</t>
        </is>
      </c>
      <c r="K75" s="8">
        <v>44742.9</v>
      </c>
      <c r="L75" s="0" t="inlineStr">
        <is>
          <t xml:space="preserve">Clients</t>
        </is>
      </c>
      <c r="M75" s="9"/>
      <c r="N75" s="0">
        <f>IF(M75&lt;&gt;"",M75,L75)</f>
      </c>
      <c r="O75" s="0">
        <f>IFERROR(INDEX(Categories!$B$5:$B$35,MATCH(N75,Categories!$A$5:$A$35,0)),"NA")</f>
      </c>
    </row>
    <row r="76">
      <c r="A76" s="7">
        <v>45422</v>
      </c>
      <c r="B76" s="0" t="inlineStr">
        <is>
          <t xml:space="preserve">2024-S19</t>
        </is>
      </c>
      <c r="C76" s="0" t="inlineStr">
        <is>
          <t xml:space="preserve">2024-05</t>
        </is>
      </c>
      <c r="D76" s="0" t="inlineStr">
        <is>
          <t xml:space="preserve">2024</t>
        </is>
      </c>
      <c r="E76" s="6" t="inlineStr">
        <is>
          <t xml:space="preserve">512000</t>
        </is>
      </c>
      <c r="F76" s="6" t="inlineStr">
        <is>
          <t xml:space="preserve">BQ</t>
        </is>
      </c>
      <c r="G76" s="0" t="inlineStr">
        <is>
          <t xml:space="preserve">BQ00014</t>
        </is>
      </c>
      <c r="H76" s="6" t="inlineStr">
        <is>
          <t xml:space="preserve">164000</t>
        </is>
      </c>
      <c r="I76" s="0" t="inlineStr">
        <is>
          <t xml:space="preserve">Echeance emprunt 05/2024</t>
        </is>
      </c>
      <c r="J76" s="0"/>
      <c r="K76" s="8">
        <v>-2000</v>
      </c>
      <c r="L76" s="0" t="inlineStr">
        <is>
          <t xml:space="preserve">Emprunts - capital</t>
        </is>
      </c>
      <c r="M76" s="9"/>
      <c r="N76" s="0">
        <f>IF(M76&lt;&gt;"",M76,L76)</f>
      </c>
      <c r="O76" s="0">
        <f>IFERROR(INDEX(Categories!$B$5:$B$35,MATCH(N76,Categories!$A$5:$A$35,0)),"NA")</f>
      </c>
    </row>
    <row r="77">
      <c r="A77" s="7">
        <v>45422</v>
      </c>
      <c r="B77" s="0" t="inlineStr">
        <is>
          <t xml:space="preserve">2024-S19</t>
        </is>
      </c>
      <c r="C77" s="0" t="inlineStr">
        <is>
          <t xml:space="preserve">2024-05</t>
        </is>
      </c>
      <c r="D77" s="0" t="inlineStr">
        <is>
          <t xml:space="preserve">2024</t>
        </is>
      </c>
      <c r="E77" s="6" t="inlineStr">
        <is>
          <t xml:space="preserve">512000</t>
        </is>
      </c>
      <c r="F77" s="6" t="inlineStr">
        <is>
          <t xml:space="preserve">BQ</t>
        </is>
      </c>
      <c r="G77" s="0" t="inlineStr">
        <is>
          <t xml:space="preserve">BQ00014</t>
        </is>
      </c>
      <c r="H77" s="6" t="inlineStr">
        <is>
          <t xml:space="preserve">661100</t>
        </is>
      </c>
      <c r="I77" s="0" t="inlineStr">
        <is>
          <t xml:space="preserve">Echeance emprunt 05/2024</t>
        </is>
      </c>
      <c r="J77" s="0"/>
      <c r="K77" s="8">
        <v>-273.33</v>
      </c>
      <c r="L77" s="0" t="inlineStr">
        <is>
          <t xml:space="preserve">Intérêts et charges financières</t>
        </is>
      </c>
      <c r="M77" s="9"/>
      <c r="N77" s="0">
        <f>IF(M77&lt;&gt;"",M77,L77)</f>
      </c>
      <c r="O77" s="0">
        <f>IFERROR(INDEX(Categories!$B$5:$B$35,MATCH(N77,Categories!$A$5:$A$35,0)),"NA")</f>
      </c>
    </row>
    <row r="78">
      <c r="A78" s="7">
        <v>45422</v>
      </c>
      <c r="B78" s="0" t="inlineStr">
        <is>
          <t xml:space="preserve">2024-S19</t>
        </is>
      </c>
      <c r="C78" s="0" t="inlineStr">
        <is>
          <t xml:space="preserve">2024-05</t>
        </is>
      </c>
      <c r="D78" s="0" t="inlineStr">
        <is>
          <t xml:space="preserve">2024</t>
        </is>
      </c>
      <c r="E78" s="6" t="inlineStr">
        <is>
          <t xml:space="preserve">512000</t>
        </is>
      </c>
      <c r="F78" s="6" t="inlineStr">
        <is>
          <t xml:space="preserve">BQ</t>
        </is>
      </c>
      <c r="G78" s="0" t="inlineStr">
        <is>
          <t xml:space="preserve">BQ00137</t>
        </is>
      </c>
      <c r="H78" s="6" t="inlineStr">
        <is>
          <t xml:space="preserve">401000</t>
        </is>
      </c>
      <c r="I78" s="0" t="inlineStr">
        <is>
          <t xml:space="preserve">Reglement fournisseur Vernis et Finitions F003-2024032</t>
        </is>
      </c>
      <c r="J78" s="0" t="inlineStr">
        <is>
          <t xml:space="preserve">Vernis et Finitions</t>
        </is>
      </c>
      <c r="K78" s="8">
        <v>-26751.92</v>
      </c>
      <c r="L78" s="0" t="inlineStr">
        <is>
          <t xml:space="preserve">Fournisseurs et charges externes</t>
        </is>
      </c>
      <c r="M78" s="9"/>
      <c r="N78" s="0">
        <f>IF(M78&lt;&gt;"",M78,L78)</f>
      </c>
      <c r="O78" s="0">
        <f>IFERROR(INDEX(Categories!$B$5:$B$35,MATCH(N78,Categories!$A$5:$A$35,0)),"NA")</f>
      </c>
    </row>
    <row r="79">
      <c r="A79" s="7">
        <v>45427</v>
      </c>
      <c r="B79" s="0" t="inlineStr">
        <is>
          <t xml:space="preserve">2024-S20</t>
        </is>
      </c>
      <c r="C79" s="0" t="inlineStr">
        <is>
          <t xml:space="preserve">2024-05</t>
        </is>
      </c>
      <c r="D79" s="0" t="inlineStr">
        <is>
          <t xml:space="preserve">2024</t>
        </is>
      </c>
      <c r="E79" s="6" t="inlineStr">
        <is>
          <t xml:space="preserve">512000</t>
        </is>
      </c>
      <c r="F79" s="6" t="inlineStr">
        <is>
          <t xml:space="preserve">BQ</t>
        </is>
      </c>
      <c r="G79" s="0" t="inlineStr">
        <is>
          <t xml:space="preserve">BQ00045</t>
        </is>
      </c>
      <c r="H79" s="6" t="inlineStr">
        <is>
          <t xml:space="preserve">431000</t>
        </is>
      </c>
      <c r="I79" s="0" t="inlineStr">
        <is>
          <t xml:space="preserve">Reglement URSSAF 04/2024</t>
        </is>
      </c>
      <c r="J79" s="0"/>
      <c r="K79" s="8">
        <v>-33650.91</v>
      </c>
      <c r="L79" s="0" t="inlineStr">
        <is>
          <t xml:space="preserve">Charges sociales</t>
        </is>
      </c>
      <c r="M79" s="9"/>
      <c r="N79" s="0">
        <f>IF(M79&lt;&gt;"",M79,L79)</f>
      </c>
      <c r="O79" s="0">
        <f>IFERROR(INDEX(Categories!$B$5:$B$35,MATCH(N79,Categories!$A$5:$A$35,0)),"NA")</f>
      </c>
    </row>
    <row r="80">
      <c r="A80" s="7">
        <v>45432</v>
      </c>
      <c r="B80" s="0" t="inlineStr">
        <is>
          <t xml:space="preserve">2024-S21</t>
        </is>
      </c>
      <c r="C80" s="0" t="inlineStr">
        <is>
          <t xml:space="preserve">2024-05</t>
        </is>
      </c>
      <c r="D80" s="0" t="inlineStr">
        <is>
          <t xml:space="preserve">2024</t>
        </is>
      </c>
      <c r="E80" s="6" t="inlineStr">
        <is>
          <t xml:space="preserve">512000</t>
        </is>
      </c>
      <c r="F80" s="6" t="inlineStr">
        <is>
          <t xml:space="preserve">BQ</t>
        </is>
      </c>
      <c r="G80" s="0" t="inlineStr">
        <is>
          <t xml:space="preserve">BQ00046</t>
        </is>
      </c>
      <c r="H80" s="6" t="inlineStr">
        <is>
          <t xml:space="preserve">445510</t>
        </is>
      </c>
      <c r="I80" s="0" t="inlineStr">
        <is>
          <t xml:space="preserve">Reglement TVA 04/2024</t>
        </is>
      </c>
      <c r="J80" s="0"/>
      <c r="K80" s="8">
        <v>-17878.37</v>
      </c>
      <c r="L80" s="0" t="inlineStr">
        <is>
          <t xml:space="preserve">TVA</t>
        </is>
      </c>
      <c r="M80" s="9"/>
      <c r="N80" s="0">
        <f>IF(M80&lt;&gt;"",M80,L80)</f>
      </c>
      <c r="O80" s="0">
        <f>IFERROR(INDEX(Categories!$B$5:$B$35,MATCH(N80,Categories!$A$5:$A$35,0)),"NA")</f>
      </c>
    </row>
    <row r="81">
      <c r="A81" s="7">
        <v>45443</v>
      </c>
      <c r="B81" s="0" t="inlineStr">
        <is>
          <t xml:space="preserve">2024-S22</t>
        </is>
      </c>
      <c r="C81" s="0" t="inlineStr">
        <is>
          <t xml:space="preserve">2024-05</t>
        </is>
      </c>
      <c r="D81" s="0" t="inlineStr">
        <is>
          <t xml:space="preserve">2024</t>
        </is>
      </c>
      <c r="E81" s="6" t="inlineStr">
        <is>
          <t xml:space="preserve">512000</t>
        </is>
      </c>
      <c r="F81" s="6" t="inlineStr">
        <is>
          <t xml:space="preserve">BQ</t>
        </is>
      </c>
      <c r="G81" s="0" t="inlineStr">
        <is>
          <t xml:space="preserve">BQ00013</t>
        </is>
      </c>
      <c r="H81" s="6" t="inlineStr">
        <is>
          <t xml:space="preserve">421000</t>
        </is>
      </c>
      <c r="I81" s="0" t="inlineStr">
        <is>
          <t xml:space="preserve">Virement salaires 05/2024</t>
        </is>
      </c>
      <c r="J81" s="0"/>
      <c r="K81" s="8">
        <v>-40113.35</v>
      </c>
      <c r="L81" s="0" t="inlineStr">
        <is>
          <t xml:space="preserve">Salaires et personnel</t>
        </is>
      </c>
      <c r="M81" s="9"/>
      <c r="N81" s="0">
        <f>IF(M81&lt;&gt;"",M81,L81)</f>
      </c>
      <c r="O81" s="0">
        <f>IFERROR(INDEX(Categories!$B$5:$B$35,MATCH(N81,Categories!$A$5:$A$35,0)),"NA")</f>
      </c>
    </row>
    <row r="82">
      <c r="A82" s="7">
        <v>45443</v>
      </c>
      <c r="B82" s="0" t="inlineStr">
        <is>
          <t xml:space="preserve">2024-S22</t>
        </is>
      </c>
      <c r="C82" s="0" t="inlineStr">
        <is>
          <t xml:space="preserve">2024-05</t>
        </is>
      </c>
      <c r="D82" s="0" t="inlineStr">
        <is>
          <t xml:space="preserve">2024</t>
        </is>
      </c>
      <c r="E82" s="6" t="inlineStr">
        <is>
          <t xml:space="preserve">512000</t>
        </is>
      </c>
      <c r="F82" s="6" t="inlineStr">
        <is>
          <t xml:space="preserve">BQ</t>
        </is>
      </c>
      <c r="G82" s="0" t="inlineStr">
        <is>
          <t xml:space="preserve">BQ00015</t>
        </is>
      </c>
      <c r="H82" s="6" t="inlineStr">
        <is>
          <t xml:space="preserve">627000</t>
        </is>
      </c>
      <c r="I82" s="0" t="inlineStr">
        <is>
          <t xml:space="preserve">Frais bancaires 05/2024</t>
        </is>
      </c>
      <c r="J82" s="0"/>
      <c r="K82" s="8">
        <v>-85</v>
      </c>
      <c r="L82" s="0" t="inlineStr">
        <is>
          <t xml:space="preserve">Frais bancaires</t>
        </is>
      </c>
      <c r="M82" s="9"/>
      <c r="N82" s="0">
        <f>IF(M82&lt;&gt;"",M82,L82)</f>
      </c>
      <c r="O82" s="0">
        <f>IFERROR(INDEX(Categories!$B$5:$B$35,MATCH(N82,Categories!$A$5:$A$35,0)),"NA")</f>
      </c>
    </row>
    <row r="83">
      <c r="A83" s="7">
        <v>45443</v>
      </c>
      <c r="B83" s="0" t="inlineStr">
        <is>
          <t xml:space="preserve">2024-S22</t>
        </is>
      </c>
      <c r="C83" s="0" t="inlineStr">
        <is>
          <t xml:space="preserve">2024-05</t>
        </is>
      </c>
      <c r="D83" s="0" t="inlineStr">
        <is>
          <t xml:space="preserve">2024</t>
        </is>
      </c>
      <c r="E83" s="6" t="inlineStr">
        <is>
          <t xml:space="preserve">512000</t>
        </is>
      </c>
      <c r="F83" s="6" t="inlineStr">
        <is>
          <t xml:space="preserve">BQ</t>
        </is>
      </c>
      <c r="G83" s="0" t="inlineStr">
        <is>
          <t xml:space="preserve">BQ00144</t>
        </is>
      </c>
      <c r="H83" s="6" t="inlineStr">
        <is>
          <t xml:space="preserve">401000</t>
        </is>
      </c>
      <c r="I83" s="0" t="inlineStr">
        <is>
          <t xml:space="preserve">Reglement fournisseur Scierie du Nord F001-2024042</t>
        </is>
      </c>
      <c r="J83" s="0" t="inlineStr">
        <is>
          <t xml:space="preserve">Scierie du Nord</t>
        </is>
      </c>
      <c r="K83" s="8">
        <v>-23539.72</v>
      </c>
      <c r="L83" s="0" t="inlineStr">
        <is>
          <t xml:space="preserve">Fournisseurs et charges externes</t>
        </is>
      </c>
      <c r="M83" s="9"/>
      <c r="N83" s="0">
        <f>IF(M83&lt;&gt;"",M83,L83)</f>
      </c>
      <c r="O83" s="0">
        <f>IFERROR(INDEX(Categories!$B$5:$B$35,MATCH(N83,Categories!$A$5:$A$35,0)),"NA")</f>
      </c>
    </row>
    <row r="84">
      <c r="A84" s="7">
        <v>45446</v>
      </c>
      <c r="B84" s="0" t="inlineStr">
        <is>
          <t xml:space="preserve">2024-S23</t>
        </is>
      </c>
      <c r="C84" s="0" t="inlineStr">
        <is>
          <t xml:space="preserve">2024-06</t>
        </is>
      </c>
      <c r="D84" s="0" t="inlineStr">
        <is>
          <t xml:space="preserve">2024</t>
        </is>
      </c>
      <c r="E84" s="6" t="inlineStr">
        <is>
          <t xml:space="preserve">512000</t>
        </is>
      </c>
      <c r="F84" s="6" t="inlineStr">
        <is>
          <t xml:space="preserve">BQ</t>
        </is>
      </c>
      <c r="G84" s="0" t="inlineStr">
        <is>
          <t xml:space="preserve">BQ00085</t>
        </is>
      </c>
      <c r="H84" s="6" t="inlineStr">
        <is>
          <t xml:space="preserve">411000</t>
        </is>
      </c>
      <c r="I84" s="0" t="inlineStr">
        <is>
          <t xml:space="preserve">Reglement client Agence Mobilis FA2024-0020</t>
        </is>
      </c>
      <c r="J84" s="0" t="inlineStr">
        <is>
          <t xml:space="preserve">Agence Mobilis</t>
        </is>
      </c>
      <c r="K84" s="8">
        <v>60133.91</v>
      </c>
      <c r="L84" s="0" t="inlineStr">
        <is>
          <t xml:space="preserve">Clients</t>
        </is>
      </c>
      <c r="M84" s="9"/>
      <c r="N84" s="0">
        <f>IF(M84&lt;&gt;"",M84,L84)</f>
      </c>
      <c r="O84" s="0">
        <f>IFERROR(INDEX(Categories!$B$5:$B$35,MATCH(N84,Categories!$A$5:$A$35,0)),"NA")</f>
      </c>
    </row>
    <row r="85">
      <c r="A85" s="7">
        <v>45446</v>
      </c>
      <c r="B85" s="0" t="inlineStr">
        <is>
          <t xml:space="preserve">2024-S23</t>
        </is>
      </c>
      <c r="C85" s="0" t="inlineStr">
        <is>
          <t xml:space="preserve">2024-06</t>
        </is>
      </c>
      <c r="D85" s="0" t="inlineStr">
        <is>
          <t xml:space="preserve">2024</t>
        </is>
      </c>
      <c r="E85" s="6" t="inlineStr">
        <is>
          <t xml:space="preserve">512000</t>
        </is>
      </c>
      <c r="F85" s="6" t="inlineStr">
        <is>
          <t xml:space="preserve">BQ</t>
        </is>
      </c>
      <c r="G85" s="0" t="inlineStr">
        <is>
          <t xml:space="preserve">BQ00088</t>
        </is>
      </c>
      <c r="H85" s="6" t="inlineStr">
        <is>
          <t xml:space="preserve">411000</t>
        </is>
      </c>
      <c r="I85" s="0" t="inlineStr">
        <is>
          <t xml:space="preserve">Reglement client Restaurant Le Comptoir FA2024-0023</t>
        </is>
      </c>
      <c r="J85" s="0" t="inlineStr">
        <is>
          <t xml:space="preserve">Restaurant Le Comptoir</t>
        </is>
      </c>
      <c r="K85" s="8">
        <v>46078.18</v>
      </c>
      <c r="L85" s="0" t="inlineStr">
        <is>
          <t xml:space="preserve">Clients</t>
        </is>
      </c>
      <c r="M85" s="9"/>
      <c r="N85" s="0">
        <f>IF(M85&lt;&gt;"",M85,L85)</f>
      </c>
      <c r="O85" s="0">
        <f>IFERROR(INDEX(Categories!$B$5:$B$35,MATCH(N85,Categories!$A$5:$A$35,0)),"NA")</f>
      </c>
    </row>
    <row r="86">
      <c r="A86" s="7">
        <v>45446</v>
      </c>
      <c r="B86" s="0" t="inlineStr">
        <is>
          <t xml:space="preserve">2024-S23</t>
        </is>
      </c>
      <c r="C86" s="0" t="inlineStr">
        <is>
          <t xml:space="preserve">2024-06</t>
        </is>
      </c>
      <c r="D86" s="0" t="inlineStr">
        <is>
          <t xml:space="preserve">2024</t>
        </is>
      </c>
      <c r="E86" s="6" t="inlineStr">
        <is>
          <t xml:space="preserve">512000</t>
        </is>
      </c>
      <c r="F86" s="6" t="inlineStr">
        <is>
          <t xml:space="preserve">BQ</t>
        </is>
      </c>
      <c r="G86" s="0" t="inlineStr">
        <is>
          <t xml:space="preserve">BQ00145</t>
        </is>
      </c>
      <c r="H86" s="6" t="inlineStr">
        <is>
          <t xml:space="preserve">401000</t>
        </is>
      </c>
      <c r="I86" s="0" t="inlineStr">
        <is>
          <t xml:space="preserve">Reglement fournisseur Scierie du Nord F001-2024043</t>
        </is>
      </c>
      <c r="J86" s="0" t="inlineStr">
        <is>
          <t xml:space="preserve">Scierie du Nord</t>
        </is>
      </c>
      <c r="K86" s="8">
        <v>-38003.58</v>
      </c>
      <c r="L86" s="0" t="inlineStr">
        <is>
          <t xml:space="preserve">Fournisseurs et charges externes</t>
        </is>
      </c>
      <c r="M86" s="9"/>
      <c r="N86" s="0">
        <f>IF(M86&lt;&gt;"",M86,L86)</f>
      </c>
      <c r="O86" s="0">
        <f>IFERROR(INDEX(Categories!$B$5:$B$35,MATCH(N86,Categories!$A$5:$A$35,0)),"NA")</f>
      </c>
    </row>
    <row r="87">
      <c r="A87" s="7">
        <v>45447</v>
      </c>
      <c r="B87" s="0" t="inlineStr">
        <is>
          <t xml:space="preserve">2024-S23</t>
        </is>
      </c>
      <c r="C87" s="0" t="inlineStr">
        <is>
          <t xml:space="preserve">2024-06</t>
        </is>
      </c>
      <c r="D87" s="0" t="inlineStr">
        <is>
          <t xml:space="preserve">2024</t>
        </is>
      </c>
      <c r="E87" s="6" t="inlineStr">
        <is>
          <t xml:space="preserve">512000</t>
        </is>
      </c>
      <c r="F87" s="6" t="inlineStr">
        <is>
          <t xml:space="preserve">BQ</t>
        </is>
      </c>
      <c r="G87" s="0" t="inlineStr">
        <is>
          <t xml:space="preserve">BQ00153</t>
        </is>
      </c>
      <c r="H87" s="6" t="inlineStr">
        <is>
          <t xml:space="preserve">401000</t>
        </is>
      </c>
      <c r="I87" s="0" t="inlineStr">
        <is>
          <t xml:space="preserve">Reglement fournisseur SCI Les Halles F004-202405</t>
        </is>
      </c>
      <c r="J87" s="0" t="inlineStr">
        <is>
          <t xml:space="preserve">SCI Les Halles</t>
        </is>
      </c>
      <c r="K87" s="8">
        <v>-10200</v>
      </c>
      <c r="L87" s="0" t="inlineStr">
        <is>
          <t xml:space="preserve">Fournisseurs et charges externes</t>
        </is>
      </c>
      <c r="M87" s="9"/>
      <c r="N87" s="0">
        <f>IF(M87&lt;&gt;"",M87,L87)</f>
      </c>
      <c r="O87" s="0">
        <f>IFERROR(INDEX(Categories!$B$5:$B$35,MATCH(N87,Categories!$A$5:$A$35,0)),"NA")</f>
      </c>
    </row>
    <row r="88">
      <c r="A88" s="7">
        <v>45447</v>
      </c>
      <c r="B88" s="0" t="inlineStr">
        <is>
          <t xml:space="preserve">2024-S23</t>
        </is>
      </c>
      <c r="C88" s="0" t="inlineStr">
        <is>
          <t xml:space="preserve">2024-06</t>
        </is>
      </c>
      <c r="D88" s="0" t="inlineStr">
        <is>
          <t xml:space="preserve">2024</t>
        </is>
      </c>
      <c r="E88" s="6" t="inlineStr">
        <is>
          <t xml:space="preserve">512000</t>
        </is>
      </c>
      <c r="F88" s="6" t="inlineStr">
        <is>
          <t xml:space="preserve">BQ</t>
        </is>
      </c>
      <c r="G88" s="0" t="inlineStr">
        <is>
          <t xml:space="preserve">BQ00154</t>
        </is>
      </c>
      <c r="H88" s="6" t="inlineStr">
        <is>
          <t xml:space="preserve">401000</t>
        </is>
      </c>
      <c r="I88" s="0" t="inlineStr">
        <is>
          <t xml:space="preserve">Reglement fournisseur Energie Plus F005-202405</t>
        </is>
      </c>
      <c r="J88" s="0" t="inlineStr">
        <is>
          <t xml:space="preserve">Energie Plus</t>
        </is>
      </c>
      <c r="K88" s="8">
        <v>-3076.03</v>
      </c>
      <c r="L88" s="0" t="inlineStr">
        <is>
          <t xml:space="preserve">Fournisseurs et charges externes</t>
        </is>
      </c>
      <c r="M88" s="9"/>
      <c r="N88" s="0">
        <f>IF(M88&lt;&gt;"",M88,L88)</f>
      </c>
      <c r="O88" s="0">
        <f>IFERROR(INDEX(Categories!$B$5:$B$35,MATCH(N88,Categories!$A$5:$A$35,0)),"NA")</f>
      </c>
    </row>
    <row r="89">
      <c r="A89" s="7">
        <v>45447</v>
      </c>
      <c r="B89" s="0" t="inlineStr">
        <is>
          <t xml:space="preserve">2024-S23</t>
        </is>
      </c>
      <c r="C89" s="0" t="inlineStr">
        <is>
          <t xml:space="preserve">2024-06</t>
        </is>
      </c>
      <c r="D89" s="0" t="inlineStr">
        <is>
          <t xml:space="preserve">2024</t>
        </is>
      </c>
      <c r="E89" s="6" t="inlineStr">
        <is>
          <t xml:space="preserve">512000</t>
        </is>
      </c>
      <c r="F89" s="6" t="inlineStr">
        <is>
          <t xml:space="preserve">BQ</t>
        </is>
      </c>
      <c r="G89" s="0" t="inlineStr">
        <is>
          <t xml:space="preserve">BQ00155</t>
        </is>
      </c>
      <c r="H89" s="6" t="inlineStr">
        <is>
          <t xml:space="preserve">401000</t>
        </is>
      </c>
      <c r="I89" s="0" t="inlineStr">
        <is>
          <t xml:space="preserve">Reglement fournisseur Telecom Pro F008-202405</t>
        </is>
      </c>
      <c r="J89" s="0" t="inlineStr">
        <is>
          <t xml:space="preserve">Telecom Pro</t>
        </is>
      </c>
      <c r="K89" s="8">
        <v>-576</v>
      </c>
      <c r="L89" s="0" t="inlineStr">
        <is>
          <t xml:space="preserve">Fournisseurs et charges externes</t>
        </is>
      </c>
      <c r="M89" s="9"/>
      <c r="N89" s="0">
        <f>IF(M89&lt;&gt;"",M89,L89)</f>
      </c>
      <c r="O89" s="0">
        <f>IFERROR(INDEX(Categories!$B$5:$B$35,MATCH(N89,Categories!$A$5:$A$35,0)),"NA")</f>
      </c>
    </row>
    <row r="90">
      <c r="A90" s="7">
        <v>45449</v>
      </c>
      <c r="B90" s="0" t="inlineStr">
        <is>
          <t xml:space="preserve">2024-S23</t>
        </is>
      </c>
      <c r="C90" s="0" t="inlineStr">
        <is>
          <t xml:space="preserve">2024-06</t>
        </is>
      </c>
      <c r="D90" s="0" t="inlineStr">
        <is>
          <t xml:space="preserve">2024</t>
        </is>
      </c>
      <c r="E90" s="6" t="inlineStr">
        <is>
          <t xml:space="preserve">512000</t>
        </is>
      </c>
      <c r="F90" s="6" t="inlineStr">
        <is>
          <t xml:space="preserve">BQ</t>
        </is>
      </c>
      <c r="G90" s="0" t="inlineStr">
        <is>
          <t xml:space="preserve">BQ00143</t>
        </is>
      </c>
      <c r="H90" s="6" t="inlineStr">
        <is>
          <t xml:space="preserve">401000</t>
        </is>
      </c>
      <c r="I90" s="0" t="inlineStr">
        <is>
          <t xml:space="preserve">Reglement fournisseur Quincaillerie Pro Est F002-2024041</t>
        </is>
      </c>
      <c r="J90" s="0" t="inlineStr">
        <is>
          <t xml:space="preserve">Quincaillerie Pro Est</t>
        </is>
      </c>
      <c r="K90" s="8">
        <v>-26656.7</v>
      </c>
      <c r="L90" s="0" t="inlineStr">
        <is>
          <t xml:space="preserve">Fournisseurs et charges externes</t>
        </is>
      </c>
      <c r="M90" s="9"/>
      <c r="N90" s="0">
        <f>IF(M90&lt;&gt;"",M90,L90)</f>
      </c>
      <c r="O90" s="0">
        <f>IFERROR(INDEX(Categories!$B$5:$B$35,MATCH(N90,Categories!$A$5:$A$35,0)),"NA")</f>
      </c>
    </row>
    <row r="91">
      <c r="A91" s="7">
        <v>45453</v>
      </c>
      <c r="B91" s="0" t="inlineStr">
        <is>
          <t xml:space="preserve">2024-S24</t>
        </is>
      </c>
      <c r="C91" s="0" t="inlineStr">
        <is>
          <t xml:space="preserve">2024-06</t>
        </is>
      </c>
      <c r="D91" s="0" t="inlineStr">
        <is>
          <t xml:space="preserve">2024</t>
        </is>
      </c>
      <c r="E91" s="6" t="inlineStr">
        <is>
          <t xml:space="preserve">512000</t>
        </is>
      </c>
      <c r="F91" s="6" t="inlineStr">
        <is>
          <t xml:space="preserve">BQ</t>
        </is>
      </c>
      <c r="G91" s="0" t="inlineStr">
        <is>
          <t xml:space="preserve">BQ00017</t>
        </is>
      </c>
      <c r="H91" s="6" t="inlineStr">
        <is>
          <t xml:space="preserve">164000</t>
        </is>
      </c>
      <c r="I91" s="0" t="inlineStr">
        <is>
          <t xml:space="preserve">Echeance emprunt 06/2024</t>
        </is>
      </c>
      <c r="J91" s="0"/>
      <c r="K91" s="8">
        <v>-2000</v>
      </c>
      <c r="L91" s="0" t="inlineStr">
        <is>
          <t xml:space="preserve">Emprunts - capital</t>
        </is>
      </c>
      <c r="M91" s="9"/>
      <c r="N91" s="0">
        <f>IF(M91&lt;&gt;"",M91,L91)</f>
      </c>
      <c r="O91" s="0">
        <f>IFERROR(INDEX(Categories!$B$5:$B$35,MATCH(N91,Categories!$A$5:$A$35,0)),"NA")</f>
      </c>
    </row>
    <row r="92">
      <c r="A92" s="7">
        <v>45453</v>
      </c>
      <c r="B92" s="0" t="inlineStr">
        <is>
          <t xml:space="preserve">2024-S24</t>
        </is>
      </c>
      <c r="C92" s="0" t="inlineStr">
        <is>
          <t xml:space="preserve">2024-06</t>
        </is>
      </c>
      <c r="D92" s="0" t="inlineStr">
        <is>
          <t xml:space="preserve">2024</t>
        </is>
      </c>
      <c r="E92" s="6" t="inlineStr">
        <is>
          <t xml:space="preserve">512000</t>
        </is>
      </c>
      <c r="F92" s="6" t="inlineStr">
        <is>
          <t xml:space="preserve">BQ</t>
        </is>
      </c>
      <c r="G92" s="0" t="inlineStr">
        <is>
          <t xml:space="preserve">BQ00017</t>
        </is>
      </c>
      <c r="H92" s="6" t="inlineStr">
        <is>
          <t xml:space="preserve">661100</t>
        </is>
      </c>
      <c r="I92" s="0" t="inlineStr">
        <is>
          <t xml:space="preserve">Echeance emprunt 06/2024</t>
        </is>
      </c>
      <c r="J92" s="0"/>
      <c r="K92" s="8">
        <v>-266.67</v>
      </c>
      <c r="L92" s="0" t="inlineStr">
        <is>
          <t xml:space="preserve">Intérêts et charges financières</t>
        </is>
      </c>
      <c r="M92" s="9"/>
      <c r="N92" s="0">
        <f>IF(M92&lt;&gt;"",M92,L92)</f>
      </c>
      <c r="O92" s="0">
        <f>IFERROR(INDEX(Categories!$B$5:$B$35,MATCH(N92,Categories!$A$5:$A$35,0)),"NA")</f>
      </c>
    </row>
    <row r="93">
      <c r="A93" s="7">
        <v>45453</v>
      </c>
      <c r="B93" s="0" t="inlineStr">
        <is>
          <t xml:space="preserve">2024-S24</t>
        </is>
      </c>
      <c r="C93" s="0" t="inlineStr">
        <is>
          <t xml:space="preserve">2024-06</t>
        </is>
      </c>
      <c r="D93" s="0" t="inlineStr">
        <is>
          <t xml:space="preserve">2024</t>
        </is>
      </c>
      <c r="E93" s="6" t="inlineStr">
        <is>
          <t xml:space="preserve">512000</t>
        </is>
      </c>
      <c r="F93" s="6" t="inlineStr">
        <is>
          <t xml:space="preserve">BQ</t>
        </is>
      </c>
      <c r="G93" s="0" t="inlineStr">
        <is>
          <t xml:space="preserve">BQ00084</t>
        </is>
      </c>
      <c r="H93" s="6" t="inlineStr">
        <is>
          <t xml:space="preserve">411000</t>
        </is>
      </c>
      <c r="I93" s="0" t="inlineStr">
        <is>
          <t xml:space="preserve">Reglement client Hotel Les Tilleuls FA2024-0019</t>
        </is>
      </c>
      <c r="J93" s="0" t="inlineStr">
        <is>
          <t xml:space="preserve">Hotel Les Tilleuls</t>
        </is>
      </c>
      <c r="K93" s="8">
        <v>50701.08</v>
      </c>
      <c r="L93" s="0" t="inlineStr">
        <is>
          <t xml:space="preserve">Clients</t>
        </is>
      </c>
      <c r="M93" s="9"/>
      <c r="N93" s="0">
        <f>IF(M93&lt;&gt;"",M93,L93)</f>
      </c>
      <c r="O93" s="0">
        <f>IFERROR(INDEX(Categories!$B$5:$B$35,MATCH(N93,Categories!$A$5:$A$35,0)),"NA")</f>
      </c>
    </row>
    <row r="94">
      <c r="A94" s="7">
        <v>45453</v>
      </c>
      <c r="B94" s="0" t="inlineStr">
        <is>
          <t xml:space="preserve">2024-S24</t>
        </is>
      </c>
      <c r="C94" s="0" t="inlineStr">
        <is>
          <t xml:space="preserve">2024-06</t>
        </is>
      </c>
      <c r="D94" s="0" t="inlineStr">
        <is>
          <t xml:space="preserve">2024</t>
        </is>
      </c>
      <c r="E94" s="6" t="inlineStr">
        <is>
          <t xml:space="preserve">512000</t>
        </is>
      </c>
      <c r="F94" s="6" t="inlineStr">
        <is>
          <t xml:space="preserve">BQ</t>
        </is>
      </c>
      <c r="G94" s="0" t="inlineStr">
        <is>
          <t xml:space="preserve">BQ00086</t>
        </is>
      </c>
      <c r="H94" s="6" t="inlineStr">
        <is>
          <t xml:space="preserve">411000</t>
        </is>
      </c>
      <c r="I94" s="0" t="inlineStr">
        <is>
          <t xml:space="preserve">Reglement client Restaurant Le Comptoir FA2024-0021</t>
        </is>
      </c>
      <c r="J94" s="0" t="inlineStr">
        <is>
          <t xml:space="preserve">Restaurant Le Comptoir</t>
        </is>
      </c>
      <c r="K94" s="8">
        <v>54422.12</v>
      </c>
      <c r="L94" s="0" t="inlineStr">
        <is>
          <t xml:space="preserve">Clients</t>
        </is>
      </c>
      <c r="M94" s="9"/>
      <c r="N94" s="0">
        <f>IF(M94&lt;&gt;"",M94,L94)</f>
      </c>
      <c r="O94" s="0">
        <f>IFERROR(INDEX(Categories!$B$5:$B$35,MATCH(N94,Categories!$A$5:$A$35,0)),"NA")</f>
      </c>
    </row>
    <row r="95">
      <c r="A95" s="7">
        <v>45458</v>
      </c>
      <c r="B95" s="0" t="inlineStr">
        <is>
          <t xml:space="preserve">2024-S24</t>
        </is>
      </c>
      <c r="C95" s="0" t="inlineStr">
        <is>
          <t xml:space="preserve">2024-06</t>
        </is>
      </c>
      <c r="D95" s="0" t="inlineStr">
        <is>
          <t xml:space="preserve">2024</t>
        </is>
      </c>
      <c r="E95" s="6" t="inlineStr">
        <is>
          <t xml:space="preserve">512000</t>
        </is>
      </c>
      <c r="F95" s="6" t="inlineStr">
        <is>
          <t xml:space="preserve">BQ</t>
        </is>
      </c>
      <c r="G95" s="0" t="inlineStr">
        <is>
          <t xml:space="preserve">BQ00047</t>
        </is>
      </c>
      <c r="H95" s="6" t="inlineStr">
        <is>
          <t xml:space="preserve">431000</t>
        </is>
      </c>
      <c r="I95" s="0" t="inlineStr">
        <is>
          <t xml:space="preserve">Reglement URSSAF 05/2024</t>
        </is>
      </c>
      <c r="J95" s="0"/>
      <c r="K95" s="8">
        <v>-32913.52</v>
      </c>
      <c r="L95" s="0" t="inlineStr">
        <is>
          <t xml:space="preserve">Charges sociales</t>
        </is>
      </c>
      <c r="M95" s="9"/>
      <c r="N95" s="0">
        <f>IF(M95&lt;&gt;"",M95,L95)</f>
      </c>
      <c r="O95" s="0">
        <f>IFERROR(INDEX(Categories!$B$5:$B$35,MATCH(N95,Categories!$A$5:$A$35,0)),"NA")</f>
      </c>
    </row>
    <row r="96">
      <c r="A96" s="7">
        <v>45462</v>
      </c>
      <c r="B96" s="0" t="inlineStr">
        <is>
          <t xml:space="preserve">2024-S25</t>
        </is>
      </c>
      <c r="C96" s="0" t="inlineStr">
        <is>
          <t xml:space="preserve">2024-06</t>
        </is>
      </c>
      <c r="D96" s="0" t="inlineStr">
        <is>
          <t xml:space="preserve">2024</t>
        </is>
      </c>
      <c r="E96" s="6" t="inlineStr">
        <is>
          <t xml:space="preserve">512000</t>
        </is>
      </c>
      <c r="F96" s="6" t="inlineStr">
        <is>
          <t xml:space="preserve">BQ</t>
        </is>
      </c>
      <c r="G96" s="0" t="inlineStr">
        <is>
          <t xml:space="preserve">BQ00093</t>
        </is>
      </c>
      <c r="H96" s="6" t="inlineStr">
        <is>
          <t xml:space="preserve">411000</t>
        </is>
      </c>
      <c r="I96" s="0" t="inlineStr">
        <is>
          <t xml:space="preserve">Reglement client Residence Bel Air FA2024-0028</t>
        </is>
      </c>
      <c r="J96" s="0" t="inlineStr">
        <is>
          <t xml:space="preserve">Residence Bel Air</t>
        </is>
      </c>
      <c r="K96" s="8">
        <v>47923.73</v>
      </c>
      <c r="L96" s="0" t="inlineStr">
        <is>
          <t xml:space="preserve">Clients</t>
        </is>
      </c>
      <c r="M96" s="9"/>
      <c r="N96" s="0">
        <f>IF(M96&lt;&gt;"",M96,L96)</f>
      </c>
      <c r="O96" s="0">
        <f>IFERROR(INDEX(Categories!$B$5:$B$35,MATCH(N96,Categories!$A$5:$A$35,0)),"NA")</f>
      </c>
    </row>
    <row r="97">
      <c r="A97" s="7">
        <v>45463</v>
      </c>
      <c r="B97" s="0" t="inlineStr">
        <is>
          <t xml:space="preserve">2024-S25</t>
        </is>
      </c>
      <c r="C97" s="0" t="inlineStr">
        <is>
          <t xml:space="preserve">2024-06</t>
        </is>
      </c>
      <c r="D97" s="0" t="inlineStr">
        <is>
          <t xml:space="preserve">2024</t>
        </is>
      </c>
      <c r="E97" s="6" t="inlineStr">
        <is>
          <t xml:space="preserve">512000</t>
        </is>
      </c>
      <c r="F97" s="6" t="inlineStr">
        <is>
          <t xml:space="preserve">BQ</t>
        </is>
      </c>
      <c r="G97" s="0" t="inlineStr">
        <is>
          <t xml:space="preserve">BQ00048</t>
        </is>
      </c>
      <c r="H97" s="6" t="inlineStr">
        <is>
          <t xml:space="preserve">445510</t>
        </is>
      </c>
      <c r="I97" s="0" t="inlineStr">
        <is>
          <t xml:space="preserve">Reglement TVA 05/2024</t>
        </is>
      </c>
      <c r="J97" s="0"/>
      <c r="K97" s="8">
        <v>-18958.01</v>
      </c>
      <c r="L97" s="0" t="inlineStr">
        <is>
          <t xml:space="preserve">TVA</t>
        </is>
      </c>
      <c r="M97" s="9"/>
      <c r="N97" s="0">
        <f>IF(M97&lt;&gt;"",M97,L97)</f>
      </c>
      <c r="O97" s="0">
        <f>IFERROR(INDEX(Categories!$B$5:$B$35,MATCH(N97,Categories!$A$5:$A$35,0)),"NA")</f>
      </c>
    </row>
    <row r="98">
      <c r="A98" s="7">
        <v>45463</v>
      </c>
      <c r="B98" s="0" t="inlineStr">
        <is>
          <t xml:space="preserve">2024-S25</t>
        </is>
      </c>
      <c r="C98" s="0" t="inlineStr">
        <is>
          <t xml:space="preserve">2024-06</t>
        </is>
      </c>
      <c r="D98" s="0" t="inlineStr">
        <is>
          <t xml:space="preserve">2024</t>
        </is>
      </c>
      <c r="E98" s="6" t="inlineStr">
        <is>
          <t xml:space="preserve">512000</t>
        </is>
      </c>
      <c r="F98" s="6" t="inlineStr">
        <is>
          <t xml:space="preserve">BQ</t>
        </is>
      </c>
      <c r="G98" s="0" t="inlineStr">
        <is>
          <t xml:space="preserve">BQ00090</t>
        </is>
      </c>
      <c r="H98" s="6" t="inlineStr">
        <is>
          <t xml:space="preserve">411000</t>
        </is>
      </c>
      <c r="I98" s="0" t="inlineStr">
        <is>
          <t xml:space="preserve">Reglement client Agence Mobilis FA2024-0025</t>
        </is>
      </c>
      <c r="J98" s="0" t="inlineStr">
        <is>
          <t xml:space="preserve">Agence Mobilis</t>
        </is>
      </c>
      <c r="K98" s="8">
        <v>34206.12</v>
      </c>
      <c r="L98" s="0" t="inlineStr">
        <is>
          <t xml:space="preserve">Clients</t>
        </is>
      </c>
      <c r="M98" s="9"/>
      <c r="N98" s="0">
        <f>IF(M98&lt;&gt;"",M98,L98)</f>
      </c>
      <c r="O98" s="0">
        <f>IFERROR(INDEX(Categories!$B$5:$B$35,MATCH(N98,Categories!$A$5:$A$35,0)),"NA")</f>
      </c>
    </row>
    <row r="99">
      <c r="A99" s="7">
        <v>45467</v>
      </c>
      <c r="B99" s="0" t="inlineStr">
        <is>
          <t xml:space="preserve">2024-S26</t>
        </is>
      </c>
      <c r="C99" s="0" t="inlineStr">
        <is>
          <t xml:space="preserve">2024-06</t>
        </is>
      </c>
      <c r="D99" s="0" t="inlineStr">
        <is>
          <t xml:space="preserve">2024</t>
        </is>
      </c>
      <c r="E99" s="6" t="inlineStr">
        <is>
          <t xml:space="preserve">512000</t>
        </is>
      </c>
      <c r="F99" s="6" t="inlineStr">
        <is>
          <t xml:space="preserve">BQ</t>
        </is>
      </c>
      <c r="G99" s="0" t="inlineStr">
        <is>
          <t xml:space="preserve">BQ00091</t>
        </is>
      </c>
      <c r="H99" s="6" t="inlineStr">
        <is>
          <t xml:space="preserve">411000</t>
        </is>
      </c>
      <c r="I99" s="0" t="inlineStr">
        <is>
          <t xml:space="preserve">Reglement client Coworking Atelier 9 FA2024-0026</t>
        </is>
      </c>
      <c r="J99" s="0" t="inlineStr">
        <is>
          <t xml:space="preserve">Coworking Atelier 9</t>
        </is>
      </c>
      <c r="K99" s="8">
        <v>23801.88</v>
      </c>
      <c r="L99" s="0" t="inlineStr">
        <is>
          <t xml:space="preserve">Clients</t>
        </is>
      </c>
      <c r="M99" s="9"/>
      <c r="N99" s="0">
        <f>IF(M99&lt;&gt;"",M99,L99)</f>
      </c>
      <c r="O99" s="0">
        <f>IFERROR(INDEX(Categories!$B$5:$B$35,MATCH(N99,Categories!$A$5:$A$35,0)),"NA")</f>
      </c>
    </row>
    <row r="100">
      <c r="A100" s="7">
        <v>45473</v>
      </c>
      <c r="B100" s="0" t="inlineStr">
        <is>
          <t xml:space="preserve">2024-S26</t>
        </is>
      </c>
      <c r="C100" s="0" t="inlineStr">
        <is>
          <t xml:space="preserve">2024-06</t>
        </is>
      </c>
      <c r="D100" s="0" t="inlineStr">
        <is>
          <t xml:space="preserve">2024</t>
        </is>
      </c>
      <c r="E100" s="6" t="inlineStr">
        <is>
          <t xml:space="preserve">512000</t>
        </is>
      </c>
      <c r="F100" s="6" t="inlineStr">
        <is>
          <t xml:space="preserve">BQ</t>
        </is>
      </c>
      <c r="G100" s="0" t="inlineStr">
        <is>
          <t xml:space="preserve">BQ00016</t>
        </is>
      </c>
      <c r="H100" s="6" t="inlineStr">
        <is>
          <t xml:space="preserve">421000</t>
        </is>
      </c>
      <c r="I100" s="0" t="inlineStr">
        <is>
          <t xml:space="preserve">Virement salaires 06/2024</t>
        </is>
      </c>
      <c r="J100" s="0"/>
      <c r="K100" s="8">
        <v>-39926.08</v>
      </c>
      <c r="L100" s="0" t="inlineStr">
        <is>
          <t xml:space="preserve">Salaires et personnel</t>
        </is>
      </c>
      <c r="M100" s="9"/>
      <c r="N100" s="0">
        <f>IF(M100&lt;&gt;"",M100,L100)</f>
      </c>
      <c r="O100" s="0">
        <f>IFERROR(INDEX(Categories!$B$5:$B$35,MATCH(N100,Categories!$A$5:$A$35,0)),"NA")</f>
      </c>
    </row>
    <row r="101">
      <c r="A101" s="7">
        <v>45473</v>
      </c>
      <c r="B101" s="0" t="inlineStr">
        <is>
          <t xml:space="preserve">2024-S26</t>
        </is>
      </c>
      <c r="C101" s="0" t="inlineStr">
        <is>
          <t xml:space="preserve">2024-06</t>
        </is>
      </c>
      <c r="D101" s="0" t="inlineStr">
        <is>
          <t xml:space="preserve">2024</t>
        </is>
      </c>
      <c r="E101" s="6" t="inlineStr">
        <is>
          <t xml:space="preserve">512000</t>
        </is>
      </c>
      <c r="F101" s="6" t="inlineStr">
        <is>
          <t xml:space="preserve">BQ</t>
        </is>
      </c>
      <c r="G101" s="0" t="inlineStr">
        <is>
          <t xml:space="preserve">BQ00018</t>
        </is>
      </c>
      <c r="H101" s="6" t="inlineStr">
        <is>
          <t xml:space="preserve">627000</t>
        </is>
      </c>
      <c r="I101" s="0" t="inlineStr">
        <is>
          <t xml:space="preserve">Frais bancaires 06/2024</t>
        </is>
      </c>
      <c r="J101" s="0"/>
      <c r="K101" s="8">
        <v>-85</v>
      </c>
      <c r="L101" s="0" t="inlineStr">
        <is>
          <t xml:space="preserve">Frais bancaires</t>
        </is>
      </c>
      <c r="M101" s="9"/>
      <c r="N101" s="0">
        <f>IF(M101&lt;&gt;"",M101,L101)</f>
      </c>
      <c r="O101" s="0">
        <f>IFERROR(INDEX(Categories!$B$5:$B$35,MATCH(N101,Categories!$A$5:$A$35,0)),"NA")</f>
      </c>
    </row>
    <row r="102">
      <c r="A102" s="7">
        <v>45474</v>
      </c>
      <c r="B102" s="0" t="inlineStr">
        <is>
          <t xml:space="preserve">2024-S27</t>
        </is>
      </c>
      <c r="C102" s="0" t="inlineStr">
        <is>
          <t xml:space="preserve">2024-07</t>
        </is>
      </c>
      <c r="D102" s="0" t="inlineStr">
        <is>
          <t xml:space="preserve">2024</t>
        </is>
      </c>
      <c r="E102" s="6" t="inlineStr">
        <is>
          <t xml:space="preserve">512000</t>
        </is>
      </c>
      <c r="F102" s="6" t="inlineStr">
        <is>
          <t xml:space="preserve">BQ</t>
        </is>
      </c>
      <c r="G102" s="0" t="inlineStr">
        <is>
          <t xml:space="preserve">BQ00092</t>
        </is>
      </c>
      <c r="H102" s="6" t="inlineStr">
        <is>
          <t xml:space="preserve">411000</t>
        </is>
      </c>
      <c r="I102" s="0" t="inlineStr">
        <is>
          <t xml:space="preserve">Reglement client Residence Bel Air FA2024-0027</t>
        </is>
      </c>
      <c r="J102" s="0" t="inlineStr">
        <is>
          <t xml:space="preserve">Residence Bel Air</t>
        </is>
      </c>
      <c r="K102" s="8">
        <v>30736.78</v>
      </c>
      <c r="L102" s="0" t="inlineStr">
        <is>
          <t xml:space="preserve">Clients</t>
        </is>
      </c>
      <c r="M102" s="9"/>
      <c r="N102" s="0">
        <f>IF(M102&lt;&gt;"",M102,L102)</f>
      </c>
      <c r="O102" s="0">
        <f>IFERROR(INDEX(Categories!$B$5:$B$35,MATCH(N102,Categories!$A$5:$A$35,0)),"NA")</f>
      </c>
    </row>
    <row r="103">
      <c r="A103" s="7">
        <v>45474</v>
      </c>
      <c r="B103" s="0" t="inlineStr">
        <is>
          <t xml:space="preserve">2024-S27</t>
        </is>
      </c>
      <c r="C103" s="0" t="inlineStr">
        <is>
          <t xml:space="preserve">2024-07</t>
        </is>
      </c>
      <c r="D103" s="0" t="inlineStr">
        <is>
          <t xml:space="preserve">2024</t>
        </is>
      </c>
      <c r="E103" s="6" t="inlineStr">
        <is>
          <t xml:space="preserve">512000</t>
        </is>
      </c>
      <c r="F103" s="6" t="inlineStr">
        <is>
          <t xml:space="preserve">BQ</t>
        </is>
      </c>
      <c r="G103" s="0" t="inlineStr">
        <is>
          <t xml:space="preserve">BQ00094</t>
        </is>
      </c>
      <c r="H103" s="6" t="inlineStr">
        <is>
          <t xml:space="preserve">411000</t>
        </is>
      </c>
      <c r="I103" s="0" t="inlineStr">
        <is>
          <t xml:space="preserve">Reglement client Hotel Les Tilleuls FA2024-0029</t>
        </is>
      </c>
      <c r="J103" s="0" t="inlineStr">
        <is>
          <t xml:space="preserve">Hotel Les Tilleuls</t>
        </is>
      </c>
      <c r="K103" s="8">
        <v>30137.64</v>
      </c>
      <c r="L103" s="0" t="inlineStr">
        <is>
          <t xml:space="preserve">Clients</t>
        </is>
      </c>
      <c r="M103" s="9"/>
      <c r="N103" s="0">
        <f>IF(M103&lt;&gt;"",M103,L103)</f>
      </c>
      <c r="O103" s="0">
        <f>IFERROR(INDEX(Categories!$B$5:$B$35,MATCH(N103,Categories!$A$5:$A$35,0)),"NA")</f>
      </c>
    </row>
    <row r="104">
      <c r="A104" s="7">
        <v>45478</v>
      </c>
      <c r="B104" s="0" t="inlineStr">
        <is>
          <t xml:space="preserve">2024-S27</t>
        </is>
      </c>
      <c r="C104" s="0" t="inlineStr">
        <is>
          <t xml:space="preserve">2024-07</t>
        </is>
      </c>
      <c r="D104" s="0" t="inlineStr">
        <is>
          <t xml:space="preserve">2024</t>
        </is>
      </c>
      <c r="E104" s="6" t="inlineStr">
        <is>
          <t xml:space="preserve">512000</t>
        </is>
      </c>
      <c r="F104" s="6" t="inlineStr">
        <is>
          <t xml:space="preserve">BQ</t>
        </is>
      </c>
      <c r="G104" s="0" t="inlineStr">
        <is>
          <t xml:space="preserve">BQ00159</t>
        </is>
      </c>
      <c r="H104" s="6" t="inlineStr">
        <is>
          <t xml:space="preserve">401000</t>
        </is>
      </c>
      <c r="I104" s="0" t="inlineStr">
        <is>
          <t xml:space="preserve">Reglement fournisseur SCI Les Halles F004-202406</t>
        </is>
      </c>
      <c r="J104" s="0" t="inlineStr">
        <is>
          <t xml:space="preserve">SCI Les Halles</t>
        </is>
      </c>
      <c r="K104" s="8">
        <v>-10200</v>
      </c>
      <c r="L104" s="0" t="inlineStr">
        <is>
          <t xml:space="preserve">Fournisseurs et charges externes</t>
        </is>
      </c>
      <c r="M104" s="9"/>
      <c r="N104" s="0">
        <f>IF(M104&lt;&gt;"",M104,L104)</f>
      </c>
      <c r="O104" s="0">
        <f>IFERROR(INDEX(Categories!$B$5:$B$35,MATCH(N104,Categories!$A$5:$A$35,0)),"NA")</f>
      </c>
    </row>
    <row r="105">
      <c r="A105" s="7">
        <v>45478</v>
      </c>
      <c r="B105" s="0" t="inlineStr">
        <is>
          <t xml:space="preserve">2024-S27</t>
        </is>
      </c>
      <c r="C105" s="0" t="inlineStr">
        <is>
          <t xml:space="preserve">2024-07</t>
        </is>
      </c>
      <c r="D105" s="0" t="inlineStr">
        <is>
          <t xml:space="preserve">2024</t>
        </is>
      </c>
      <c r="E105" s="6" t="inlineStr">
        <is>
          <t xml:space="preserve">512000</t>
        </is>
      </c>
      <c r="F105" s="6" t="inlineStr">
        <is>
          <t xml:space="preserve">BQ</t>
        </is>
      </c>
      <c r="G105" s="0" t="inlineStr">
        <is>
          <t xml:space="preserve">BQ00160</t>
        </is>
      </c>
      <c r="H105" s="6" t="inlineStr">
        <is>
          <t xml:space="preserve">401000</t>
        </is>
      </c>
      <c r="I105" s="0" t="inlineStr">
        <is>
          <t xml:space="preserve">Reglement fournisseur Energie Plus F005-202406</t>
        </is>
      </c>
      <c r="J105" s="0" t="inlineStr">
        <is>
          <t xml:space="preserve">Energie Plus</t>
        </is>
      </c>
      <c r="K105" s="8">
        <v>-4176.96</v>
      </c>
      <c r="L105" s="0" t="inlineStr">
        <is>
          <t xml:space="preserve">Fournisseurs et charges externes</t>
        </is>
      </c>
      <c r="M105" s="9"/>
      <c r="N105" s="0">
        <f>IF(M105&lt;&gt;"",M105,L105)</f>
      </c>
      <c r="O105" s="0">
        <f>IFERROR(INDEX(Categories!$B$5:$B$35,MATCH(N105,Categories!$A$5:$A$35,0)),"NA")</f>
      </c>
    </row>
    <row r="106">
      <c r="A106" s="7">
        <v>45478</v>
      </c>
      <c r="B106" s="0" t="inlineStr">
        <is>
          <t xml:space="preserve">2024-S27</t>
        </is>
      </c>
      <c r="C106" s="0" t="inlineStr">
        <is>
          <t xml:space="preserve">2024-07</t>
        </is>
      </c>
      <c r="D106" s="0" t="inlineStr">
        <is>
          <t xml:space="preserve">2024</t>
        </is>
      </c>
      <c r="E106" s="6" t="inlineStr">
        <is>
          <t xml:space="preserve">512000</t>
        </is>
      </c>
      <c r="F106" s="6" t="inlineStr">
        <is>
          <t xml:space="preserve">BQ</t>
        </is>
      </c>
      <c r="G106" s="0" t="inlineStr">
        <is>
          <t xml:space="preserve">BQ00161</t>
        </is>
      </c>
      <c r="H106" s="6" t="inlineStr">
        <is>
          <t xml:space="preserve">401000</t>
        </is>
      </c>
      <c r="I106" s="0" t="inlineStr">
        <is>
          <t xml:space="preserve">Reglement fournisseur Telecom Pro F008-202406</t>
        </is>
      </c>
      <c r="J106" s="0" t="inlineStr">
        <is>
          <t xml:space="preserve">Telecom Pro</t>
        </is>
      </c>
      <c r="K106" s="8">
        <v>-576</v>
      </c>
      <c r="L106" s="0" t="inlineStr">
        <is>
          <t xml:space="preserve">Fournisseurs et charges externes</t>
        </is>
      </c>
      <c r="M106" s="9"/>
      <c r="N106" s="0">
        <f>IF(M106&lt;&gt;"",M106,L106)</f>
      </c>
      <c r="O106" s="0">
        <f>IFERROR(INDEX(Categories!$B$5:$B$35,MATCH(N106,Categories!$A$5:$A$35,0)),"NA")</f>
      </c>
    </row>
    <row r="107">
      <c r="A107" s="7">
        <v>45478</v>
      </c>
      <c r="B107" s="0" t="inlineStr">
        <is>
          <t xml:space="preserve">2024-S27</t>
        </is>
      </c>
      <c r="C107" s="0" t="inlineStr">
        <is>
          <t xml:space="preserve">2024-07</t>
        </is>
      </c>
      <c r="D107" s="0" t="inlineStr">
        <is>
          <t xml:space="preserve">2024</t>
        </is>
      </c>
      <c r="E107" s="6" t="inlineStr">
        <is>
          <t xml:space="preserve">512000</t>
        </is>
      </c>
      <c r="F107" s="6" t="inlineStr">
        <is>
          <t xml:space="preserve">BQ</t>
        </is>
      </c>
      <c r="G107" s="0" t="inlineStr">
        <is>
          <t xml:space="preserve">BQ00162</t>
        </is>
      </c>
      <c r="H107" s="6" t="inlineStr">
        <is>
          <t xml:space="preserve">401000</t>
        </is>
      </c>
      <c r="I107" s="0" t="inlineStr">
        <is>
          <t xml:space="preserve">Reglement fournisseur Cabinet Comptable Exemple F007-202406</t>
        </is>
      </c>
      <c r="J107" s="0" t="inlineStr">
        <is>
          <t xml:space="preserve">Cabinet Comptable Exemple</t>
        </is>
      </c>
      <c r="K107" s="8">
        <v>-7200</v>
      </c>
      <c r="L107" s="0" t="inlineStr">
        <is>
          <t xml:space="preserve">Fournisseurs et charges externes</t>
        </is>
      </c>
      <c r="M107" s="9"/>
      <c r="N107" s="0">
        <f>IF(M107&lt;&gt;"",M107,L107)</f>
      </c>
      <c r="O107" s="0">
        <f>IFERROR(INDEX(Categories!$B$5:$B$35,MATCH(N107,Categories!$A$5:$A$35,0)),"NA")</f>
      </c>
    </row>
    <row r="108">
      <c r="A108" s="7">
        <v>45483</v>
      </c>
      <c r="B108" s="0" t="inlineStr">
        <is>
          <t xml:space="preserve">2024-S28</t>
        </is>
      </c>
      <c r="C108" s="0" t="inlineStr">
        <is>
          <t xml:space="preserve">2024-07</t>
        </is>
      </c>
      <c r="D108" s="0" t="inlineStr">
        <is>
          <t xml:space="preserve">2024</t>
        </is>
      </c>
      <c r="E108" s="6" t="inlineStr">
        <is>
          <t xml:space="preserve">512000</t>
        </is>
      </c>
      <c r="F108" s="6" t="inlineStr">
        <is>
          <t xml:space="preserve">BQ</t>
        </is>
      </c>
      <c r="G108" s="0" t="inlineStr">
        <is>
          <t xml:space="preserve">BQ00020</t>
        </is>
      </c>
      <c r="H108" s="6" t="inlineStr">
        <is>
          <t xml:space="preserve">164000</t>
        </is>
      </c>
      <c r="I108" s="0" t="inlineStr">
        <is>
          <t xml:space="preserve">Echeance emprunt 07/2024</t>
        </is>
      </c>
      <c r="J108" s="0"/>
      <c r="K108" s="8">
        <v>-2000</v>
      </c>
      <c r="L108" s="0" t="inlineStr">
        <is>
          <t xml:space="preserve">Emprunts - capital</t>
        </is>
      </c>
      <c r="M108" s="9"/>
      <c r="N108" s="0">
        <f>IF(M108&lt;&gt;"",M108,L108)</f>
      </c>
      <c r="O108" s="0">
        <f>IFERROR(INDEX(Categories!$B$5:$B$35,MATCH(N108,Categories!$A$5:$A$35,0)),"NA")</f>
      </c>
    </row>
    <row r="109">
      <c r="A109" s="7">
        <v>45483</v>
      </c>
      <c r="B109" s="0" t="inlineStr">
        <is>
          <t xml:space="preserve">2024-S28</t>
        </is>
      </c>
      <c r="C109" s="0" t="inlineStr">
        <is>
          <t xml:space="preserve">2024-07</t>
        </is>
      </c>
      <c r="D109" s="0" t="inlineStr">
        <is>
          <t xml:space="preserve">2024</t>
        </is>
      </c>
      <c r="E109" s="6" t="inlineStr">
        <is>
          <t xml:space="preserve">512000</t>
        </is>
      </c>
      <c r="F109" s="6" t="inlineStr">
        <is>
          <t xml:space="preserve">BQ</t>
        </is>
      </c>
      <c r="G109" s="0" t="inlineStr">
        <is>
          <t xml:space="preserve">BQ00020</t>
        </is>
      </c>
      <c r="H109" s="6" t="inlineStr">
        <is>
          <t xml:space="preserve">661100</t>
        </is>
      </c>
      <c r="I109" s="0" t="inlineStr">
        <is>
          <t xml:space="preserve">Echeance emprunt 07/2024</t>
        </is>
      </c>
      <c r="J109" s="0"/>
      <c r="K109" s="8">
        <v>-260</v>
      </c>
      <c r="L109" s="0" t="inlineStr">
        <is>
          <t xml:space="preserve">Intérêts et charges financières</t>
        </is>
      </c>
      <c r="M109" s="9"/>
      <c r="N109" s="0">
        <f>IF(M109&lt;&gt;"",M109,L109)</f>
      </c>
      <c r="O109" s="0">
        <f>IFERROR(INDEX(Categories!$B$5:$B$35,MATCH(N109,Categories!$A$5:$A$35,0)),"NA")</f>
      </c>
    </row>
    <row r="110">
      <c r="A110" s="7">
        <v>45484</v>
      </c>
      <c r="B110" s="0" t="inlineStr">
        <is>
          <t xml:space="preserve">2024-S28</t>
        </is>
      </c>
      <c r="C110" s="0" t="inlineStr">
        <is>
          <t xml:space="preserve">2024-07</t>
        </is>
      </c>
      <c r="D110" s="0" t="inlineStr">
        <is>
          <t xml:space="preserve">2024</t>
        </is>
      </c>
      <c r="E110" s="6" t="inlineStr">
        <is>
          <t xml:space="preserve">512000</t>
        </is>
      </c>
      <c r="F110" s="6" t="inlineStr">
        <is>
          <t xml:space="preserve">BQ</t>
        </is>
      </c>
      <c r="G110" s="0" t="inlineStr">
        <is>
          <t xml:space="preserve">BQ00089</t>
        </is>
      </c>
      <c r="H110" s="6" t="inlineStr">
        <is>
          <t xml:space="preserve">411000</t>
        </is>
      </c>
      <c r="I110" s="0" t="inlineStr">
        <is>
          <t xml:space="preserve">Reglement client Cabinet Varenne Associes FA2024-0024</t>
        </is>
      </c>
      <c r="J110" s="0" t="inlineStr">
        <is>
          <t xml:space="preserve">Cabinet Varenne Associes</t>
        </is>
      </c>
      <c r="K110" s="8">
        <v>37253.3</v>
      </c>
      <c r="L110" s="0" t="inlineStr">
        <is>
          <t xml:space="preserve">Clients</t>
        </is>
      </c>
      <c r="M110" s="9"/>
      <c r="N110" s="0">
        <f>IF(M110&lt;&gt;"",M110,L110)</f>
      </c>
      <c r="O110" s="0">
        <f>IFERROR(INDEX(Categories!$B$5:$B$35,MATCH(N110,Categories!$A$5:$A$35,0)),"NA")</f>
      </c>
    </row>
    <row r="111">
      <c r="A111" s="7">
        <v>45488</v>
      </c>
      <c r="B111" s="0" t="inlineStr">
        <is>
          <t xml:space="preserve">2024-S29</t>
        </is>
      </c>
      <c r="C111" s="0" t="inlineStr">
        <is>
          <t xml:space="preserve">2024-07</t>
        </is>
      </c>
      <c r="D111" s="0" t="inlineStr">
        <is>
          <t xml:space="preserve">2024</t>
        </is>
      </c>
      <c r="E111" s="6" t="inlineStr">
        <is>
          <t xml:space="preserve">512000</t>
        </is>
      </c>
      <c r="F111" s="6" t="inlineStr">
        <is>
          <t xml:space="preserve">BQ</t>
        </is>
      </c>
      <c r="G111" s="0" t="inlineStr">
        <is>
          <t xml:space="preserve">BQ00049</t>
        </is>
      </c>
      <c r="H111" s="6" t="inlineStr">
        <is>
          <t xml:space="preserve">431000</t>
        </is>
      </c>
      <c r="I111" s="0" t="inlineStr">
        <is>
          <t xml:space="preserve">Reglement URSSAF 06/2024</t>
        </is>
      </c>
      <c r="J111" s="0"/>
      <c r="K111" s="8">
        <v>-32759.86</v>
      </c>
      <c r="L111" s="0" t="inlineStr">
        <is>
          <t xml:space="preserve">Charges sociales</t>
        </is>
      </c>
      <c r="M111" s="9"/>
      <c r="N111" s="0">
        <f>IF(M111&lt;&gt;"",M111,L111)</f>
      </c>
      <c r="O111" s="0">
        <f>IFERROR(INDEX(Categories!$B$5:$B$35,MATCH(N111,Categories!$A$5:$A$35,0)),"NA")</f>
      </c>
    </row>
    <row r="112">
      <c r="A112" s="7">
        <v>45488</v>
      </c>
      <c r="B112" s="0" t="inlineStr">
        <is>
          <t xml:space="preserve">2024-S29</t>
        </is>
      </c>
      <c r="C112" s="0" t="inlineStr">
        <is>
          <t xml:space="preserve">2024-07</t>
        </is>
      </c>
      <c r="D112" s="0" t="inlineStr">
        <is>
          <t xml:space="preserve">2024</t>
        </is>
      </c>
      <c r="E112" s="6" t="inlineStr">
        <is>
          <t xml:space="preserve">512000</t>
        </is>
      </c>
      <c r="F112" s="6" t="inlineStr">
        <is>
          <t xml:space="preserve">BQ</t>
        </is>
      </c>
      <c r="G112" s="0" t="inlineStr">
        <is>
          <t xml:space="preserve">BQ00095</t>
        </is>
      </c>
      <c r="H112" s="6" t="inlineStr">
        <is>
          <t xml:space="preserve">411000</t>
        </is>
      </c>
      <c r="I112" s="0" t="inlineStr">
        <is>
          <t xml:space="preserve">Reglement client Clinique du Parc FA2024-0030</t>
        </is>
      </c>
      <c r="J112" s="0" t="inlineStr">
        <is>
          <t xml:space="preserve">Clinique du Parc</t>
        </is>
      </c>
      <c r="K112" s="8">
        <v>50966.76</v>
      </c>
      <c r="L112" s="0" t="inlineStr">
        <is>
          <t xml:space="preserve">Clients</t>
        </is>
      </c>
      <c r="M112" s="9"/>
      <c r="N112" s="0">
        <f>IF(M112&lt;&gt;"",M112,L112)</f>
      </c>
      <c r="O112" s="0">
        <f>IFERROR(INDEX(Categories!$B$5:$B$35,MATCH(N112,Categories!$A$5:$A$35,0)),"NA")</f>
      </c>
    </row>
    <row r="113">
      <c r="A113" s="7">
        <v>45489</v>
      </c>
      <c r="B113" s="0" t="inlineStr">
        <is>
          <t xml:space="preserve">2024-S29</t>
        </is>
      </c>
      <c r="C113" s="0" t="inlineStr">
        <is>
          <t xml:space="preserve">2024-07</t>
        </is>
      </c>
      <c r="D113" s="0" t="inlineStr">
        <is>
          <t xml:space="preserve">2024</t>
        </is>
      </c>
      <c r="E113" s="6" t="inlineStr">
        <is>
          <t xml:space="preserve">512000</t>
        </is>
      </c>
      <c r="F113" s="6" t="inlineStr">
        <is>
          <t xml:space="preserve">BQ</t>
        </is>
      </c>
      <c r="G113" s="0" t="inlineStr">
        <is>
          <t xml:space="preserve">BQ00150</t>
        </is>
      </c>
      <c r="H113" s="6" t="inlineStr">
        <is>
          <t xml:space="preserve">401000</t>
        </is>
      </c>
      <c r="I113" s="0" t="inlineStr">
        <is>
          <t xml:space="preserve">Reglement fournisseur Scierie du Nord F001-2024051</t>
        </is>
      </c>
      <c r="J113" s="0" t="inlineStr">
        <is>
          <t xml:space="preserve">Scierie du Nord</t>
        </is>
      </c>
      <c r="K113" s="8">
        <v>-32025.01</v>
      </c>
      <c r="L113" s="0" t="inlineStr">
        <is>
          <t xml:space="preserve">Fournisseurs et charges externes</t>
        </is>
      </c>
      <c r="M113" s="9"/>
      <c r="N113" s="0">
        <f>IF(M113&lt;&gt;"",M113,L113)</f>
      </c>
      <c r="O113" s="0">
        <f>IFERROR(INDEX(Categories!$B$5:$B$35,MATCH(N113,Categories!$A$5:$A$35,0)),"NA")</f>
      </c>
    </row>
    <row r="114">
      <c r="A114" s="7">
        <v>45490</v>
      </c>
      <c r="B114" s="0" t="inlineStr">
        <is>
          <t xml:space="preserve">2024-S29</t>
        </is>
      </c>
      <c r="C114" s="0" t="inlineStr">
        <is>
          <t xml:space="preserve">2024-07</t>
        </is>
      </c>
      <c r="D114" s="0" t="inlineStr">
        <is>
          <t xml:space="preserve">2024</t>
        </is>
      </c>
      <c r="E114" s="6" t="inlineStr">
        <is>
          <t xml:space="preserve">512000</t>
        </is>
      </c>
      <c r="F114" s="6" t="inlineStr">
        <is>
          <t xml:space="preserve">BQ</t>
        </is>
      </c>
      <c r="G114" s="0" t="inlineStr">
        <is>
          <t xml:space="preserve">BQ00151</t>
        </is>
      </c>
      <c r="H114" s="6" t="inlineStr">
        <is>
          <t xml:space="preserve">401000</t>
        </is>
      </c>
      <c r="I114" s="0" t="inlineStr">
        <is>
          <t xml:space="preserve">Reglement fournisseur Vernis et Finitions F003-2024052</t>
        </is>
      </c>
      <c r="J114" s="0" t="inlineStr">
        <is>
          <t xml:space="preserve">Vernis et Finitions</t>
        </is>
      </c>
      <c r="K114" s="8">
        <v>-31492.28</v>
      </c>
      <c r="L114" s="0" t="inlineStr">
        <is>
          <t xml:space="preserve">Fournisseurs et charges externes</t>
        </is>
      </c>
      <c r="M114" s="9"/>
      <c r="N114" s="0">
        <f>IF(M114&lt;&gt;"",M114,L114)</f>
      </c>
      <c r="O114" s="0">
        <f>IFERROR(INDEX(Categories!$B$5:$B$35,MATCH(N114,Categories!$A$5:$A$35,0)),"NA")</f>
      </c>
    </row>
    <row r="115">
      <c r="A115" s="7">
        <v>45492</v>
      </c>
      <c r="B115" s="0" t="inlineStr">
        <is>
          <t xml:space="preserve">2024-S29</t>
        </is>
      </c>
      <c r="C115" s="0" t="inlineStr">
        <is>
          <t xml:space="preserve">2024-07</t>
        </is>
      </c>
      <c r="D115" s="0" t="inlineStr">
        <is>
          <t xml:space="preserve">2024</t>
        </is>
      </c>
      <c r="E115" s="6" t="inlineStr">
        <is>
          <t xml:space="preserve">512000</t>
        </is>
      </c>
      <c r="F115" s="6" t="inlineStr">
        <is>
          <t xml:space="preserve">BQ</t>
        </is>
      </c>
      <c r="G115" s="0" t="inlineStr">
        <is>
          <t xml:space="preserve">BQ00096</t>
        </is>
      </c>
      <c r="H115" s="6" t="inlineStr">
        <is>
          <t xml:space="preserve">411000</t>
        </is>
      </c>
      <c r="I115" s="0" t="inlineStr">
        <is>
          <t xml:space="preserve">Reglement client Cabinet Varenne Associes FA2024-0031</t>
        </is>
      </c>
      <c r="J115" s="0" t="inlineStr">
        <is>
          <t xml:space="preserve">Cabinet Varenne Associes</t>
        </is>
      </c>
      <c r="K115" s="8">
        <v>52316</v>
      </c>
      <c r="L115" s="0" t="inlineStr">
        <is>
          <t xml:space="preserve">Clients</t>
        </is>
      </c>
      <c r="M115" s="9"/>
      <c r="N115" s="0">
        <f>IF(M115&lt;&gt;"",M115,L115)</f>
      </c>
      <c r="O115" s="0">
        <f>IFERROR(INDEX(Categories!$B$5:$B$35,MATCH(N115,Categories!$A$5:$A$35,0)),"NA")</f>
      </c>
    </row>
    <row r="116">
      <c r="A116" s="7">
        <v>45493</v>
      </c>
      <c r="B116" s="0" t="inlineStr">
        <is>
          <t xml:space="preserve">2024-S29</t>
        </is>
      </c>
      <c r="C116" s="0" t="inlineStr">
        <is>
          <t xml:space="preserve">2024-07</t>
        </is>
      </c>
      <c r="D116" s="0" t="inlineStr">
        <is>
          <t xml:space="preserve">2024</t>
        </is>
      </c>
      <c r="E116" s="6" t="inlineStr">
        <is>
          <t xml:space="preserve">512000</t>
        </is>
      </c>
      <c r="F116" s="6" t="inlineStr">
        <is>
          <t xml:space="preserve">BQ</t>
        </is>
      </c>
      <c r="G116" s="0" t="inlineStr">
        <is>
          <t xml:space="preserve">BQ00050</t>
        </is>
      </c>
      <c r="H116" s="6" t="inlineStr">
        <is>
          <t xml:space="preserve">445510</t>
        </is>
      </c>
      <c r="I116" s="0" t="inlineStr">
        <is>
          <t xml:space="preserve">Reglement TVA 06/2024</t>
        </is>
      </c>
      <c r="J116" s="0"/>
      <c r="K116" s="8">
        <v>-17574.51</v>
      </c>
      <c r="L116" s="0" t="inlineStr">
        <is>
          <t xml:space="preserve">TVA</t>
        </is>
      </c>
      <c r="M116" s="9"/>
      <c r="N116" s="0">
        <f>IF(M116&lt;&gt;"",M116,L116)</f>
      </c>
      <c r="O116" s="0">
        <f>IFERROR(INDEX(Categories!$B$5:$B$35,MATCH(N116,Categories!$A$5:$A$35,0)),"NA")</f>
      </c>
    </row>
    <row r="117">
      <c r="A117" s="7">
        <v>45502</v>
      </c>
      <c r="B117" s="0" t="inlineStr">
        <is>
          <t xml:space="preserve">2024-S31</t>
        </is>
      </c>
      <c r="C117" s="0" t="inlineStr">
        <is>
          <t xml:space="preserve">2024-07</t>
        </is>
      </c>
      <c r="D117" s="0" t="inlineStr">
        <is>
          <t xml:space="preserve">2024</t>
        </is>
      </c>
      <c r="E117" s="6" t="inlineStr">
        <is>
          <t xml:space="preserve">512000</t>
        </is>
      </c>
      <c r="F117" s="6" t="inlineStr">
        <is>
          <t xml:space="preserve">BQ</t>
        </is>
      </c>
      <c r="G117" s="0" t="inlineStr">
        <is>
          <t xml:space="preserve">BQ00152</t>
        </is>
      </c>
      <c r="H117" s="6" t="inlineStr">
        <is>
          <t xml:space="preserve">401000</t>
        </is>
      </c>
      <c r="I117" s="0" t="inlineStr">
        <is>
          <t xml:space="preserve">Reglement fournisseur Vernis et Finitions F003-2024053</t>
        </is>
      </c>
      <c r="J117" s="0" t="inlineStr">
        <is>
          <t xml:space="preserve">Vernis et Finitions</t>
        </is>
      </c>
      <c r="K117" s="8">
        <v>-28882.7</v>
      </c>
      <c r="L117" s="0" t="inlineStr">
        <is>
          <t xml:space="preserve">Fournisseurs et charges externes</t>
        </is>
      </c>
      <c r="M117" s="9"/>
      <c r="N117" s="0">
        <f>IF(M117&lt;&gt;"",M117,L117)</f>
      </c>
      <c r="O117" s="0">
        <f>IFERROR(INDEX(Categories!$B$5:$B$35,MATCH(N117,Categories!$A$5:$A$35,0)),"NA")</f>
      </c>
    </row>
    <row r="118">
      <c r="A118" s="7">
        <v>45504</v>
      </c>
      <c r="B118" s="0" t="inlineStr">
        <is>
          <t xml:space="preserve">2024-S31</t>
        </is>
      </c>
      <c r="C118" s="0" t="inlineStr">
        <is>
          <t xml:space="preserve">2024-07</t>
        </is>
      </c>
      <c r="D118" s="0" t="inlineStr">
        <is>
          <t xml:space="preserve">2024</t>
        </is>
      </c>
      <c r="E118" s="6" t="inlineStr">
        <is>
          <t xml:space="preserve">512000</t>
        </is>
      </c>
      <c r="F118" s="6" t="inlineStr">
        <is>
          <t xml:space="preserve">BQ</t>
        </is>
      </c>
      <c r="G118" s="0" t="inlineStr">
        <is>
          <t xml:space="preserve">BQ00019</t>
        </is>
      </c>
      <c r="H118" s="6" t="inlineStr">
        <is>
          <t xml:space="preserve">421000</t>
        </is>
      </c>
      <c r="I118" s="0" t="inlineStr">
        <is>
          <t xml:space="preserve">Virement salaires 07/2024</t>
        </is>
      </c>
      <c r="J118" s="0"/>
      <c r="K118" s="8">
        <v>-41020.88</v>
      </c>
      <c r="L118" s="0" t="inlineStr">
        <is>
          <t xml:space="preserve">Salaires et personnel</t>
        </is>
      </c>
      <c r="M118" s="9"/>
      <c r="N118" s="0">
        <f>IF(M118&lt;&gt;"",M118,L118)</f>
      </c>
      <c r="O118" s="0">
        <f>IFERROR(INDEX(Categories!$B$5:$B$35,MATCH(N118,Categories!$A$5:$A$35,0)),"NA")</f>
      </c>
    </row>
    <row r="119">
      <c r="A119" s="7">
        <v>45504</v>
      </c>
      <c r="B119" s="0" t="inlineStr">
        <is>
          <t xml:space="preserve">2024-S31</t>
        </is>
      </c>
      <c r="C119" s="0" t="inlineStr">
        <is>
          <t xml:space="preserve">2024-07</t>
        </is>
      </c>
      <c r="D119" s="0" t="inlineStr">
        <is>
          <t xml:space="preserve">2024</t>
        </is>
      </c>
      <c r="E119" s="6" t="inlineStr">
        <is>
          <t xml:space="preserve">512000</t>
        </is>
      </c>
      <c r="F119" s="6" t="inlineStr">
        <is>
          <t xml:space="preserve">BQ</t>
        </is>
      </c>
      <c r="G119" s="0" t="inlineStr">
        <is>
          <t xml:space="preserve">BQ00021</t>
        </is>
      </c>
      <c r="H119" s="6" t="inlineStr">
        <is>
          <t xml:space="preserve">627000</t>
        </is>
      </c>
      <c r="I119" s="0" t="inlineStr">
        <is>
          <t xml:space="preserve">Frais bancaires 07/2024</t>
        </is>
      </c>
      <c r="J119" s="0"/>
      <c r="K119" s="8">
        <v>-85</v>
      </c>
      <c r="L119" s="0" t="inlineStr">
        <is>
          <t xml:space="preserve">Frais bancaires</t>
        </is>
      </c>
      <c r="M119" s="9"/>
      <c r="N119" s="0">
        <f>IF(M119&lt;&gt;"",M119,L119)</f>
      </c>
      <c r="O119" s="0">
        <f>IFERROR(INDEX(Categories!$B$5:$B$35,MATCH(N119,Categories!$A$5:$A$35,0)),"NA")</f>
      </c>
    </row>
    <row r="120">
      <c r="A120" s="7">
        <v>45509</v>
      </c>
      <c r="B120" s="0" t="inlineStr">
        <is>
          <t xml:space="preserve">2024-S32</t>
        </is>
      </c>
      <c r="C120" s="0" t="inlineStr">
        <is>
          <t xml:space="preserve">2024-08</t>
        </is>
      </c>
      <c r="D120" s="0" t="inlineStr">
        <is>
          <t xml:space="preserve">2024</t>
        </is>
      </c>
      <c r="E120" s="6" t="inlineStr">
        <is>
          <t xml:space="preserve">512000</t>
        </is>
      </c>
      <c r="F120" s="6" t="inlineStr">
        <is>
          <t xml:space="preserve">BQ</t>
        </is>
      </c>
      <c r="G120" s="0" t="inlineStr">
        <is>
          <t xml:space="preserve">BQ00098</t>
        </is>
      </c>
      <c r="H120" s="6" t="inlineStr">
        <is>
          <t xml:space="preserve">411000</t>
        </is>
      </c>
      <c r="I120" s="0" t="inlineStr">
        <is>
          <t xml:space="preserve">Reglement client Coworking Atelier 9 FA2024-0033</t>
        </is>
      </c>
      <c r="J120" s="0" t="inlineStr">
        <is>
          <t xml:space="preserve">Coworking Atelier 9</t>
        </is>
      </c>
      <c r="K120" s="8">
        <v>56983.06</v>
      </c>
      <c r="L120" s="0" t="inlineStr">
        <is>
          <t xml:space="preserve">Clients</t>
        </is>
      </c>
      <c r="M120" s="9"/>
      <c r="N120" s="0">
        <f>IF(M120&lt;&gt;"",M120,L120)</f>
      </c>
      <c r="O120" s="0">
        <f>IFERROR(INDEX(Categories!$B$5:$B$35,MATCH(N120,Categories!$A$5:$A$35,0)),"NA")</f>
      </c>
    </row>
    <row r="121">
      <c r="A121" s="7">
        <v>45509</v>
      </c>
      <c r="B121" s="0" t="inlineStr">
        <is>
          <t xml:space="preserve">2024-S32</t>
        </is>
      </c>
      <c r="C121" s="0" t="inlineStr">
        <is>
          <t xml:space="preserve">2024-08</t>
        </is>
      </c>
      <c r="D121" s="0" t="inlineStr">
        <is>
          <t xml:space="preserve">2024</t>
        </is>
      </c>
      <c r="E121" s="6" t="inlineStr">
        <is>
          <t xml:space="preserve">512000</t>
        </is>
      </c>
      <c r="F121" s="6" t="inlineStr">
        <is>
          <t xml:space="preserve">BQ</t>
        </is>
      </c>
      <c r="G121" s="0" t="inlineStr">
        <is>
          <t xml:space="preserve">BQ00165</t>
        </is>
      </c>
      <c r="H121" s="6" t="inlineStr">
        <is>
          <t xml:space="preserve">401000</t>
        </is>
      </c>
      <c r="I121" s="0" t="inlineStr">
        <is>
          <t xml:space="preserve">Reglement fournisseur SCI Les Halles F004-202407</t>
        </is>
      </c>
      <c r="J121" s="0" t="inlineStr">
        <is>
          <t xml:space="preserve">SCI Les Halles</t>
        </is>
      </c>
      <c r="K121" s="8">
        <v>-10200</v>
      </c>
      <c r="L121" s="0" t="inlineStr">
        <is>
          <t xml:space="preserve">Fournisseurs et charges externes</t>
        </is>
      </c>
      <c r="M121" s="9"/>
      <c r="N121" s="0">
        <f>IF(M121&lt;&gt;"",M121,L121)</f>
      </c>
      <c r="O121" s="0">
        <f>IFERROR(INDEX(Categories!$B$5:$B$35,MATCH(N121,Categories!$A$5:$A$35,0)),"NA")</f>
      </c>
    </row>
    <row r="122">
      <c r="A122" s="7">
        <v>45509</v>
      </c>
      <c r="B122" s="0" t="inlineStr">
        <is>
          <t xml:space="preserve">2024-S32</t>
        </is>
      </c>
      <c r="C122" s="0" t="inlineStr">
        <is>
          <t xml:space="preserve">2024-08</t>
        </is>
      </c>
      <c r="D122" s="0" t="inlineStr">
        <is>
          <t xml:space="preserve">2024</t>
        </is>
      </c>
      <c r="E122" s="6" t="inlineStr">
        <is>
          <t xml:space="preserve">512000</t>
        </is>
      </c>
      <c r="F122" s="6" t="inlineStr">
        <is>
          <t xml:space="preserve">BQ</t>
        </is>
      </c>
      <c r="G122" s="0" t="inlineStr">
        <is>
          <t xml:space="preserve">BQ00166</t>
        </is>
      </c>
      <c r="H122" s="6" t="inlineStr">
        <is>
          <t xml:space="preserve">401000</t>
        </is>
      </c>
      <c r="I122" s="0" t="inlineStr">
        <is>
          <t xml:space="preserve">Reglement fournisseur Energie Plus F005-202407</t>
        </is>
      </c>
      <c r="J122" s="0" t="inlineStr">
        <is>
          <t xml:space="preserve">Energie Plus</t>
        </is>
      </c>
      <c r="K122" s="8">
        <v>-3309.62</v>
      </c>
      <c r="L122" s="0" t="inlineStr">
        <is>
          <t xml:space="preserve">Fournisseurs et charges externes</t>
        </is>
      </c>
      <c r="M122" s="9"/>
      <c r="N122" s="0">
        <f>IF(M122&lt;&gt;"",M122,L122)</f>
      </c>
      <c r="O122" s="0">
        <f>IFERROR(INDEX(Categories!$B$5:$B$35,MATCH(N122,Categories!$A$5:$A$35,0)),"NA")</f>
      </c>
    </row>
    <row r="123">
      <c r="A123" s="7">
        <v>45509</v>
      </c>
      <c r="B123" s="0" t="inlineStr">
        <is>
          <t xml:space="preserve">2024-S32</t>
        </is>
      </c>
      <c r="C123" s="0" t="inlineStr">
        <is>
          <t xml:space="preserve">2024-08</t>
        </is>
      </c>
      <c r="D123" s="0" t="inlineStr">
        <is>
          <t xml:space="preserve">2024</t>
        </is>
      </c>
      <c r="E123" s="6" t="inlineStr">
        <is>
          <t xml:space="preserve">512000</t>
        </is>
      </c>
      <c r="F123" s="6" t="inlineStr">
        <is>
          <t xml:space="preserve">BQ</t>
        </is>
      </c>
      <c r="G123" s="0" t="inlineStr">
        <is>
          <t xml:space="preserve">BQ00167</t>
        </is>
      </c>
      <c r="H123" s="6" t="inlineStr">
        <is>
          <t xml:space="preserve">401000</t>
        </is>
      </c>
      <c r="I123" s="0" t="inlineStr">
        <is>
          <t xml:space="preserve">Reglement fournisseur Telecom Pro F008-202407</t>
        </is>
      </c>
      <c r="J123" s="0" t="inlineStr">
        <is>
          <t xml:space="preserve">Telecom Pro</t>
        </is>
      </c>
      <c r="K123" s="8">
        <v>-576</v>
      </c>
      <c r="L123" s="0" t="inlineStr">
        <is>
          <t xml:space="preserve">Fournisseurs et charges externes</t>
        </is>
      </c>
      <c r="M123" s="9"/>
      <c r="N123" s="0">
        <f>IF(M123&lt;&gt;"",M123,L123)</f>
      </c>
      <c r="O123" s="0">
        <f>IFERROR(INDEX(Categories!$B$5:$B$35,MATCH(N123,Categories!$A$5:$A$35,0)),"NA")</f>
      </c>
    </row>
    <row r="124">
      <c r="A124" s="7">
        <v>45509</v>
      </c>
      <c r="B124" s="0" t="inlineStr">
        <is>
          <t xml:space="preserve">2024-S32</t>
        </is>
      </c>
      <c r="C124" s="0" t="inlineStr">
        <is>
          <t xml:space="preserve">2024-08</t>
        </is>
      </c>
      <c r="D124" s="0" t="inlineStr">
        <is>
          <t xml:space="preserve">2024</t>
        </is>
      </c>
      <c r="E124" s="6" t="inlineStr">
        <is>
          <t xml:space="preserve">512000</t>
        </is>
      </c>
      <c r="F124" s="6" t="inlineStr">
        <is>
          <t xml:space="preserve">BQ</t>
        </is>
      </c>
      <c r="G124" s="0" t="inlineStr">
        <is>
          <t xml:space="preserve">BQ00168</t>
        </is>
      </c>
      <c r="H124" s="6" t="inlineStr">
        <is>
          <t xml:space="preserve">401000</t>
        </is>
      </c>
      <c r="I124" s="0" t="inlineStr">
        <is>
          <t xml:space="preserve">Reglement fournisseur Assurances Mutuelles Exemple F006-202407</t>
        </is>
      </c>
      <c r="J124" s="0" t="inlineStr">
        <is>
          <t xml:space="preserve">Assurances Mutuelles Exemple</t>
        </is>
      </c>
      <c r="K124" s="8">
        <v>-3000</v>
      </c>
      <c r="L124" s="0" t="inlineStr">
        <is>
          <t xml:space="preserve">Fournisseurs et charges externes</t>
        </is>
      </c>
      <c r="M124" s="9"/>
      <c r="N124" s="0">
        <f>IF(M124&lt;&gt;"",M124,L124)</f>
      </c>
      <c r="O124" s="0">
        <f>IFERROR(INDEX(Categories!$B$5:$B$35,MATCH(N124,Categories!$A$5:$A$35,0)),"NA")</f>
      </c>
    </row>
    <row r="125">
      <c r="A125" s="7">
        <v>45510</v>
      </c>
      <c r="B125" s="0" t="inlineStr">
        <is>
          <t xml:space="preserve">2024-S32</t>
        </is>
      </c>
      <c r="C125" s="0" t="inlineStr">
        <is>
          <t xml:space="preserve">2024-08</t>
        </is>
      </c>
      <c r="D125" s="0" t="inlineStr">
        <is>
          <t xml:space="preserve">2024</t>
        </is>
      </c>
      <c r="E125" s="6" t="inlineStr">
        <is>
          <t xml:space="preserve">512000</t>
        </is>
      </c>
      <c r="F125" s="6" t="inlineStr">
        <is>
          <t xml:space="preserve">BQ</t>
        </is>
      </c>
      <c r="G125" s="0" t="inlineStr">
        <is>
          <t xml:space="preserve">BQ00097</t>
        </is>
      </c>
      <c r="H125" s="6" t="inlineStr">
        <is>
          <t xml:space="preserve">411000</t>
        </is>
      </c>
      <c r="I125" s="0" t="inlineStr">
        <is>
          <t xml:space="preserve">Reglement client Residence Bel Air FA2024-0032</t>
        </is>
      </c>
      <c r="J125" s="0" t="inlineStr">
        <is>
          <t xml:space="preserve">Residence Bel Air</t>
        </is>
      </c>
      <c r="K125" s="8">
        <v>29596.54</v>
      </c>
      <c r="L125" s="0" t="inlineStr">
        <is>
          <t xml:space="preserve">Clients</t>
        </is>
      </c>
      <c r="M125" s="9"/>
      <c r="N125" s="0">
        <f>IF(M125&lt;&gt;"",M125,L125)</f>
      </c>
      <c r="O125" s="0">
        <f>IFERROR(INDEX(Categories!$B$5:$B$35,MATCH(N125,Categories!$A$5:$A$35,0)),"NA")</f>
      </c>
    </row>
    <row r="126">
      <c r="A126" s="7">
        <v>45511</v>
      </c>
      <c r="B126" s="0" t="inlineStr">
        <is>
          <t xml:space="preserve">2024-S32</t>
        </is>
      </c>
      <c r="C126" s="0" t="inlineStr">
        <is>
          <t xml:space="preserve">2024-08</t>
        </is>
      </c>
      <c r="D126" s="0" t="inlineStr">
        <is>
          <t xml:space="preserve">2024</t>
        </is>
      </c>
      <c r="E126" s="6" t="inlineStr">
        <is>
          <t xml:space="preserve">512000</t>
        </is>
      </c>
      <c r="F126" s="6" t="inlineStr">
        <is>
          <t xml:space="preserve">BQ</t>
        </is>
      </c>
      <c r="G126" s="0" t="inlineStr">
        <is>
          <t xml:space="preserve">BQ00158</t>
        </is>
      </c>
      <c r="H126" s="6" t="inlineStr">
        <is>
          <t xml:space="preserve">401000</t>
        </is>
      </c>
      <c r="I126" s="0" t="inlineStr">
        <is>
          <t xml:space="preserve">Reglement fournisseur Scierie du Nord F001-2024063</t>
        </is>
      </c>
      <c r="J126" s="0" t="inlineStr">
        <is>
          <t xml:space="preserve">Scierie du Nord</t>
        </is>
      </c>
      <c r="K126" s="8">
        <v>-34996.54</v>
      </c>
      <c r="L126" s="0" t="inlineStr">
        <is>
          <t xml:space="preserve">Fournisseurs et charges externes</t>
        </is>
      </c>
      <c r="M126" s="9"/>
      <c r="N126" s="0">
        <f>IF(M126&lt;&gt;"",M126,L126)</f>
      </c>
      <c r="O126" s="0">
        <f>IFERROR(INDEX(Categories!$B$5:$B$35,MATCH(N126,Categories!$A$5:$A$35,0)),"NA")</f>
      </c>
    </row>
    <row r="127">
      <c r="A127" s="7">
        <v>45512</v>
      </c>
      <c r="B127" s="0" t="inlineStr">
        <is>
          <t xml:space="preserve">2024-S32</t>
        </is>
      </c>
      <c r="C127" s="0" t="inlineStr">
        <is>
          <t xml:space="preserve">2024-08</t>
        </is>
      </c>
      <c r="D127" s="0" t="inlineStr">
        <is>
          <t xml:space="preserve">2024</t>
        </is>
      </c>
      <c r="E127" s="6" t="inlineStr">
        <is>
          <t xml:space="preserve">512000</t>
        </is>
      </c>
      <c r="F127" s="6" t="inlineStr">
        <is>
          <t xml:space="preserve">BQ</t>
        </is>
      </c>
      <c r="G127" s="0" t="inlineStr">
        <is>
          <t xml:space="preserve">BQ00157</t>
        </is>
      </c>
      <c r="H127" s="6" t="inlineStr">
        <is>
          <t xml:space="preserve">401000</t>
        </is>
      </c>
      <c r="I127" s="0" t="inlineStr">
        <is>
          <t xml:space="preserve">Reglement fournisseur Scierie du Nord F001-2024062</t>
        </is>
      </c>
      <c r="J127" s="0" t="inlineStr">
        <is>
          <t xml:space="preserve">Scierie du Nord</t>
        </is>
      </c>
      <c r="K127" s="8">
        <v>-27677.94</v>
      </c>
      <c r="L127" s="0" t="inlineStr">
        <is>
          <t xml:space="preserve">Fournisseurs et charges externes</t>
        </is>
      </c>
      <c r="M127" s="9"/>
      <c r="N127" s="0">
        <f>IF(M127&lt;&gt;"",M127,L127)</f>
      </c>
      <c r="O127" s="0">
        <f>IFERROR(INDEX(Categories!$B$5:$B$35,MATCH(N127,Categories!$A$5:$A$35,0)),"NA")</f>
      </c>
    </row>
    <row r="128">
      <c r="A128" s="7">
        <v>45514</v>
      </c>
      <c r="B128" s="0" t="inlineStr">
        <is>
          <t xml:space="preserve">2024-S32</t>
        </is>
      </c>
      <c r="C128" s="0" t="inlineStr">
        <is>
          <t xml:space="preserve">2024-08</t>
        </is>
      </c>
      <c r="D128" s="0" t="inlineStr">
        <is>
          <t xml:space="preserve">2024</t>
        </is>
      </c>
      <c r="E128" s="6" t="inlineStr">
        <is>
          <t xml:space="preserve">512000</t>
        </is>
      </c>
      <c r="F128" s="6" t="inlineStr">
        <is>
          <t xml:space="preserve">BQ</t>
        </is>
      </c>
      <c r="G128" s="0" t="inlineStr">
        <is>
          <t xml:space="preserve">BQ00023</t>
        </is>
      </c>
      <c r="H128" s="6" t="inlineStr">
        <is>
          <t xml:space="preserve">164000</t>
        </is>
      </c>
      <c r="I128" s="0" t="inlineStr">
        <is>
          <t xml:space="preserve">Echeance emprunt 08/2024</t>
        </is>
      </c>
      <c r="J128" s="0"/>
      <c r="K128" s="8">
        <v>-2000</v>
      </c>
      <c r="L128" s="0" t="inlineStr">
        <is>
          <t xml:space="preserve">Emprunts - capital</t>
        </is>
      </c>
      <c r="M128" s="9"/>
      <c r="N128" s="0">
        <f>IF(M128&lt;&gt;"",M128,L128)</f>
      </c>
      <c r="O128" s="0">
        <f>IFERROR(INDEX(Categories!$B$5:$B$35,MATCH(N128,Categories!$A$5:$A$35,0)),"NA")</f>
      </c>
    </row>
    <row r="129">
      <c r="A129" s="7">
        <v>45514</v>
      </c>
      <c r="B129" s="0" t="inlineStr">
        <is>
          <t xml:space="preserve">2024-S32</t>
        </is>
      </c>
      <c r="C129" s="0" t="inlineStr">
        <is>
          <t xml:space="preserve">2024-08</t>
        </is>
      </c>
      <c r="D129" s="0" t="inlineStr">
        <is>
          <t xml:space="preserve">2024</t>
        </is>
      </c>
      <c r="E129" s="6" t="inlineStr">
        <is>
          <t xml:space="preserve">512000</t>
        </is>
      </c>
      <c r="F129" s="6" t="inlineStr">
        <is>
          <t xml:space="preserve">BQ</t>
        </is>
      </c>
      <c r="G129" s="0" t="inlineStr">
        <is>
          <t xml:space="preserve">BQ00023</t>
        </is>
      </c>
      <c r="H129" s="6" t="inlineStr">
        <is>
          <t xml:space="preserve">661100</t>
        </is>
      </c>
      <c r="I129" s="0" t="inlineStr">
        <is>
          <t xml:space="preserve">Echeance emprunt 08/2024</t>
        </is>
      </c>
      <c r="J129" s="0"/>
      <c r="K129" s="8">
        <v>-253.33</v>
      </c>
      <c r="L129" s="0" t="inlineStr">
        <is>
          <t xml:space="preserve">Intérêts et charges financières</t>
        </is>
      </c>
      <c r="M129" s="9"/>
      <c r="N129" s="0">
        <f>IF(M129&lt;&gt;"",M129,L129)</f>
      </c>
      <c r="O129" s="0">
        <f>IFERROR(INDEX(Categories!$B$5:$B$35,MATCH(N129,Categories!$A$5:$A$35,0)),"NA")</f>
      </c>
    </row>
    <row r="130">
      <c r="A130" s="7">
        <v>45516</v>
      </c>
      <c r="B130" s="0" t="inlineStr">
        <is>
          <t xml:space="preserve">2024-S33</t>
        </is>
      </c>
      <c r="C130" s="0" t="inlineStr">
        <is>
          <t xml:space="preserve">2024-08</t>
        </is>
      </c>
      <c r="D130" s="0" t="inlineStr">
        <is>
          <t xml:space="preserve">2024</t>
        </is>
      </c>
      <c r="E130" s="6" t="inlineStr">
        <is>
          <t xml:space="preserve">512000</t>
        </is>
      </c>
      <c r="F130" s="6" t="inlineStr">
        <is>
          <t xml:space="preserve">BQ</t>
        </is>
      </c>
      <c r="G130" s="0" t="inlineStr">
        <is>
          <t xml:space="preserve">BQ00156</t>
        </is>
      </c>
      <c r="H130" s="6" t="inlineStr">
        <is>
          <t xml:space="preserve">401000</t>
        </is>
      </c>
      <c r="I130" s="0" t="inlineStr">
        <is>
          <t xml:space="preserve">Reglement fournisseur Vernis et Finitions F003-2024061</t>
        </is>
      </c>
      <c r="J130" s="0" t="inlineStr">
        <is>
          <t xml:space="preserve">Vernis et Finitions</t>
        </is>
      </c>
      <c r="K130" s="8">
        <v>-29725.51</v>
      </c>
      <c r="L130" s="0" t="inlineStr">
        <is>
          <t xml:space="preserve">Fournisseurs et charges externes</t>
        </is>
      </c>
      <c r="M130" s="9"/>
      <c r="N130" s="0">
        <f>IF(M130&lt;&gt;"",M130,L130)</f>
      </c>
      <c r="O130" s="0">
        <f>IFERROR(INDEX(Categories!$B$5:$B$35,MATCH(N130,Categories!$A$5:$A$35,0)),"NA")</f>
      </c>
    </row>
    <row r="131">
      <c r="A131" s="7">
        <v>45519</v>
      </c>
      <c r="B131" s="0" t="inlineStr">
        <is>
          <t xml:space="preserve">2024-S33</t>
        </is>
      </c>
      <c r="C131" s="0" t="inlineStr">
        <is>
          <t xml:space="preserve">2024-08</t>
        </is>
      </c>
      <c r="D131" s="0" t="inlineStr">
        <is>
          <t xml:space="preserve">2024</t>
        </is>
      </c>
      <c r="E131" s="6" t="inlineStr">
        <is>
          <t xml:space="preserve">512000</t>
        </is>
      </c>
      <c r="F131" s="6" t="inlineStr">
        <is>
          <t xml:space="preserve">BQ</t>
        </is>
      </c>
      <c r="G131" s="0" t="inlineStr">
        <is>
          <t xml:space="preserve">BQ00051</t>
        </is>
      </c>
      <c r="H131" s="6" t="inlineStr">
        <is>
          <t xml:space="preserve">431000</t>
        </is>
      </c>
      <c r="I131" s="0" t="inlineStr">
        <is>
          <t xml:space="preserve">Reglement URSSAF 07/2024</t>
        </is>
      </c>
      <c r="J131" s="0"/>
      <c r="K131" s="8">
        <v>-33658.16</v>
      </c>
      <c r="L131" s="0" t="inlineStr">
        <is>
          <t xml:space="preserve">Charges sociales</t>
        </is>
      </c>
      <c r="M131" s="9"/>
      <c r="N131" s="0">
        <f>IF(M131&lt;&gt;"",M131,L131)</f>
      </c>
      <c r="O131" s="0">
        <f>IFERROR(INDEX(Categories!$B$5:$B$35,MATCH(N131,Categories!$A$5:$A$35,0)),"NA")</f>
      </c>
    </row>
    <row r="132">
      <c r="A132" s="7">
        <v>45520</v>
      </c>
      <c r="B132" s="0" t="inlineStr">
        <is>
          <t xml:space="preserve">2024-S33</t>
        </is>
      </c>
      <c r="C132" s="0" t="inlineStr">
        <is>
          <t xml:space="preserve">2024-08</t>
        </is>
      </c>
      <c r="D132" s="0" t="inlineStr">
        <is>
          <t xml:space="preserve">2024</t>
        </is>
      </c>
      <c r="E132" s="6" t="inlineStr">
        <is>
          <t xml:space="preserve">512000</t>
        </is>
      </c>
      <c r="F132" s="6" t="inlineStr">
        <is>
          <t xml:space="preserve">BQ</t>
        </is>
      </c>
      <c r="G132" s="0" t="inlineStr">
        <is>
          <t xml:space="preserve">BQ00101</t>
        </is>
      </c>
      <c r="H132" s="6" t="inlineStr">
        <is>
          <t xml:space="preserve">411000</t>
        </is>
      </c>
      <c r="I132" s="0" t="inlineStr">
        <is>
          <t xml:space="preserve">Reglement client Agence Mobilis FA2024-0036</t>
        </is>
      </c>
      <c r="J132" s="0" t="inlineStr">
        <is>
          <t xml:space="preserve">Agence Mobilis</t>
        </is>
      </c>
      <c r="K132" s="8">
        <v>51312.44</v>
      </c>
      <c r="L132" s="0" t="inlineStr">
        <is>
          <t xml:space="preserve">Clients</t>
        </is>
      </c>
      <c r="M132" s="9"/>
      <c r="N132" s="0">
        <f>IF(M132&lt;&gt;"",M132,L132)</f>
      </c>
      <c r="O132" s="0">
        <f>IFERROR(INDEX(Categories!$B$5:$B$35,MATCH(N132,Categories!$A$5:$A$35,0)),"NA")</f>
      </c>
    </row>
    <row r="133">
      <c r="A133" s="7">
        <v>45524</v>
      </c>
      <c r="B133" s="0" t="inlineStr">
        <is>
          <t xml:space="preserve">2024-S34</t>
        </is>
      </c>
      <c r="C133" s="0" t="inlineStr">
        <is>
          <t xml:space="preserve">2024-08</t>
        </is>
      </c>
      <c r="D133" s="0" t="inlineStr">
        <is>
          <t xml:space="preserve">2024</t>
        </is>
      </c>
      <c r="E133" s="6" t="inlineStr">
        <is>
          <t xml:space="preserve">512000</t>
        </is>
      </c>
      <c r="F133" s="6" t="inlineStr">
        <is>
          <t xml:space="preserve">BQ</t>
        </is>
      </c>
      <c r="G133" s="0" t="inlineStr">
        <is>
          <t xml:space="preserve">BQ00052</t>
        </is>
      </c>
      <c r="H133" s="6" t="inlineStr">
        <is>
          <t xml:space="preserve">445510</t>
        </is>
      </c>
      <c r="I133" s="0" t="inlineStr">
        <is>
          <t xml:space="preserve">Reglement TVA 07/2024</t>
        </is>
      </c>
      <c r="J133" s="0"/>
      <c r="K133" s="8">
        <v>-16019.06</v>
      </c>
      <c r="L133" s="0" t="inlineStr">
        <is>
          <t xml:space="preserve">TVA</t>
        </is>
      </c>
      <c r="M133" s="9"/>
      <c r="N133" s="0">
        <f>IF(M133&lt;&gt;"",M133,L133)</f>
      </c>
      <c r="O133" s="0">
        <f>IFERROR(INDEX(Categories!$B$5:$B$35,MATCH(N133,Categories!$A$5:$A$35,0)),"NA")</f>
      </c>
    </row>
    <row r="134">
      <c r="A134" s="7">
        <v>45525</v>
      </c>
      <c r="B134" s="0" t="inlineStr">
        <is>
          <t xml:space="preserve">2024-S34</t>
        </is>
      </c>
      <c r="C134" s="0" t="inlineStr">
        <is>
          <t xml:space="preserve">2024-08</t>
        </is>
      </c>
      <c r="D134" s="0" t="inlineStr">
        <is>
          <t xml:space="preserve">2024</t>
        </is>
      </c>
      <c r="E134" s="6" t="inlineStr">
        <is>
          <t xml:space="preserve">512000</t>
        </is>
      </c>
      <c r="F134" s="6" t="inlineStr">
        <is>
          <t xml:space="preserve">BQ</t>
        </is>
      </c>
      <c r="G134" s="0" t="inlineStr">
        <is>
          <t xml:space="preserve">BQ00102</t>
        </is>
      </c>
      <c r="H134" s="6" t="inlineStr">
        <is>
          <t xml:space="preserve">411000</t>
        </is>
      </c>
      <c r="I134" s="0" t="inlineStr">
        <is>
          <t xml:space="preserve">Reglement client Hotel Les Tilleuls FA2024-0037</t>
        </is>
      </c>
      <c r="J134" s="0" t="inlineStr">
        <is>
          <t xml:space="preserve">Hotel Les Tilleuls</t>
        </is>
      </c>
      <c r="K134" s="8">
        <v>45036.26</v>
      </c>
      <c r="L134" s="0" t="inlineStr">
        <is>
          <t xml:space="preserve">Clients</t>
        </is>
      </c>
      <c r="M134" s="9"/>
      <c r="N134" s="0">
        <f>IF(M134&lt;&gt;"",M134,L134)</f>
      </c>
      <c r="O134" s="0">
        <f>IFERROR(INDEX(Categories!$B$5:$B$35,MATCH(N134,Categories!$A$5:$A$35,0)),"NA")</f>
      </c>
    </row>
    <row r="135">
      <c r="A135" s="7">
        <v>45530</v>
      </c>
      <c r="B135" s="0" t="inlineStr">
        <is>
          <t xml:space="preserve">2024-S35</t>
        </is>
      </c>
      <c r="C135" s="0" t="inlineStr">
        <is>
          <t xml:space="preserve">2024-08</t>
        </is>
      </c>
      <c r="D135" s="0" t="inlineStr">
        <is>
          <t xml:space="preserve">2024</t>
        </is>
      </c>
      <c r="E135" s="6" t="inlineStr">
        <is>
          <t xml:space="preserve">512000</t>
        </is>
      </c>
      <c r="F135" s="6" t="inlineStr">
        <is>
          <t xml:space="preserve">BQ</t>
        </is>
      </c>
      <c r="G135" s="0" t="inlineStr">
        <is>
          <t xml:space="preserve">BQ00099</t>
        </is>
      </c>
      <c r="H135" s="6" t="inlineStr">
        <is>
          <t xml:space="preserve">411000</t>
        </is>
      </c>
      <c r="I135" s="0" t="inlineStr">
        <is>
          <t xml:space="preserve">Reglement client Cabinet Varenne Associes FA2024-0034</t>
        </is>
      </c>
      <c r="J135" s="0" t="inlineStr">
        <is>
          <t xml:space="preserve">Cabinet Varenne Associes</t>
        </is>
      </c>
      <c r="K135" s="8">
        <v>41168.34</v>
      </c>
      <c r="L135" s="0" t="inlineStr">
        <is>
          <t xml:space="preserve">Clients</t>
        </is>
      </c>
      <c r="M135" s="9"/>
      <c r="N135" s="0">
        <f>IF(M135&lt;&gt;"",M135,L135)</f>
      </c>
      <c r="O135" s="0">
        <f>IFERROR(INDEX(Categories!$B$5:$B$35,MATCH(N135,Categories!$A$5:$A$35,0)),"NA")</f>
      </c>
    </row>
    <row r="136">
      <c r="A136" s="7">
        <v>45531</v>
      </c>
      <c r="B136" s="0" t="inlineStr">
        <is>
          <t xml:space="preserve">2024-S35</t>
        </is>
      </c>
      <c r="C136" s="0" t="inlineStr">
        <is>
          <t xml:space="preserve">2024-08</t>
        </is>
      </c>
      <c r="D136" s="0" t="inlineStr">
        <is>
          <t xml:space="preserve">2024</t>
        </is>
      </c>
      <c r="E136" s="6" t="inlineStr">
        <is>
          <t xml:space="preserve">512000</t>
        </is>
      </c>
      <c r="F136" s="6" t="inlineStr">
        <is>
          <t xml:space="preserve">BQ</t>
        </is>
      </c>
      <c r="G136" s="0" t="inlineStr">
        <is>
          <t xml:space="preserve">BQ00164</t>
        </is>
      </c>
      <c r="H136" s="6" t="inlineStr">
        <is>
          <t xml:space="preserve">401000</t>
        </is>
      </c>
      <c r="I136" s="0" t="inlineStr">
        <is>
          <t xml:space="preserve">Reglement fournisseur Scierie du Nord F001-2024072</t>
        </is>
      </c>
      <c r="J136" s="0" t="inlineStr">
        <is>
          <t xml:space="preserve">Scierie du Nord</t>
        </is>
      </c>
      <c r="K136" s="8">
        <v>-44168.03</v>
      </c>
      <c r="L136" s="0" t="inlineStr">
        <is>
          <t xml:space="preserve">Fournisseurs et charges externes</t>
        </is>
      </c>
      <c r="M136" s="9"/>
      <c r="N136" s="0">
        <f>IF(M136&lt;&gt;"",M136,L136)</f>
      </c>
      <c r="O136" s="0">
        <f>IFERROR(INDEX(Categories!$B$5:$B$35,MATCH(N136,Categories!$A$5:$A$35,0)),"NA")</f>
      </c>
    </row>
    <row r="137">
      <c r="A137" s="7">
        <v>45532</v>
      </c>
      <c r="B137" s="0" t="inlineStr">
        <is>
          <t xml:space="preserve">2024-S35</t>
        </is>
      </c>
      <c r="C137" s="0" t="inlineStr">
        <is>
          <t xml:space="preserve">2024-08</t>
        </is>
      </c>
      <c r="D137" s="0" t="inlineStr">
        <is>
          <t xml:space="preserve">2024</t>
        </is>
      </c>
      <c r="E137" s="6" t="inlineStr">
        <is>
          <t xml:space="preserve">512000</t>
        </is>
      </c>
      <c r="F137" s="6" t="inlineStr">
        <is>
          <t xml:space="preserve">BQ</t>
        </is>
      </c>
      <c r="G137" s="0" t="inlineStr">
        <is>
          <t xml:space="preserve">BQ00105</t>
        </is>
      </c>
      <c r="H137" s="6" t="inlineStr">
        <is>
          <t xml:space="preserve">411000</t>
        </is>
      </c>
      <c r="I137" s="0" t="inlineStr">
        <is>
          <t xml:space="preserve">Reglement client Hotel Les Tilleuls FA2024-0040</t>
        </is>
      </c>
      <c r="J137" s="0" t="inlineStr">
        <is>
          <t xml:space="preserve">Hotel Les Tilleuls</t>
        </is>
      </c>
      <c r="K137" s="8">
        <v>30006.28</v>
      </c>
      <c r="L137" s="0" t="inlineStr">
        <is>
          <t xml:space="preserve">Clients</t>
        </is>
      </c>
      <c r="M137" s="9"/>
      <c r="N137" s="0">
        <f>IF(M137&lt;&gt;"",M137,L137)</f>
      </c>
      <c r="O137" s="0">
        <f>IFERROR(INDEX(Categories!$B$5:$B$35,MATCH(N137,Categories!$A$5:$A$35,0)),"NA")</f>
      </c>
    </row>
    <row r="138">
      <c r="A138" s="7">
        <v>45535</v>
      </c>
      <c r="B138" s="0" t="inlineStr">
        <is>
          <t xml:space="preserve">2024-S35</t>
        </is>
      </c>
      <c r="C138" s="0" t="inlineStr">
        <is>
          <t xml:space="preserve">2024-08</t>
        </is>
      </c>
      <c r="D138" s="0" t="inlineStr">
        <is>
          <t xml:space="preserve">2024</t>
        </is>
      </c>
      <c r="E138" s="6" t="inlineStr">
        <is>
          <t xml:space="preserve">512000</t>
        </is>
      </c>
      <c r="F138" s="6" t="inlineStr">
        <is>
          <t xml:space="preserve">BQ</t>
        </is>
      </c>
      <c r="G138" s="0" t="inlineStr">
        <is>
          <t xml:space="preserve">BQ00022</t>
        </is>
      </c>
      <c r="H138" s="6" t="inlineStr">
        <is>
          <t xml:space="preserve">421000</t>
        </is>
      </c>
      <c r="I138" s="0" t="inlineStr">
        <is>
          <t xml:space="preserve">Virement salaires 08/2024</t>
        </is>
      </c>
      <c r="J138" s="0"/>
      <c r="K138" s="8">
        <v>-39813.27</v>
      </c>
      <c r="L138" s="0" t="inlineStr">
        <is>
          <t xml:space="preserve">Salaires et personnel</t>
        </is>
      </c>
      <c r="M138" s="9"/>
      <c r="N138" s="0">
        <f>IF(M138&lt;&gt;"",M138,L138)</f>
      </c>
      <c r="O138" s="0">
        <f>IFERROR(INDEX(Categories!$B$5:$B$35,MATCH(N138,Categories!$A$5:$A$35,0)),"NA")</f>
      </c>
    </row>
    <row r="139">
      <c r="A139" s="7">
        <v>45535</v>
      </c>
      <c r="B139" s="0" t="inlineStr">
        <is>
          <t xml:space="preserve">2024-S35</t>
        </is>
      </c>
      <c r="C139" s="0" t="inlineStr">
        <is>
          <t xml:space="preserve">2024-08</t>
        </is>
      </c>
      <c r="D139" s="0" t="inlineStr">
        <is>
          <t xml:space="preserve">2024</t>
        </is>
      </c>
      <c r="E139" s="6" t="inlineStr">
        <is>
          <t xml:space="preserve">512000</t>
        </is>
      </c>
      <c r="F139" s="6" t="inlineStr">
        <is>
          <t xml:space="preserve">BQ</t>
        </is>
      </c>
      <c r="G139" s="0" t="inlineStr">
        <is>
          <t xml:space="preserve">BQ00024</t>
        </is>
      </c>
      <c r="H139" s="6" t="inlineStr">
        <is>
          <t xml:space="preserve">627000</t>
        </is>
      </c>
      <c r="I139" s="0" t="inlineStr">
        <is>
          <t xml:space="preserve">Frais bancaires 08/2024</t>
        </is>
      </c>
      <c r="J139" s="0"/>
      <c r="K139" s="8">
        <v>-85</v>
      </c>
      <c r="L139" s="0" t="inlineStr">
        <is>
          <t xml:space="preserve">Frais bancaires</t>
        </is>
      </c>
      <c r="M139" s="9"/>
      <c r="N139" s="0">
        <f>IF(M139&lt;&gt;"",M139,L139)</f>
      </c>
      <c r="O139" s="0">
        <f>IFERROR(INDEX(Categories!$B$5:$B$35,MATCH(N139,Categories!$A$5:$A$35,0)),"NA")</f>
      </c>
    </row>
    <row r="140">
      <c r="A140" s="7">
        <v>45537</v>
      </c>
      <c r="B140" s="0" t="inlineStr">
        <is>
          <t xml:space="preserve">2024-S36</t>
        </is>
      </c>
      <c r="C140" s="0" t="inlineStr">
        <is>
          <t xml:space="preserve">2024-09</t>
        </is>
      </c>
      <c r="D140" s="0" t="inlineStr">
        <is>
          <t xml:space="preserve">2024</t>
        </is>
      </c>
      <c r="E140" s="6" t="inlineStr">
        <is>
          <t xml:space="preserve">512000</t>
        </is>
      </c>
      <c r="F140" s="6" t="inlineStr">
        <is>
          <t xml:space="preserve">BQ</t>
        </is>
      </c>
      <c r="G140" s="0" t="inlineStr">
        <is>
          <t xml:space="preserve">BQ00104</t>
        </is>
      </c>
      <c r="H140" s="6" t="inlineStr">
        <is>
          <t xml:space="preserve">411000</t>
        </is>
      </c>
      <c r="I140" s="0" t="inlineStr">
        <is>
          <t xml:space="preserve">Reglement client Restaurant Le Comptoir FA2024-0039</t>
        </is>
      </c>
      <c r="J140" s="0" t="inlineStr">
        <is>
          <t xml:space="preserve">Restaurant Le Comptoir</t>
        </is>
      </c>
      <c r="K140" s="8">
        <v>29318.93</v>
      </c>
      <c r="L140" s="0" t="inlineStr">
        <is>
          <t xml:space="preserve">Clients</t>
        </is>
      </c>
      <c r="M140" s="9"/>
      <c r="N140" s="0">
        <f>IF(M140&lt;&gt;"",M140,L140)</f>
      </c>
      <c r="O140" s="0">
        <f>IFERROR(INDEX(Categories!$B$5:$B$35,MATCH(N140,Categories!$A$5:$A$35,0)),"NA")</f>
      </c>
    </row>
    <row r="141">
      <c r="A141" s="7">
        <v>45539</v>
      </c>
      <c r="B141" s="0" t="inlineStr">
        <is>
          <t xml:space="preserve">2024-S36</t>
        </is>
      </c>
      <c r="C141" s="0" t="inlineStr">
        <is>
          <t xml:space="preserve">2024-09</t>
        </is>
      </c>
      <c r="D141" s="0" t="inlineStr">
        <is>
          <t xml:space="preserve">2024</t>
        </is>
      </c>
      <c r="E141" s="6" t="inlineStr">
        <is>
          <t xml:space="preserve">512000</t>
        </is>
      </c>
      <c r="F141" s="6" t="inlineStr">
        <is>
          <t xml:space="preserve">BQ</t>
        </is>
      </c>
      <c r="G141" s="0" t="inlineStr">
        <is>
          <t xml:space="preserve">BQ00171</t>
        </is>
      </c>
      <c r="H141" s="6" t="inlineStr">
        <is>
          <t xml:space="preserve">401000</t>
        </is>
      </c>
      <c r="I141" s="0" t="inlineStr">
        <is>
          <t xml:space="preserve">Reglement fournisseur SCI Les Halles F004-202408</t>
        </is>
      </c>
      <c r="J141" s="0" t="inlineStr">
        <is>
          <t xml:space="preserve">SCI Les Halles</t>
        </is>
      </c>
      <c r="K141" s="8">
        <v>-10200</v>
      </c>
      <c r="L141" s="0" t="inlineStr">
        <is>
          <t xml:space="preserve">Fournisseurs et charges externes</t>
        </is>
      </c>
      <c r="M141" s="9"/>
      <c r="N141" s="0">
        <f>IF(M141&lt;&gt;"",M141,L141)</f>
      </c>
      <c r="O141" s="0">
        <f>IFERROR(INDEX(Categories!$B$5:$B$35,MATCH(N141,Categories!$A$5:$A$35,0)),"NA")</f>
      </c>
    </row>
    <row r="142">
      <c r="A142" s="7">
        <v>45539</v>
      </c>
      <c r="B142" s="0" t="inlineStr">
        <is>
          <t xml:space="preserve">2024-S36</t>
        </is>
      </c>
      <c r="C142" s="0" t="inlineStr">
        <is>
          <t xml:space="preserve">2024-09</t>
        </is>
      </c>
      <c r="D142" s="0" t="inlineStr">
        <is>
          <t xml:space="preserve">2024</t>
        </is>
      </c>
      <c r="E142" s="6" t="inlineStr">
        <is>
          <t xml:space="preserve">512000</t>
        </is>
      </c>
      <c r="F142" s="6" t="inlineStr">
        <is>
          <t xml:space="preserve">BQ</t>
        </is>
      </c>
      <c r="G142" s="0" t="inlineStr">
        <is>
          <t xml:space="preserve">BQ00172</t>
        </is>
      </c>
      <c r="H142" s="6" t="inlineStr">
        <is>
          <t xml:space="preserve">401000</t>
        </is>
      </c>
      <c r="I142" s="0" t="inlineStr">
        <is>
          <t xml:space="preserve">Reglement fournisseur Energie Plus F005-202408</t>
        </is>
      </c>
      <c r="J142" s="0" t="inlineStr">
        <is>
          <t xml:space="preserve">Energie Plus</t>
        </is>
      </c>
      <c r="K142" s="8">
        <v>-3817.85</v>
      </c>
      <c r="L142" s="0" t="inlineStr">
        <is>
          <t xml:space="preserve">Fournisseurs et charges externes</t>
        </is>
      </c>
      <c r="M142" s="9"/>
      <c r="N142" s="0">
        <f>IF(M142&lt;&gt;"",M142,L142)</f>
      </c>
      <c r="O142" s="0">
        <f>IFERROR(INDEX(Categories!$B$5:$B$35,MATCH(N142,Categories!$A$5:$A$35,0)),"NA")</f>
      </c>
    </row>
    <row r="143">
      <c r="A143" s="7">
        <v>45539</v>
      </c>
      <c r="B143" s="0" t="inlineStr">
        <is>
          <t xml:space="preserve">2024-S36</t>
        </is>
      </c>
      <c r="C143" s="0" t="inlineStr">
        <is>
          <t xml:space="preserve">2024-09</t>
        </is>
      </c>
      <c r="D143" s="0" t="inlineStr">
        <is>
          <t xml:space="preserve">2024</t>
        </is>
      </c>
      <c r="E143" s="6" t="inlineStr">
        <is>
          <t xml:space="preserve">512000</t>
        </is>
      </c>
      <c r="F143" s="6" t="inlineStr">
        <is>
          <t xml:space="preserve">BQ</t>
        </is>
      </c>
      <c r="G143" s="0" t="inlineStr">
        <is>
          <t xml:space="preserve">BQ00173</t>
        </is>
      </c>
      <c r="H143" s="6" t="inlineStr">
        <is>
          <t xml:space="preserve">401000</t>
        </is>
      </c>
      <c r="I143" s="0" t="inlineStr">
        <is>
          <t xml:space="preserve">Reglement fournisseur Telecom Pro F008-202408</t>
        </is>
      </c>
      <c r="J143" s="0" t="inlineStr">
        <is>
          <t xml:space="preserve">Telecom Pro</t>
        </is>
      </c>
      <c r="K143" s="8">
        <v>-576</v>
      </c>
      <c r="L143" s="0" t="inlineStr">
        <is>
          <t xml:space="preserve">Fournisseurs et charges externes</t>
        </is>
      </c>
      <c r="M143" s="9"/>
      <c r="N143" s="0">
        <f>IF(M143&lt;&gt;"",M143,L143)</f>
      </c>
      <c r="O143" s="0">
        <f>IFERROR(INDEX(Categories!$B$5:$B$35,MATCH(N143,Categories!$A$5:$A$35,0)),"NA")</f>
      </c>
    </row>
    <row r="144">
      <c r="A144" s="7">
        <v>45540</v>
      </c>
      <c r="B144" s="0" t="inlineStr">
        <is>
          <t xml:space="preserve">2024-S36</t>
        </is>
      </c>
      <c r="C144" s="0" t="inlineStr">
        <is>
          <t xml:space="preserve">2024-09</t>
        </is>
      </c>
      <c r="D144" s="0" t="inlineStr">
        <is>
          <t xml:space="preserve">2024</t>
        </is>
      </c>
      <c r="E144" s="6" t="inlineStr">
        <is>
          <t xml:space="preserve">512000</t>
        </is>
      </c>
      <c r="F144" s="6" t="inlineStr">
        <is>
          <t xml:space="preserve">BQ</t>
        </is>
      </c>
      <c r="G144" s="0" t="inlineStr">
        <is>
          <t xml:space="preserve">BQ00103</t>
        </is>
      </c>
      <c r="H144" s="6" t="inlineStr">
        <is>
          <t xml:space="preserve">411000</t>
        </is>
      </c>
      <c r="I144" s="0" t="inlineStr">
        <is>
          <t xml:space="preserve">Reglement client Coworking Atelier 9 FA2024-0038</t>
        </is>
      </c>
      <c r="J144" s="0" t="inlineStr">
        <is>
          <t xml:space="preserve">Coworking Atelier 9</t>
        </is>
      </c>
      <c r="K144" s="8">
        <v>20982.01</v>
      </c>
      <c r="L144" s="0" t="inlineStr">
        <is>
          <t xml:space="preserve">Clients</t>
        </is>
      </c>
      <c r="M144" s="9"/>
      <c r="N144" s="0">
        <f>IF(M144&lt;&gt;"",M144,L144)</f>
      </c>
      <c r="O144" s="0">
        <f>IFERROR(INDEX(Categories!$B$5:$B$35,MATCH(N144,Categories!$A$5:$A$35,0)),"NA")</f>
      </c>
    </row>
    <row r="145">
      <c r="A145" s="7">
        <v>45541</v>
      </c>
      <c r="B145" s="0" t="inlineStr">
        <is>
          <t xml:space="preserve">2024-S36</t>
        </is>
      </c>
      <c r="C145" s="0" t="inlineStr">
        <is>
          <t xml:space="preserve">2024-09</t>
        </is>
      </c>
      <c r="D145" s="0" t="inlineStr">
        <is>
          <t xml:space="preserve">2024</t>
        </is>
      </c>
      <c r="E145" s="6" t="inlineStr">
        <is>
          <t xml:space="preserve">512000</t>
        </is>
      </c>
      <c r="F145" s="6" t="inlineStr">
        <is>
          <t xml:space="preserve">BQ</t>
        </is>
      </c>
      <c r="G145" s="0" t="inlineStr">
        <is>
          <t xml:space="preserve">BQ00100</t>
        </is>
      </c>
      <c r="H145" s="6" t="inlineStr">
        <is>
          <t xml:space="preserve">411000</t>
        </is>
      </c>
      <c r="I145" s="0" t="inlineStr">
        <is>
          <t xml:space="preserve">Reglement client Coworking Atelier 9 FA2024-0035</t>
        </is>
      </c>
      <c r="J145" s="0" t="inlineStr">
        <is>
          <t xml:space="preserve">Coworking Atelier 9</t>
        </is>
      </c>
      <c r="K145" s="8">
        <v>52482.95</v>
      </c>
      <c r="L145" s="0" t="inlineStr">
        <is>
          <t xml:space="preserve">Clients</t>
        </is>
      </c>
      <c r="M145" s="9"/>
      <c r="N145" s="0">
        <f>IF(M145&lt;&gt;"",M145,L145)</f>
      </c>
      <c r="O145" s="0">
        <f>IFERROR(INDEX(Categories!$B$5:$B$35,MATCH(N145,Categories!$A$5:$A$35,0)),"NA")</f>
      </c>
    </row>
    <row r="146">
      <c r="A146" s="7">
        <v>45545</v>
      </c>
      <c r="B146" s="0" t="inlineStr">
        <is>
          <t xml:space="preserve">2024-S37</t>
        </is>
      </c>
      <c r="C146" s="0" t="inlineStr">
        <is>
          <t xml:space="preserve">2024-09</t>
        </is>
      </c>
      <c r="D146" s="0" t="inlineStr">
        <is>
          <t xml:space="preserve">2024</t>
        </is>
      </c>
      <c r="E146" s="6" t="inlineStr">
        <is>
          <t xml:space="preserve">512000</t>
        </is>
      </c>
      <c r="F146" s="6" t="inlineStr">
        <is>
          <t xml:space="preserve">BQ</t>
        </is>
      </c>
      <c r="G146" s="0" t="inlineStr">
        <is>
          <t xml:space="preserve">BQ00026</t>
        </is>
      </c>
      <c r="H146" s="6" t="inlineStr">
        <is>
          <t xml:space="preserve">164000</t>
        </is>
      </c>
      <c r="I146" s="0" t="inlineStr">
        <is>
          <t xml:space="preserve">Echeance emprunt 09/2024</t>
        </is>
      </c>
      <c r="J146" s="0"/>
      <c r="K146" s="8">
        <v>-2000</v>
      </c>
      <c r="L146" s="0" t="inlineStr">
        <is>
          <t xml:space="preserve">Emprunts - capital</t>
        </is>
      </c>
      <c r="M146" s="9"/>
      <c r="N146" s="0">
        <f>IF(M146&lt;&gt;"",M146,L146)</f>
      </c>
      <c r="O146" s="0">
        <f>IFERROR(INDEX(Categories!$B$5:$B$35,MATCH(N146,Categories!$A$5:$A$35,0)),"NA")</f>
      </c>
    </row>
    <row r="147">
      <c r="A147" s="7">
        <v>45545</v>
      </c>
      <c r="B147" s="0" t="inlineStr">
        <is>
          <t xml:space="preserve">2024-S37</t>
        </is>
      </c>
      <c r="C147" s="0" t="inlineStr">
        <is>
          <t xml:space="preserve">2024-09</t>
        </is>
      </c>
      <c r="D147" s="0" t="inlineStr">
        <is>
          <t xml:space="preserve">2024</t>
        </is>
      </c>
      <c r="E147" s="6" t="inlineStr">
        <is>
          <t xml:space="preserve">512000</t>
        </is>
      </c>
      <c r="F147" s="6" t="inlineStr">
        <is>
          <t xml:space="preserve">BQ</t>
        </is>
      </c>
      <c r="G147" s="0" t="inlineStr">
        <is>
          <t xml:space="preserve">BQ00026</t>
        </is>
      </c>
      <c r="H147" s="6" t="inlineStr">
        <is>
          <t xml:space="preserve">661100</t>
        </is>
      </c>
      <c r="I147" s="0" t="inlineStr">
        <is>
          <t xml:space="preserve">Echeance emprunt 09/2024</t>
        </is>
      </c>
      <c r="J147" s="0"/>
      <c r="K147" s="8">
        <v>-246.67</v>
      </c>
      <c r="L147" s="0" t="inlineStr">
        <is>
          <t xml:space="preserve">Intérêts et charges financières</t>
        </is>
      </c>
      <c r="M147" s="9"/>
      <c r="N147" s="0">
        <f>IF(M147&lt;&gt;"",M147,L147)</f>
      </c>
      <c r="O147" s="0">
        <f>IFERROR(INDEX(Categories!$B$5:$B$35,MATCH(N147,Categories!$A$5:$A$35,0)),"NA")</f>
      </c>
    </row>
    <row r="148">
      <c r="A148" s="7">
        <v>45547</v>
      </c>
      <c r="B148" s="0" t="inlineStr">
        <is>
          <t xml:space="preserve">2024-S37</t>
        </is>
      </c>
      <c r="C148" s="0" t="inlineStr">
        <is>
          <t xml:space="preserve">2024-09</t>
        </is>
      </c>
      <c r="D148" s="0" t="inlineStr">
        <is>
          <t xml:space="preserve">2024</t>
        </is>
      </c>
      <c r="E148" s="6" t="inlineStr">
        <is>
          <t xml:space="preserve">512000</t>
        </is>
      </c>
      <c r="F148" s="6" t="inlineStr">
        <is>
          <t xml:space="preserve">BQ</t>
        </is>
      </c>
      <c r="G148" s="0" t="inlineStr">
        <is>
          <t xml:space="preserve">BQ00107</t>
        </is>
      </c>
      <c r="H148" s="6" t="inlineStr">
        <is>
          <t xml:space="preserve">411000</t>
        </is>
      </c>
      <c r="I148" s="0" t="inlineStr">
        <is>
          <t xml:space="preserve">Reglement client Residence Bel Air FA2024-0042</t>
        </is>
      </c>
      <c r="J148" s="0" t="inlineStr">
        <is>
          <t xml:space="preserve">Residence Bel Air</t>
        </is>
      </c>
      <c r="K148" s="8">
        <v>28615.24</v>
      </c>
      <c r="L148" s="0" t="inlineStr">
        <is>
          <t xml:space="preserve">Clients</t>
        </is>
      </c>
      <c r="M148" s="9"/>
      <c r="N148" s="0">
        <f>IF(M148&lt;&gt;"",M148,L148)</f>
      </c>
      <c r="O148" s="0">
        <f>IFERROR(INDEX(Categories!$B$5:$B$35,MATCH(N148,Categories!$A$5:$A$35,0)),"NA")</f>
      </c>
    </row>
    <row r="149">
      <c r="A149" s="7">
        <v>45548</v>
      </c>
      <c r="B149" s="0" t="inlineStr">
        <is>
          <t xml:space="preserve">2024-S37</t>
        </is>
      </c>
      <c r="C149" s="0" t="inlineStr">
        <is>
          <t xml:space="preserve">2024-09</t>
        </is>
      </c>
      <c r="D149" s="0" t="inlineStr">
        <is>
          <t xml:space="preserve">2024</t>
        </is>
      </c>
      <c r="E149" s="6" t="inlineStr">
        <is>
          <t xml:space="preserve">512000</t>
        </is>
      </c>
      <c r="F149" s="6" t="inlineStr">
        <is>
          <t xml:space="preserve">BQ</t>
        </is>
      </c>
      <c r="G149" s="0" t="inlineStr">
        <is>
          <t xml:space="preserve">BQ00163</t>
        </is>
      </c>
      <c r="H149" s="6" t="inlineStr">
        <is>
          <t xml:space="preserve">401000</t>
        </is>
      </c>
      <c r="I149" s="0" t="inlineStr">
        <is>
          <t xml:space="preserve">Reglement fournisseur Scierie du Nord F001-2024071</t>
        </is>
      </c>
      <c r="J149" s="0" t="inlineStr">
        <is>
          <t xml:space="preserve">Scierie du Nord</t>
        </is>
      </c>
      <c r="K149" s="8">
        <v>-35631.97</v>
      </c>
      <c r="L149" s="0" t="inlineStr">
        <is>
          <t xml:space="preserve">Fournisseurs et charges externes</t>
        </is>
      </c>
      <c r="M149" s="9"/>
      <c r="N149" s="0">
        <f>IF(M149&lt;&gt;"",M149,L149)</f>
      </c>
      <c r="O149" s="0">
        <f>IFERROR(INDEX(Categories!$B$5:$B$35,MATCH(N149,Categories!$A$5:$A$35,0)),"NA")</f>
      </c>
    </row>
    <row r="150">
      <c r="A150" s="7">
        <v>45550</v>
      </c>
      <c r="B150" s="0" t="inlineStr">
        <is>
          <t xml:space="preserve">2024-S37</t>
        </is>
      </c>
      <c r="C150" s="0" t="inlineStr">
        <is>
          <t xml:space="preserve">2024-09</t>
        </is>
      </c>
      <c r="D150" s="0" t="inlineStr">
        <is>
          <t xml:space="preserve">2024</t>
        </is>
      </c>
      <c r="E150" s="6" t="inlineStr">
        <is>
          <t xml:space="preserve">512000</t>
        </is>
      </c>
      <c r="F150" s="6" t="inlineStr">
        <is>
          <t xml:space="preserve">BQ</t>
        </is>
      </c>
      <c r="G150" s="0" t="inlineStr">
        <is>
          <t xml:space="preserve">BQ00053</t>
        </is>
      </c>
      <c r="H150" s="6" t="inlineStr">
        <is>
          <t xml:space="preserve">431000</t>
        </is>
      </c>
      <c r="I150" s="0" t="inlineStr">
        <is>
          <t xml:space="preserve">Reglement URSSAF 08/2024</t>
        </is>
      </c>
      <c r="J150" s="0"/>
      <c r="K150" s="8">
        <v>-32667.31</v>
      </c>
      <c r="L150" s="0" t="inlineStr">
        <is>
          <t xml:space="preserve">Charges sociales</t>
        </is>
      </c>
      <c r="M150" s="9"/>
      <c r="N150" s="0">
        <f>IF(M150&lt;&gt;"",M150,L150)</f>
      </c>
      <c r="O150" s="0">
        <f>IFERROR(INDEX(Categories!$B$5:$B$35,MATCH(N150,Categories!$A$5:$A$35,0)),"NA")</f>
      </c>
    </row>
    <row r="151">
      <c r="A151" s="7">
        <v>45555</v>
      </c>
      <c r="B151" s="0" t="inlineStr">
        <is>
          <t xml:space="preserve">2024-S38</t>
        </is>
      </c>
      <c r="C151" s="0" t="inlineStr">
        <is>
          <t xml:space="preserve">2024-09</t>
        </is>
      </c>
      <c r="D151" s="0" t="inlineStr">
        <is>
          <t xml:space="preserve">2024</t>
        </is>
      </c>
      <c r="E151" s="6" t="inlineStr">
        <is>
          <t xml:space="preserve">512000</t>
        </is>
      </c>
      <c r="F151" s="6" t="inlineStr">
        <is>
          <t xml:space="preserve">BQ</t>
        </is>
      </c>
      <c r="G151" s="0" t="inlineStr">
        <is>
          <t xml:space="preserve">BQ00054</t>
        </is>
      </c>
      <c r="H151" s="6" t="inlineStr">
        <is>
          <t xml:space="preserve">445510</t>
        </is>
      </c>
      <c r="I151" s="0" t="inlineStr">
        <is>
          <t xml:space="preserve">Reglement TVA 08/2024</t>
        </is>
      </c>
      <c r="J151" s="0"/>
      <c r="K151" s="8">
        <v>-11101.03</v>
      </c>
      <c r="L151" s="0" t="inlineStr">
        <is>
          <t xml:space="preserve">TVA</t>
        </is>
      </c>
      <c r="M151" s="9"/>
      <c r="N151" s="0">
        <f>IF(M151&lt;&gt;"",M151,L151)</f>
      </c>
      <c r="O151" s="0">
        <f>IFERROR(INDEX(Categories!$B$5:$B$35,MATCH(N151,Categories!$A$5:$A$35,0)),"NA")</f>
      </c>
    </row>
    <row r="152">
      <c r="A152" s="7">
        <v>45565</v>
      </c>
      <c r="B152" s="0" t="inlineStr">
        <is>
          <t xml:space="preserve">2024-S40</t>
        </is>
      </c>
      <c r="C152" s="0" t="inlineStr">
        <is>
          <t xml:space="preserve">2024-09</t>
        </is>
      </c>
      <c r="D152" s="0" t="inlineStr">
        <is>
          <t xml:space="preserve">2024</t>
        </is>
      </c>
      <c r="E152" s="6" t="inlineStr">
        <is>
          <t xml:space="preserve">512000</t>
        </is>
      </c>
      <c r="F152" s="6" t="inlineStr">
        <is>
          <t xml:space="preserve">BQ</t>
        </is>
      </c>
      <c r="G152" s="0" t="inlineStr">
        <is>
          <t xml:space="preserve">BQ00025</t>
        </is>
      </c>
      <c r="H152" s="6" t="inlineStr">
        <is>
          <t xml:space="preserve">421000</t>
        </is>
      </c>
      <c r="I152" s="0" t="inlineStr">
        <is>
          <t xml:space="preserve">Virement salaires 09/2024</t>
        </is>
      </c>
      <c r="J152" s="0"/>
      <c r="K152" s="8">
        <v>-41175.33</v>
      </c>
      <c r="L152" s="0" t="inlineStr">
        <is>
          <t xml:space="preserve">Salaires et personnel</t>
        </is>
      </c>
      <c r="M152" s="9"/>
      <c r="N152" s="0">
        <f>IF(M152&lt;&gt;"",M152,L152)</f>
      </c>
      <c r="O152" s="0">
        <f>IFERROR(INDEX(Categories!$B$5:$B$35,MATCH(N152,Categories!$A$5:$A$35,0)),"NA")</f>
      </c>
    </row>
    <row r="153">
      <c r="A153" s="7">
        <v>45565</v>
      </c>
      <c r="B153" s="0" t="inlineStr">
        <is>
          <t xml:space="preserve">2024-S40</t>
        </is>
      </c>
      <c r="C153" s="0" t="inlineStr">
        <is>
          <t xml:space="preserve">2024-09</t>
        </is>
      </c>
      <c r="D153" s="0" t="inlineStr">
        <is>
          <t xml:space="preserve">2024</t>
        </is>
      </c>
      <c r="E153" s="6" t="inlineStr">
        <is>
          <t xml:space="preserve">512000</t>
        </is>
      </c>
      <c r="F153" s="6" t="inlineStr">
        <is>
          <t xml:space="preserve">BQ</t>
        </is>
      </c>
      <c r="G153" s="0" t="inlineStr">
        <is>
          <t xml:space="preserve">BQ00027</t>
        </is>
      </c>
      <c r="H153" s="6" t="inlineStr">
        <is>
          <t xml:space="preserve">627000</t>
        </is>
      </c>
      <c r="I153" s="0" t="inlineStr">
        <is>
          <t xml:space="preserve">Frais bancaires 09/2024</t>
        </is>
      </c>
      <c r="J153" s="0"/>
      <c r="K153" s="8">
        <v>-85</v>
      </c>
      <c r="L153" s="0" t="inlineStr">
        <is>
          <t xml:space="preserve">Frais bancaires</t>
        </is>
      </c>
      <c r="M153" s="9"/>
      <c r="N153" s="0">
        <f>IF(M153&lt;&gt;"",M153,L153)</f>
      </c>
      <c r="O153" s="0">
        <f>IFERROR(INDEX(Categories!$B$5:$B$35,MATCH(N153,Categories!$A$5:$A$35,0)),"NA")</f>
      </c>
    </row>
    <row r="154">
      <c r="A154" s="7">
        <v>45572</v>
      </c>
      <c r="B154" s="0" t="inlineStr">
        <is>
          <t xml:space="preserve">2024-S41</t>
        </is>
      </c>
      <c r="C154" s="0" t="inlineStr">
        <is>
          <t xml:space="preserve">2024-10</t>
        </is>
      </c>
      <c r="D154" s="0" t="inlineStr">
        <is>
          <t xml:space="preserve">2024</t>
        </is>
      </c>
      <c r="E154" s="6" t="inlineStr">
        <is>
          <t xml:space="preserve">512000</t>
        </is>
      </c>
      <c r="F154" s="6" t="inlineStr">
        <is>
          <t xml:space="preserve">BQ</t>
        </is>
      </c>
      <c r="G154" s="0" t="inlineStr">
        <is>
          <t xml:space="preserve">BQ00176</t>
        </is>
      </c>
      <c r="H154" s="6" t="inlineStr">
        <is>
          <t xml:space="preserve">401000</t>
        </is>
      </c>
      <c r="I154" s="0" t="inlineStr">
        <is>
          <t xml:space="preserve">Reglement fournisseur SCI Les Halles F004-202409</t>
        </is>
      </c>
      <c r="J154" s="0" t="inlineStr">
        <is>
          <t xml:space="preserve">SCI Les Halles</t>
        </is>
      </c>
      <c r="K154" s="8">
        <v>-10200</v>
      </c>
      <c r="L154" s="0" t="inlineStr">
        <is>
          <t xml:space="preserve">Fournisseurs et charges externes</t>
        </is>
      </c>
      <c r="M154" s="9"/>
      <c r="N154" s="0">
        <f>IF(M154&lt;&gt;"",M154,L154)</f>
      </c>
      <c r="O154" s="0">
        <f>IFERROR(INDEX(Categories!$B$5:$B$35,MATCH(N154,Categories!$A$5:$A$35,0)),"NA")</f>
      </c>
    </row>
    <row r="155">
      <c r="A155" s="7">
        <v>45572</v>
      </c>
      <c r="B155" s="0" t="inlineStr">
        <is>
          <t xml:space="preserve">2024-S41</t>
        </is>
      </c>
      <c r="C155" s="0" t="inlineStr">
        <is>
          <t xml:space="preserve">2024-10</t>
        </is>
      </c>
      <c r="D155" s="0" t="inlineStr">
        <is>
          <t xml:space="preserve">2024</t>
        </is>
      </c>
      <c r="E155" s="6" t="inlineStr">
        <is>
          <t xml:space="preserve">512000</t>
        </is>
      </c>
      <c r="F155" s="6" t="inlineStr">
        <is>
          <t xml:space="preserve">BQ</t>
        </is>
      </c>
      <c r="G155" s="0" t="inlineStr">
        <is>
          <t xml:space="preserve">BQ00177</t>
        </is>
      </c>
      <c r="H155" s="6" t="inlineStr">
        <is>
          <t xml:space="preserve">401000</t>
        </is>
      </c>
      <c r="I155" s="0" t="inlineStr">
        <is>
          <t xml:space="preserve">Reglement fournisseur Energie Plus F005-202409</t>
        </is>
      </c>
      <c r="J155" s="0" t="inlineStr">
        <is>
          <t xml:space="preserve">Energie Plus</t>
        </is>
      </c>
      <c r="K155" s="8">
        <v>-4307</v>
      </c>
      <c r="L155" s="0" t="inlineStr">
        <is>
          <t xml:space="preserve">Fournisseurs et charges externes</t>
        </is>
      </c>
      <c r="M155" s="9"/>
      <c r="N155" s="0">
        <f>IF(M155&lt;&gt;"",M155,L155)</f>
      </c>
      <c r="O155" s="0">
        <f>IFERROR(INDEX(Categories!$B$5:$B$35,MATCH(N155,Categories!$A$5:$A$35,0)),"NA")</f>
      </c>
    </row>
    <row r="156">
      <c r="A156" s="7">
        <v>45572</v>
      </c>
      <c r="B156" s="0" t="inlineStr">
        <is>
          <t xml:space="preserve">2024-S41</t>
        </is>
      </c>
      <c r="C156" s="0" t="inlineStr">
        <is>
          <t xml:space="preserve">2024-10</t>
        </is>
      </c>
      <c r="D156" s="0" t="inlineStr">
        <is>
          <t xml:space="preserve">2024</t>
        </is>
      </c>
      <c r="E156" s="6" t="inlineStr">
        <is>
          <t xml:space="preserve">512000</t>
        </is>
      </c>
      <c r="F156" s="6" t="inlineStr">
        <is>
          <t xml:space="preserve">BQ</t>
        </is>
      </c>
      <c r="G156" s="0" t="inlineStr">
        <is>
          <t xml:space="preserve">BQ00178</t>
        </is>
      </c>
      <c r="H156" s="6" t="inlineStr">
        <is>
          <t xml:space="preserve">401000</t>
        </is>
      </c>
      <c r="I156" s="0" t="inlineStr">
        <is>
          <t xml:space="preserve">Reglement fournisseur Telecom Pro F008-202409</t>
        </is>
      </c>
      <c r="J156" s="0" t="inlineStr">
        <is>
          <t xml:space="preserve">Telecom Pro</t>
        </is>
      </c>
      <c r="K156" s="8">
        <v>-576</v>
      </c>
      <c r="L156" s="0" t="inlineStr">
        <is>
          <t xml:space="preserve">Fournisseurs et charges externes</t>
        </is>
      </c>
      <c r="M156" s="9"/>
      <c r="N156" s="0">
        <f>IF(M156&lt;&gt;"",M156,L156)</f>
      </c>
      <c r="O156" s="0">
        <f>IFERROR(INDEX(Categories!$B$5:$B$35,MATCH(N156,Categories!$A$5:$A$35,0)),"NA")</f>
      </c>
    </row>
    <row r="157">
      <c r="A157" s="7">
        <v>45572</v>
      </c>
      <c r="B157" s="0" t="inlineStr">
        <is>
          <t xml:space="preserve">2024-S41</t>
        </is>
      </c>
      <c r="C157" s="0" t="inlineStr">
        <is>
          <t xml:space="preserve">2024-10</t>
        </is>
      </c>
      <c r="D157" s="0" t="inlineStr">
        <is>
          <t xml:space="preserve">2024</t>
        </is>
      </c>
      <c r="E157" s="6" t="inlineStr">
        <is>
          <t xml:space="preserve">512000</t>
        </is>
      </c>
      <c r="F157" s="6" t="inlineStr">
        <is>
          <t xml:space="preserve">BQ</t>
        </is>
      </c>
      <c r="G157" s="0" t="inlineStr">
        <is>
          <t xml:space="preserve">BQ00179</t>
        </is>
      </c>
      <c r="H157" s="6" t="inlineStr">
        <is>
          <t xml:space="preserve">401000</t>
        </is>
      </c>
      <c r="I157" s="0" t="inlineStr">
        <is>
          <t xml:space="preserve">Reglement fournisseur Cabinet Comptable Exemple F007-202409</t>
        </is>
      </c>
      <c r="J157" s="0" t="inlineStr">
        <is>
          <t xml:space="preserve">Cabinet Comptable Exemple</t>
        </is>
      </c>
      <c r="K157" s="8">
        <v>-7200</v>
      </c>
      <c r="L157" s="0" t="inlineStr">
        <is>
          <t xml:space="preserve">Fournisseurs et charges externes</t>
        </is>
      </c>
      <c r="M157" s="9"/>
      <c r="N157" s="0">
        <f>IF(M157&lt;&gt;"",M157,L157)</f>
      </c>
      <c r="O157" s="0">
        <f>IFERROR(INDEX(Categories!$B$5:$B$35,MATCH(N157,Categories!$A$5:$A$35,0)),"NA")</f>
      </c>
    </row>
    <row r="158">
      <c r="A158" s="7">
        <v>45575</v>
      </c>
      <c r="B158" s="0" t="inlineStr">
        <is>
          <t xml:space="preserve">2024-S41</t>
        </is>
      </c>
      <c r="C158" s="0" t="inlineStr">
        <is>
          <t xml:space="preserve">2024-10</t>
        </is>
      </c>
      <c r="D158" s="0" t="inlineStr">
        <is>
          <t xml:space="preserve">2024</t>
        </is>
      </c>
      <c r="E158" s="6" t="inlineStr">
        <is>
          <t xml:space="preserve">512000</t>
        </is>
      </c>
      <c r="F158" s="6" t="inlineStr">
        <is>
          <t xml:space="preserve">BQ</t>
        </is>
      </c>
      <c r="G158" s="0" t="inlineStr">
        <is>
          <t xml:space="preserve">BQ00029</t>
        </is>
      </c>
      <c r="H158" s="6" t="inlineStr">
        <is>
          <t xml:space="preserve">164000</t>
        </is>
      </c>
      <c r="I158" s="0" t="inlineStr">
        <is>
          <t xml:space="preserve">Echeance emprunt 10/2024</t>
        </is>
      </c>
      <c r="J158" s="0"/>
      <c r="K158" s="8">
        <v>-2000</v>
      </c>
      <c r="L158" s="0" t="inlineStr">
        <is>
          <t xml:space="preserve">Emprunts - capital</t>
        </is>
      </c>
      <c r="M158" s="9"/>
      <c r="N158" s="0">
        <f>IF(M158&lt;&gt;"",M158,L158)</f>
      </c>
      <c r="O158" s="0">
        <f>IFERROR(INDEX(Categories!$B$5:$B$35,MATCH(N158,Categories!$A$5:$A$35,0)),"NA")</f>
      </c>
    </row>
    <row r="159">
      <c r="A159" s="7">
        <v>45575</v>
      </c>
      <c r="B159" s="0" t="inlineStr">
        <is>
          <t xml:space="preserve">2024-S41</t>
        </is>
      </c>
      <c r="C159" s="0" t="inlineStr">
        <is>
          <t xml:space="preserve">2024-10</t>
        </is>
      </c>
      <c r="D159" s="0" t="inlineStr">
        <is>
          <t xml:space="preserve">2024</t>
        </is>
      </c>
      <c r="E159" s="6" t="inlineStr">
        <is>
          <t xml:space="preserve">512000</t>
        </is>
      </c>
      <c r="F159" s="6" t="inlineStr">
        <is>
          <t xml:space="preserve">BQ</t>
        </is>
      </c>
      <c r="G159" s="0" t="inlineStr">
        <is>
          <t xml:space="preserve">BQ00029</t>
        </is>
      </c>
      <c r="H159" s="6" t="inlineStr">
        <is>
          <t xml:space="preserve">661100</t>
        </is>
      </c>
      <c r="I159" s="0" t="inlineStr">
        <is>
          <t xml:space="preserve">Echeance emprunt 10/2024</t>
        </is>
      </c>
      <c r="J159" s="0"/>
      <c r="K159" s="8">
        <v>-240</v>
      </c>
      <c r="L159" s="0" t="inlineStr">
        <is>
          <t xml:space="preserve">Intérêts et charges financières</t>
        </is>
      </c>
      <c r="M159" s="9"/>
      <c r="N159" s="0">
        <f>IF(M159&lt;&gt;"",M159,L159)</f>
      </c>
      <c r="O159" s="0">
        <f>IFERROR(INDEX(Categories!$B$5:$B$35,MATCH(N159,Categories!$A$5:$A$35,0)),"NA")</f>
      </c>
    </row>
    <row r="160">
      <c r="A160" s="7">
        <v>45575</v>
      </c>
      <c r="B160" s="0" t="inlineStr">
        <is>
          <t xml:space="preserve">2024-S41</t>
        </is>
      </c>
      <c r="C160" s="0" t="inlineStr">
        <is>
          <t xml:space="preserve">2024-10</t>
        </is>
      </c>
      <c r="D160" s="0" t="inlineStr">
        <is>
          <t xml:space="preserve">2024</t>
        </is>
      </c>
      <c r="E160" s="6" t="inlineStr">
        <is>
          <t xml:space="preserve">512000</t>
        </is>
      </c>
      <c r="F160" s="6" t="inlineStr">
        <is>
          <t xml:space="preserve">BQ</t>
        </is>
      </c>
      <c r="G160" s="0" t="inlineStr">
        <is>
          <t xml:space="preserve">BQ00106</t>
        </is>
      </c>
      <c r="H160" s="6" t="inlineStr">
        <is>
          <t xml:space="preserve">411000</t>
        </is>
      </c>
      <c r="I160" s="0" t="inlineStr">
        <is>
          <t xml:space="preserve">Reglement client Coworking Atelier 9 FA2024-0041</t>
        </is>
      </c>
      <c r="J160" s="0" t="inlineStr">
        <is>
          <t xml:space="preserve">Coworking Atelier 9</t>
        </is>
      </c>
      <c r="K160" s="8">
        <v>31077.55</v>
      </c>
      <c r="L160" s="0" t="inlineStr">
        <is>
          <t xml:space="preserve">Clients</t>
        </is>
      </c>
      <c r="M160" s="9"/>
      <c r="N160" s="0">
        <f>IF(M160&lt;&gt;"",M160,L160)</f>
      </c>
      <c r="O160" s="0">
        <f>IFERROR(INDEX(Categories!$B$5:$B$35,MATCH(N160,Categories!$A$5:$A$35,0)),"NA")</f>
      </c>
    </row>
    <row r="161">
      <c r="A161" s="7">
        <v>45579</v>
      </c>
      <c r="B161" s="0" t="inlineStr">
        <is>
          <t xml:space="preserve">2024-S42</t>
        </is>
      </c>
      <c r="C161" s="0" t="inlineStr">
        <is>
          <t xml:space="preserve">2024-10</t>
        </is>
      </c>
      <c r="D161" s="0" t="inlineStr">
        <is>
          <t xml:space="preserve">2024</t>
        </is>
      </c>
      <c r="E161" s="6" t="inlineStr">
        <is>
          <t xml:space="preserve">512000</t>
        </is>
      </c>
      <c r="F161" s="6" t="inlineStr">
        <is>
          <t xml:space="preserve">BQ</t>
        </is>
      </c>
      <c r="G161" s="0" t="inlineStr">
        <is>
          <t xml:space="preserve">BQ00169</t>
        </is>
      </c>
      <c r="H161" s="6" t="inlineStr">
        <is>
          <t xml:space="preserve">401000</t>
        </is>
      </c>
      <c r="I161" s="0" t="inlineStr">
        <is>
          <t xml:space="preserve">Reglement fournisseur Scierie du Nord F001-2024081</t>
        </is>
      </c>
      <c r="J161" s="0" t="inlineStr">
        <is>
          <t xml:space="preserve">Scierie du Nord</t>
        </is>
      </c>
      <c r="K161" s="8">
        <v>-36474.56</v>
      </c>
      <c r="L161" s="0" t="inlineStr">
        <is>
          <t xml:space="preserve">Fournisseurs et charges externes</t>
        </is>
      </c>
      <c r="M161" s="9"/>
      <c r="N161" s="0">
        <f>IF(M161&lt;&gt;"",M161,L161)</f>
      </c>
      <c r="O161" s="0">
        <f>IFERROR(INDEX(Categories!$B$5:$B$35,MATCH(N161,Categories!$A$5:$A$35,0)),"NA")</f>
      </c>
    </row>
    <row r="162">
      <c r="A162" s="7">
        <v>45580</v>
      </c>
      <c r="B162" s="0" t="inlineStr">
        <is>
          <t xml:space="preserve">2024-S42</t>
        </is>
      </c>
      <c r="C162" s="0" t="inlineStr">
        <is>
          <t xml:space="preserve">2024-10</t>
        </is>
      </c>
      <c r="D162" s="0" t="inlineStr">
        <is>
          <t xml:space="preserve">2024</t>
        </is>
      </c>
      <c r="E162" s="6" t="inlineStr">
        <is>
          <t xml:space="preserve">512000</t>
        </is>
      </c>
      <c r="F162" s="6" t="inlineStr">
        <is>
          <t xml:space="preserve">BQ</t>
        </is>
      </c>
      <c r="G162" s="0" t="inlineStr">
        <is>
          <t xml:space="preserve">BQ00055</t>
        </is>
      </c>
      <c r="H162" s="6" t="inlineStr">
        <is>
          <t xml:space="preserve">431000</t>
        </is>
      </c>
      <c r="I162" s="0" t="inlineStr">
        <is>
          <t xml:space="preserve">Reglement URSSAF 09/2024</t>
        </is>
      </c>
      <c r="J162" s="0"/>
      <c r="K162" s="8">
        <v>-33784.88</v>
      </c>
      <c r="L162" s="0" t="inlineStr">
        <is>
          <t xml:space="preserve">Charges sociales</t>
        </is>
      </c>
      <c r="M162" s="9"/>
      <c r="N162" s="0">
        <f>IF(M162&lt;&gt;"",M162,L162)</f>
      </c>
      <c r="O162" s="0">
        <f>IFERROR(INDEX(Categories!$B$5:$B$35,MATCH(N162,Categories!$A$5:$A$35,0)),"NA")</f>
      </c>
    </row>
    <row r="163">
      <c r="A163" s="7">
        <v>45581</v>
      </c>
      <c r="B163" s="0" t="inlineStr">
        <is>
          <t xml:space="preserve">2024-S42</t>
        </is>
      </c>
      <c r="C163" s="0" t="inlineStr">
        <is>
          <t xml:space="preserve">2024-10</t>
        </is>
      </c>
      <c r="D163" s="0" t="inlineStr">
        <is>
          <t xml:space="preserve">2024</t>
        </is>
      </c>
      <c r="E163" s="6" t="inlineStr">
        <is>
          <t xml:space="preserve">512000</t>
        </is>
      </c>
      <c r="F163" s="6" t="inlineStr">
        <is>
          <t xml:space="preserve">BQ</t>
        </is>
      </c>
      <c r="G163" s="0" t="inlineStr">
        <is>
          <t xml:space="preserve">BQ00109</t>
        </is>
      </c>
      <c r="H163" s="6" t="inlineStr">
        <is>
          <t xml:space="preserve">411000</t>
        </is>
      </c>
      <c r="I163" s="0" t="inlineStr">
        <is>
          <t xml:space="preserve">Reglement client Cabinet Varenne Associes FA2024-0044</t>
        </is>
      </c>
      <c r="J163" s="0" t="inlineStr">
        <is>
          <t xml:space="preserve">Cabinet Varenne Associes</t>
        </is>
      </c>
      <c r="K163" s="8">
        <v>51291.46</v>
      </c>
      <c r="L163" s="0" t="inlineStr">
        <is>
          <t xml:space="preserve">Clients</t>
        </is>
      </c>
      <c r="M163" s="9"/>
      <c r="N163" s="0">
        <f>IF(M163&lt;&gt;"",M163,L163)</f>
      </c>
      <c r="O163" s="0">
        <f>IFERROR(INDEX(Categories!$B$5:$B$35,MATCH(N163,Categories!$A$5:$A$35,0)),"NA")</f>
      </c>
    </row>
    <row r="164">
      <c r="A164" s="7">
        <v>45585</v>
      </c>
      <c r="B164" s="0" t="inlineStr">
        <is>
          <t xml:space="preserve">2024-S42</t>
        </is>
      </c>
      <c r="C164" s="0" t="inlineStr">
        <is>
          <t xml:space="preserve">2024-10</t>
        </is>
      </c>
      <c r="D164" s="0" t="inlineStr">
        <is>
          <t xml:space="preserve">2024</t>
        </is>
      </c>
      <c r="E164" s="6" t="inlineStr">
        <is>
          <t xml:space="preserve">512000</t>
        </is>
      </c>
      <c r="F164" s="6" t="inlineStr">
        <is>
          <t xml:space="preserve">BQ</t>
        </is>
      </c>
      <c r="G164" s="0" t="inlineStr">
        <is>
          <t xml:space="preserve">BQ00056</t>
        </is>
      </c>
      <c r="H164" s="6" t="inlineStr">
        <is>
          <t xml:space="preserve">445510</t>
        </is>
      </c>
      <c r="I164" s="0" t="inlineStr">
        <is>
          <t xml:space="preserve">Reglement TVA 09/2024</t>
        </is>
      </c>
      <c r="J164" s="0"/>
      <c r="K164" s="8">
        <v>-16586.18</v>
      </c>
      <c r="L164" s="0" t="inlineStr">
        <is>
          <t xml:space="preserve">TVA</t>
        </is>
      </c>
      <c r="M164" s="9"/>
      <c r="N164" s="0">
        <f>IF(M164&lt;&gt;"",M164,L164)</f>
      </c>
      <c r="O164" s="0">
        <f>IFERROR(INDEX(Categories!$B$5:$B$35,MATCH(N164,Categories!$A$5:$A$35,0)),"NA")</f>
      </c>
    </row>
    <row r="165">
      <c r="A165" s="7">
        <v>45586</v>
      </c>
      <c r="B165" s="0" t="inlineStr">
        <is>
          <t xml:space="preserve">2024-S43</t>
        </is>
      </c>
      <c r="C165" s="0" t="inlineStr">
        <is>
          <t xml:space="preserve">2024-10</t>
        </is>
      </c>
      <c r="D165" s="0" t="inlineStr">
        <is>
          <t xml:space="preserve">2024</t>
        </is>
      </c>
      <c r="E165" s="6" t="inlineStr">
        <is>
          <t xml:space="preserve">512000</t>
        </is>
      </c>
      <c r="F165" s="6" t="inlineStr">
        <is>
          <t xml:space="preserve">BQ</t>
        </is>
      </c>
      <c r="G165" s="0" t="inlineStr">
        <is>
          <t xml:space="preserve">BQ00110</t>
        </is>
      </c>
      <c r="H165" s="6" t="inlineStr">
        <is>
          <t xml:space="preserve">411000</t>
        </is>
      </c>
      <c r="I165" s="0" t="inlineStr">
        <is>
          <t xml:space="preserve">Reglement client Residence Bel Air FA2024-0045</t>
        </is>
      </c>
      <c r="J165" s="0" t="inlineStr">
        <is>
          <t xml:space="preserve">Residence Bel Air</t>
        </is>
      </c>
      <c r="K165" s="8">
        <v>48949.72</v>
      </c>
      <c r="L165" s="0" t="inlineStr">
        <is>
          <t xml:space="preserve">Clients</t>
        </is>
      </c>
      <c r="M165" s="9"/>
      <c r="N165" s="0">
        <f>IF(M165&lt;&gt;"",M165,L165)</f>
      </c>
      <c r="O165" s="0">
        <f>IFERROR(INDEX(Categories!$B$5:$B$35,MATCH(N165,Categories!$A$5:$A$35,0)),"NA")</f>
      </c>
    </row>
    <row r="166">
      <c r="A166" s="7">
        <v>45586</v>
      </c>
      <c r="B166" s="0" t="inlineStr">
        <is>
          <t xml:space="preserve">2024-S43</t>
        </is>
      </c>
      <c r="C166" s="0" t="inlineStr">
        <is>
          <t xml:space="preserve">2024-10</t>
        </is>
      </c>
      <c r="D166" s="0" t="inlineStr">
        <is>
          <t xml:space="preserve">2024</t>
        </is>
      </c>
      <c r="E166" s="6" t="inlineStr">
        <is>
          <t xml:space="preserve">512000</t>
        </is>
      </c>
      <c r="F166" s="6" t="inlineStr">
        <is>
          <t xml:space="preserve">BQ</t>
        </is>
      </c>
      <c r="G166" s="0" t="inlineStr">
        <is>
          <t xml:space="preserve">BQ00170</t>
        </is>
      </c>
      <c r="H166" s="6" t="inlineStr">
        <is>
          <t xml:space="preserve">401000</t>
        </is>
      </c>
      <c r="I166" s="0" t="inlineStr">
        <is>
          <t xml:space="preserve">Reglement fournisseur Vernis et Finitions F003-2024082</t>
        </is>
      </c>
      <c r="J166" s="0" t="inlineStr">
        <is>
          <t xml:space="preserve">Vernis et Finitions</t>
        </is>
      </c>
      <c r="K166" s="8">
        <v>-22325.44</v>
      </c>
      <c r="L166" s="0" t="inlineStr">
        <is>
          <t xml:space="preserve">Fournisseurs et charges externes</t>
        </is>
      </c>
      <c r="M166" s="9"/>
      <c r="N166" s="0">
        <f>IF(M166&lt;&gt;"",M166,L166)</f>
      </c>
      <c r="O166" s="0">
        <f>IFERROR(INDEX(Categories!$B$5:$B$35,MATCH(N166,Categories!$A$5:$A$35,0)),"NA")</f>
      </c>
    </row>
    <row r="167">
      <c r="A167" s="7">
        <v>45589</v>
      </c>
      <c r="B167" s="0" t="inlineStr">
        <is>
          <t xml:space="preserve">2024-S43</t>
        </is>
      </c>
      <c r="C167" s="0" t="inlineStr">
        <is>
          <t xml:space="preserve">2024-10</t>
        </is>
      </c>
      <c r="D167" s="0" t="inlineStr">
        <is>
          <t xml:space="preserve">2024</t>
        </is>
      </c>
      <c r="E167" s="6" t="inlineStr">
        <is>
          <t xml:space="preserve">512000</t>
        </is>
      </c>
      <c r="F167" s="6" t="inlineStr">
        <is>
          <t xml:space="preserve">BQ</t>
        </is>
      </c>
      <c r="G167" s="0" t="inlineStr">
        <is>
          <t xml:space="preserve">BQ00174</t>
        </is>
      </c>
      <c r="H167" s="6" t="inlineStr">
        <is>
          <t xml:space="preserve">401000</t>
        </is>
      </c>
      <c r="I167" s="0" t="inlineStr">
        <is>
          <t xml:space="preserve">Reglement fournisseur Scierie du Nord F001-2024091</t>
        </is>
      </c>
      <c r="J167" s="0" t="inlineStr">
        <is>
          <t xml:space="preserve">Scierie du Nord</t>
        </is>
      </c>
      <c r="K167" s="8">
        <v>-34996.07</v>
      </c>
      <c r="L167" s="0" t="inlineStr">
        <is>
          <t xml:space="preserve">Fournisseurs et charges externes</t>
        </is>
      </c>
      <c r="M167" s="9"/>
      <c r="N167" s="0">
        <f>IF(M167&lt;&gt;"",M167,L167)</f>
      </c>
      <c r="O167" s="0">
        <f>IFERROR(INDEX(Categories!$B$5:$B$35,MATCH(N167,Categories!$A$5:$A$35,0)),"NA")</f>
      </c>
    </row>
    <row r="168">
      <c r="A168" s="7">
        <v>45593</v>
      </c>
      <c r="B168" s="0" t="inlineStr">
        <is>
          <t xml:space="preserve">2024-S44</t>
        </is>
      </c>
      <c r="C168" s="0" t="inlineStr">
        <is>
          <t xml:space="preserve">2024-10</t>
        </is>
      </c>
      <c r="D168" s="0" t="inlineStr">
        <is>
          <t xml:space="preserve">2024</t>
        </is>
      </c>
      <c r="E168" s="6" t="inlineStr">
        <is>
          <t xml:space="preserve">512000</t>
        </is>
      </c>
      <c r="F168" s="6" t="inlineStr">
        <is>
          <t xml:space="preserve">BQ</t>
        </is>
      </c>
      <c r="G168" s="0" t="inlineStr">
        <is>
          <t xml:space="preserve">BQ00108</t>
        </is>
      </c>
      <c r="H168" s="6" t="inlineStr">
        <is>
          <t xml:space="preserve">411000</t>
        </is>
      </c>
      <c r="I168" s="0" t="inlineStr">
        <is>
          <t xml:space="preserve">Reglement client Cabinet Varenne Associes FA2024-0043</t>
        </is>
      </c>
      <c r="J168" s="0" t="inlineStr">
        <is>
          <t xml:space="preserve">Cabinet Varenne Associes</t>
        </is>
      </c>
      <c r="K168" s="8">
        <v>44967.01</v>
      </c>
      <c r="L168" s="0" t="inlineStr">
        <is>
          <t xml:space="preserve">Clients</t>
        </is>
      </c>
      <c r="M168" s="9"/>
      <c r="N168" s="0">
        <f>IF(M168&lt;&gt;"",M168,L168)</f>
      </c>
      <c r="O168" s="0">
        <f>IFERROR(INDEX(Categories!$B$5:$B$35,MATCH(N168,Categories!$A$5:$A$35,0)),"NA")</f>
      </c>
    </row>
    <row r="169">
      <c r="A169" s="7">
        <v>45596</v>
      </c>
      <c r="B169" s="0" t="inlineStr">
        <is>
          <t xml:space="preserve">2024-S44</t>
        </is>
      </c>
      <c r="C169" s="0" t="inlineStr">
        <is>
          <t xml:space="preserve">2024-10</t>
        </is>
      </c>
      <c r="D169" s="0" t="inlineStr">
        <is>
          <t xml:space="preserve">2024</t>
        </is>
      </c>
      <c r="E169" s="6" t="inlineStr">
        <is>
          <t xml:space="preserve">512000</t>
        </is>
      </c>
      <c r="F169" s="6" t="inlineStr">
        <is>
          <t xml:space="preserve">BQ</t>
        </is>
      </c>
      <c r="G169" s="0" t="inlineStr">
        <is>
          <t xml:space="preserve">BQ00028</t>
        </is>
      </c>
      <c r="H169" s="6" t="inlineStr">
        <is>
          <t xml:space="preserve">421000</t>
        </is>
      </c>
      <c r="I169" s="0" t="inlineStr">
        <is>
          <t xml:space="preserve">Virement salaires 10/2024</t>
        </is>
      </c>
      <c r="J169" s="0"/>
      <c r="K169" s="8">
        <v>-40436.01</v>
      </c>
      <c r="L169" s="0" t="inlineStr">
        <is>
          <t xml:space="preserve">Salaires et personnel</t>
        </is>
      </c>
      <c r="M169" s="9"/>
      <c r="N169" s="0">
        <f>IF(M169&lt;&gt;"",M169,L169)</f>
      </c>
      <c r="O169" s="0">
        <f>IFERROR(INDEX(Categories!$B$5:$B$35,MATCH(N169,Categories!$A$5:$A$35,0)),"NA")</f>
      </c>
    </row>
    <row r="170">
      <c r="A170" s="7">
        <v>45596</v>
      </c>
      <c r="B170" s="0" t="inlineStr">
        <is>
          <t xml:space="preserve">2024-S44</t>
        </is>
      </c>
      <c r="C170" s="0" t="inlineStr">
        <is>
          <t xml:space="preserve">2024-10</t>
        </is>
      </c>
      <c r="D170" s="0" t="inlineStr">
        <is>
          <t xml:space="preserve">2024</t>
        </is>
      </c>
      <c r="E170" s="6" t="inlineStr">
        <is>
          <t xml:space="preserve">512000</t>
        </is>
      </c>
      <c r="F170" s="6" t="inlineStr">
        <is>
          <t xml:space="preserve">BQ</t>
        </is>
      </c>
      <c r="G170" s="0" t="inlineStr">
        <is>
          <t xml:space="preserve">BQ00030</t>
        </is>
      </c>
      <c r="H170" s="6" t="inlineStr">
        <is>
          <t xml:space="preserve">627000</t>
        </is>
      </c>
      <c r="I170" s="0" t="inlineStr">
        <is>
          <t xml:space="preserve">Frais bancaires 10/2024</t>
        </is>
      </c>
      <c r="J170" s="0"/>
      <c r="K170" s="8">
        <v>-85</v>
      </c>
      <c r="L170" s="0" t="inlineStr">
        <is>
          <t xml:space="preserve">Frais bancaires</t>
        </is>
      </c>
      <c r="M170" s="9"/>
      <c r="N170" s="0">
        <f>IF(M170&lt;&gt;"",M170,L170)</f>
      </c>
      <c r="O170" s="0">
        <f>IFERROR(INDEX(Categories!$B$5:$B$35,MATCH(N170,Categories!$A$5:$A$35,0)),"NA")</f>
      </c>
    </row>
    <row r="171">
      <c r="A171" s="7">
        <v>45596</v>
      </c>
      <c r="B171" s="0" t="inlineStr">
        <is>
          <t xml:space="preserve">2024-S44</t>
        </is>
      </c>
      <c r="C171" s="0" t="inlineStr">
        <is>
          <t xml:space="preserve">2024-10</t>
        </is>
      </c>
      <c r="D171" s="0" t="inlineStr">
        <is>
          <t xml:space="preserve">2024</t>
        </is>
      </c>
      <c r="E171" s="6" t="inlineStr">
        <is>
          <t xml:space="preserve">512000</t>
        </is>
      </c>
      <c r="F171" s="6" t="inlineStr">
        <is>
          <t xml:space="preserve">BQ</t>
        </is>
      </c>
      <c r="G171" s="0" t="inlineStr">
        <is>
          <t xml:space="preserve">BQ00175</t>
        </is>
      </c>
      <c r="H171" s="6" t="inlineStr">
        <is>
          <t xml:space="preserve">401000</t>
        </is>
      </c>
      <c r="I171" s="0" t="inlineStr">
        <is>
          <t xml:space="preserve">Reglement fournisseur Quincaillerie Pro Est F002-2024092</t>
        </is>
      </c>
      <c r="J171" s="0" t="inlineStr">
        <is>
          <t xml:space="preserve">Quincaillerie Pro Est</t>
        </is>
      </c>
      <c r="K171" s="8">
        <v>-53203.93</v>
      </c>
      <c r="L171" s="0" t="inlineStr">
        <is>
          <t xml:space="preserve">Fournisseurs et charges externes</t>
        </is>
      </c>
      <c r="M171" s="9"/>
      <c r="N171" s="0">
        <f>IF(M171&lt;&gt;"",M171,L171)</f>
      </c>
      <c r="O171" s="0">
        <f>IFERROR(INDEX(Categories!$B$5:$B$35,MATCH(N171,Categories!$A$5:$A$35,0)),"NA")</f>
      </c>
    </row>
    <row r="172">
      <c r="A172" s="7">
        <v>45597</v>
      </c>
      <c r="B172" s="0" t="inlineStr">
        <is>
          <t xml:space="preserve">2024-S44</t>
        </is>
      </c>
      <c r="C172" s="0" t="inlineStr">
        <is>
          <t xml:space="preserve">2024-11</t>
        </is>
      </c>
      <c r="D172" s="0" t="inlineStr">
        <is>
          <t xml:space="preserve">2024</t>
        </is>
      </c>
      <c r="E172" s="6" t="inlineStr">
        <is>
          <t xml:space="preserve">512000</t>
        </is>
      </c>
      <c r="F172" s="6" t="inlineStr">
        <is>
          <t xml:space="preserve">BQ</t>
        </is>
      </c>
      <c r="G172" s="0" t="inlineStr">
        <is>
          <t xml:space="preserve">BQ00115</t>
        </is>
      </c>
      <c r="H172" s="6" t="inlineStr">
        <is>
          <t xml:space="preserve">411000</t>
        </is>
      </c>
      <c r="I172" s="0" t="inlineStr">
        <is>
          <t xml:space="preserve">Reglement client Restaurant Le Comptoir FA2024-0050</t>
        </is>
      </c>
      <c r="J172" s="0" t="inlineStr">
        <is>
          <t xml:space="preserve">Restaurant Le Comptoir</t>
        </is>
      </c>
      <c r="K172" s="8">
        <v>36738.47</v>
      </c>
      <c r="L172" s="0" t="inlineStr">
        <is>
          <t xml:space="preserve">Clients</t>
        </is>
      </c>
      <c r="M172" s="9"/>
      <c r="N172" s="0">
        <f>IF(M172&lt;&gt;"",M172,L172)</f>
      </c>
      <c r="O172" s="0">
        <f>IFERROR(INDEX(Categories!$B$5:$B$35,MATCH(N172,Categories!$A$5:$A$35,0)),"NA")</f>
      </c>
    </row>
    <row r="173">
      <c r="A173" s="7">
        <v>45600</v>
      </c>
      <c r="B173" s="0" t="inlineStr">
        <is>
          <t xml:space="preserve">2024-S45</t>
        </is>
      </c>
      <c r="C173" s="0" t="inlineStr">
        <is>
          <t xml:space="preserve">2024-11</t>
        </is>
      </c>
      <c r="D173" s="0" t="inlineStr">
        <is>
          <t xml:space="preserve">2024</t>
        </is>
      </c>
      <c r="E173" s="6" t="inlineStr">
        <is>
          <t xml:space="preserve">512000</t>
        </is>
      </c>
      <c r="F173" s="6" t="inlineStr">
        <is>
          <t xml:space="preserve">BQ</t>
        </is>
      </c>
      <c r="G173" s="0" t="inlineStr">
        <is>
          <t xml:space="preserve">BQ00182</t>
        </is>
      </c>
      <c r="H173" s="6" t="inlineStr">
        <is>
          <t xml:space="preserve">401000</t>
        </is>
      </c>
      <c r="I173" s="0" t="inlineStr">
        <is>
          <t xml:space="preserve">Reglement fournisseur SCI Les Halles F004-202410</t>
        </is>
      </c>
      <c r="J173" s="0" t="inlineStr">
        <is>
          <t xml:space="preserve">SCI Les Halles</t>
        </is>
      </c>
      <c r="K173" s="8">
        <v>-10200</v>
      </c>
      <c r="L173" s="0" t="inlineStr">
        <is>
          <t xml:space="preserve">Fournisseurs et charges externes</t>
        </is>
      </c>
      <c r="M173" s="9"/>
      <c r="N173" s="0">
        <f>IF(M173&lt;&gt;"",M173,L173)</f>
      </c>
      <c r="O173" s="0">
        <f>IFERROR(INDEX(Categories!$B$5:$B$35,MATCH(N173,Categories!$A$5:$A$35,0)),"NA")</f>
      </c>
    </row>
    <row r="174">
      <c r="A174" s="7">
        <v>45600</v>
      </c>
      <c r="B174" s="0" t="inlineStr">
        <is>
          <t xml:space="preserve">2024-S45</t>
        </is>
      </c>
      <c r="C174" s="0" t="inlineStr">
        <is>
          <t xml:space="preserve">2024-11</t>
        </is>
      </c>
      <c r="D174" s="0" t="inlineStr">
        <is>
          <t xml:space="preserve">2024</t>
        </is>
      </c>
      <c r="E174" s="6" t="inlineStr">
        <is>
          <t xml:space="preserve">512000</t>
        </is>
      </c>
      <c r="F174" s="6" t="inlineStr">
        <is>
          <t xml:space="preserve">BQ</t>
        </is>
      </c>
      <c r="G174" s="0" t="inlineStr">
        <is>
          <t xml:space="preserve">BQ00183</t>
        </is>
      </c>
      <c r="H174" s="6" t="inlineStr">
        <is>
          <t xml:space="preserve">401000</t>
        </is>
      </c>
      <c r="I174" s="0" t="inlineStr">
        <is>
          <t xml:space="preserve">Reglement fournisseur Energie Plus F005-202410</t>
        </is>
      </c>
      <c r="J174" s="0" t="inlineStr">
        <is>
          <t xml:space="preserve">Energie Plus</t>
        </is>
      </c>
      <c r="K174" s="8">
        <v>-3029.52</v>
      </c>
      <c r="L174" s="0" t="inlineStr">
        <is>
          <t xml:space="preserve">Fournisseurs et charges externes</t>
        </is>
      </c>
      <c r="M174" s="9"/>
      <c r="N174" s="0">
        <f>IF(M174&lt;&gt;"",M174,L174)</f>
      </c>
      <c r="O174" s="0">
        <f>IFERROR(INDEX(Categories!$B$5:$B$35,MATCH(N174,Categories!$A$5:$A$35,0)),"NA")</f>
      </c>
    </row>
    <row r="175">
      <c r="A175" s="7">
        <v>45600</v>
      </c>
      <c r="B175" s="0" t="inlineStr">
        <is>
          <t xml:space="preserve">2024-S45</t>
        </is>
      </c>
      <c r="C175" s="0" t="inlineStr">
        <is>
          <t xml:space="preserve">2024-11</t>
        </is>
      </c>
      <c r="D175" s="0" t="inlineStr">
        <is>
          <t xml:space="preserve">2024</t>
        </is>
      </c>
      <c r="E175" s="6" t="inlineStr">
        <is>
          <t xml:space="preserve">512000</t>
        </is>
      </c>
      <c r="F175" s="6" t="inlineStr">
        <is>
          <t xml:space="preserve">BQ</t>
        </is>
      </c>
      <c r="G175" s="0" t="inlineStr">
        <is>
          <t xml:space="preserve">BQ00184</t>
        </is>
      </c>
      <c r="H175" s="6" t="inlineStr">
        <is>
          <t xml:space="preserve">401000</t>
        </is>
      </c>
      <c r="I175" s="0" t="inlineStr">
        <is>
          <t xml:space="preserve">Reglement fournisseur Telecom Pro F008-202410</t>
        </is>
      </c>
      <c r="J175" s="0" t="inlineStr">
        <is>
          <t xml:space="preserve">Telecom Pro</t>
        </is>
      </c>
      <c r="K175" s="8">
        <v>-576</v>
      </c>
      <c r="L175" s="0" t="inlineStr">
        <is>
          <t xml:space="preserve">Fournisseurs et charges externes</t>
        </is>
      </c>
      <c r="M175" s="9"/>
      <c r="N175" s="0">
        <f>IF(M175&lt;&gt;"",M175,L175)</f>
      </c>
      <c r="O175" s="0">
        <f>IFERROR(INDEX(Categories!$B$5:$B$35,MATCH(N175,Categories!$A$5:$A$35,0)),"NA")</f>
      </c>
    </row>
    <row r="176">
      <c r="A176" s="7">
        <v>45600</v>
      </c>
      <c r="B176" s="0" t="inlineStr">
        <is>
          <t xml:space="preserve">2024-S45</t>
        </is>
      </c>
      <c r="C176" s="0" t="inlineStr">
        <is>
          <t xml:space="preserve">2024-11</t>
        </is>
      </c>
      <c r="D176" s="0" t="inlineStr">
        <is>
          <t xml:space="preserve">2024</t>
        </is>
      </c>
      <c r="E176" s="6" t="inlineStr">
        <is>
          <t xml:space="preserve">512000</t>
        </is>
      </c>
      <c r="F176" s="6" t="inlineStr">
        <is>
          <t xml:space="preserve">BQ</t>
        </is>
      </c>
      <c r="G176" s="0" t="inlineStr">
        <is>
          <t xml:space="preserve">BQ00185</t>
        </is>
      </c>
      <c r="H176" s="6" t="inlineStr">
        <is>
          <t xml:space="preserve">401000</t>
        </is>
      </c>
      <c r="I176" s="0" t="inlineStr">
        <is>
          <t xml:space="preserve">Reglement fournisseur Assurances Mutuelles Exemple F006-202410</t>
        </is>
      </c>
      <c r="J176" s="0" t="inlineStr">
        <is>
          <t xml:space="preserve">Assurances Mutuelles Exemple</t>
        </is>
      </c>
      <c r="K176" s="8">
        <v>-3000</v>
      </c>
      <c r="L176" s="0" t="inlineStr">
        <is>
          <t xml:space="preserve">Fournisseurs et charges externes</t>
        </is>
      </c>
      <c r="M176" s="9"/>
      <c r="N176" s="0">
        <f>IF(M176&lt;&gt;"",M176,L176)</f>
      </c>
      <c r="O176" s="0">
        <f>IFERROR(INDEX(Categories!$B$5:$B$35,MATCH(N176,Categories!$A$5:$A$35,0)),"NA")</f>
      </c>
    </row>
    <row r="177">
      <c r="A177" s="7">
        <v>45606</v>
      </c>
      <c r="B177" s="0" t="inlineStr">
        <is>
          <t xml:space="preserve">2024-S45</t>
        </is>
      </c>
      <c r="C177" s="0" t="inlineStr">
        <is>
          <t xml:space="preserve">2024-11</t>
        </is>
      </c>
      <c r="D177" s="0" t="inlineStr">
        <is>
          <t xml:space="preserve">2024</t>
        </is>
      </c>
      <c r="E177" s="6" t="inlineStr">
        <is>
          <t xml:space="preserve">512000</t>
        </is>
      </c>
      <c r="F177" s="6" t="inlineStr">
        <is>
          <t xml:space="preserve">BQ</t>
        </is>
      </c>
      <c r="G177" s="0" t="inlineStr">
        <is>
          <t xml:space="preserve">BQ00032</t>
        </is>
      </c>
      <c r="H177" s="6" t="inlineStr">
        <is>
          <t xml:space="preserve">164000</t>
        </is>
      </c>
      <c r="I177" s="0" t="inlineStr">
        <is>
          <t xml:space="preserve">Echeance emprunt 11/2024</t>
        </is>
      </c>
      <c r="J177" s="0"/>
      <c r="K177" s="8">
        <v>-2000</v>
      </c>
      <c r="L177" s="0" t="inlineStr">
        <is>
          <t xml:space="preserve">Emprunts - capital</t>
        </is>
      </c>
      <c r="M177" s="9"/>
      <c r="N177" s="0">
        <f>IF(M177&lt;&gt;"",M177,L177)</f>
      </c>
      <c r="O177" s="0">
        <f>IFERROR(INDEX(Categories!$B$5:$B$35,MATCH(N177,Categories!$A$5:$A$35,0)),"NA")</f>
      </c>
    </row>
    <row r="178">
      <c r="A178" s="7">
        <v>45606</v>
      </c>
      <c r="B178" s="0" t="inlineStr">
        <is>
          <t xml:space="preserve">2024-S45</t>
        </is>
      </c>
      <c r="C178" s="0" t="inlineStr">
        <is>
          <t xml:space="preserve">2024-11</t>
        </is>
      </c>
      <c r="D178" s="0" t="inlineStr">
        <is>
          <t xml:space="preserve">2024</t>
        </is>
      </c>
      <c r="E178" s="6" t="inlineStr">
        <is>
          <t xml:space="preserve">512000</t>
        </is>
      </c>
      <c r="F178" s="6" t="inlineStr">
        <is>
          <t xml:space="preserve">BQ</t>
        </is>
      </c>
      <c r="G178" s="0" t="inlineStr">
        <is>
          <t xml:space="preserve">BQ00032</t>
        </is>
      </c>
      <c r="H178" s="6" t="inlineStr">
        <is>
          <t xml:space="preserve">661100</t>
        </is>
      </c>
      <c r="I178" s="0" t="inlineStr">
        <is>
          <t xml:space="preserve">Echeance emprunt 11/2024</t>
        </is>
      </c>
      <c r="J178" s="0"/>
      <c r="K178" s="8">
        <v>-233.33</v>
      </c>
      <c r="L178" s="0" t="inlineStr">
        <is>
          <t xml:space="preserve">Intérêts et charges financières</t>
        </is>
      </c>
      <c r="M178" s="9"/>
      <c r="N178" s="0">
        <f>IF(M178&lt;&gt;"",M178,L178)</f>
      </c>
      <c r="O178" s="0">
        <f>IFERROR(INDEX(Categories!$B$5:$B$35,MATCH(N178,Categories!$A$5:$A$35,0)),"NA")</f>
      </c>
    </row>
    <row r="179">
      <c r="A179" s="7">
        <v>45608</v>
      </c>
      <c r="B179" s="0" t="inlineStr">
        <is>
          <t xml:space="preserve">2024-S46</t>
        </is>
      </c>
      <c r="C179" s="0" t="inlineStr">
        <is>
          <t xml:space="preserve">2024-11</t>
        </is>
      </c>
      <c r="D179" s="0" t="inlineStr">
        <is>
          <t xml:space="preserve">2024</t>
        </is>
      </c>
      <c r="E179" s="6" t="inlineStr">
        <is>
          <t xml:space="preserve">512000</t>
        </is>
      </c>
      <c r="F179" s="6" t="inlineStr">
        <is>
          <t xml:space="preserve">BQ</t>
        </is>
      </c>
      <c r="G179" s="0" t="inlineStr">
        <is>
          <t xml:space="preserve">BQ00116</t>
        </is>
      </c>
      <c r="H179" s="6" t="inlineStr">
        <is>
          <t xml:space="preserve">411000</t>
        </is>
      </c>
      <c r="I179" s="0" t="inlineStr">
        <is>
          <t xml:space="preserve">Reglement client Residence Bel Air FA2024-0051</t>
        </is>
      </c>
      <c r="J179" s="0" t="inlineStr">
        <is>
          <t xml:space="preserve">Residence Bel Air</t>
        </is>
      </c>
      <c r="K179" s="8">
        <v>60520.74</v>
      </c>
      <c r="L179" s="0" t="inlineStr">
        <is>
          <t xml:space="preserve">Clients</t>
        </is>
      </c>
      <c r="M179" s="9"/>
      <c r="N179" s="0">
        <f>IF(M179&lt;&gt;"",M179,L179)</f>
      </c>
      <c r="O179" s="0">
        <f>IFERROR(INDEX(Categories!$B$5:$B$35,MATCH(N179,Categories!$A$5:$A$35,0)),"NA")</f>
      </c>
    </row>
    <row r="180">
      <c r="A180" s="7">
        <v>45611</v>
      </c>
      <c r="B180" s="0" t="inlineStr">
        <is>
          <t xml:space="preserve">2024-S46</t>
        </is>
      </c>
      <c r="C180" s="0" t="inlineStr">
        <is>
          <t xml:space="preserve">2024-11</t>
        </is>
      </c>
      <c r="D180" s="0" t="inlineStr">
        <is>
          <t xml:space="preserve">2024</t>
        </is>
      </c>
      <c r="E180" s="6" t="inlineStr">
        <is>
          <t xml:space="preserve">512000</t>
        </is>
      </c>
      <c r="F180" s="6" t="inlineStr">
        <is>
          <t xml:space="preserve">BQ</t>
        </is>
      </c>
      <c r="G180" s="0" t="inlineStr">
        <is>
          <t xml:space="preserve">BQ00057</t>
        </is>
      </c>
      <c r="H180" s="6" t="inlineStr">
        <is>
          <t xml:space="preserve">431000</t>
        </is>
      </c>
      <c r="I180" s="0" t="inlineStr">
        <is>
          <t xml:space="preserve">Reglement URSSAF 10/2024</t>
        </is>
      </c>
      <c r="J180" s="0"/>
      <c r="K180" s="8">
        <v>-33178.27</v>
      </c>
      <c r="L180" s="0" t="inlineStr">
        <is>
          <t xml:space="preserve">Charges sociales</t>
        </is>
      </c>
      <c r="M180" s="9"/>
      <c r="N180" s="0">
        <f>IF(M180&lt;&gt;"",M180,L180)</f>
      </c>
      <c r="O180" s="0">
        <f>IFERROR(INDEX(Categories!$B$5:$B$35,MATCH(N180,Categories!$A$5:$A$35,0)),"NA")</f>
      </c>
    </row>
    <row r="181">
      <c r="A181" s="7">
        <v>45614</v>
      </c>
      <c r="B181" s="0" t="inlineStr">
        <is>
          <t xml:space="preserve">2024-S47</t>
        </is>
      </c>
      <c r="C181" s="0" t="inlineStr">
        <is>
          <t xml:space="preserve">2024-11</t>
        </is>
      </c>
      <c r="D181" s="0" t="inlineStr">
        <is>
          <t xml:space="preserve">2024</t>
        </is>
      </c>
      <c r="E181" s="6" t="inlineStr">
        <is>
          <t xml:space="preserve">512000</t>
        </is>
      </c>
      <c r="F181" s="6" t="inlineStr">
        <is>
          <t xml:space="preserve">BQ</t>
        </is>
      </c>
      <c r="G181" s="0" t="inlineStr">
        <is>
          <t xml:space="preserve">BQ00111</t>
        </is>
      </c>
      <c r="H181" s="6" t="inlineStr">
        <is>
          <t xml:space="preserve">411000</t>
        </is>
      </c>
      <c r="I181" s="0" t="inlineStr">
        <is>
          <t xml:space="preserve">Reglement client Clinique du Parc FA2024-0046</t>
        </is>
      </c>
      <c r="J181" s="0" t="inlineStr">
        <is>
          <t xml:space="preserve">Clinique du Parc</t>
        </is>
      </c>
      <c r="K181" s="8">
        <v>64791.82</v>
      </c>
      <c r="L181" s="0" t="inlineStr">
        <is>
          <t xml:space="preserve">Clients</t>
        </is>
      </c>
      <c r="M181" s="9"/>
      <c r="N181" s="0">
        <f>IF(M181&lt;&gt;"",M181,L181)</f>
      </c>
      <c r="O181" s="0">
        <f>IFERROR(INDEX(Categories!$B$5:$B$35,MATCH(N181,Categories!$A$5:$A$35,0)),"NA")</f>
      </c>
    </row>
    <row r="182">
      <c r="A182" s="7">
        <v>45616</v>
      </c>
      <c r="B182" s="0" t="inlineStr">
        <is>
          <t xml:space="preserve">2024-S47</t>
        </is>
      </c>
      <c r="C182" s="0" t="inlineStr">
        <is>
          <t xml:space="preserve">2024-11</t>
        </is>
      </c>
      <c r="D182" s="0" t="inlineStr">
        <is>
          <t xml:space="preserve">2024</t>
        </is>
      </c>
      <c r="E182" s="6" t="inlineStr">
        <is>
          <t xml:space="preserve">512000</t>
        </is>
      </c>
      <c r="F182" s="6" t="inlineStr">
        <is>
          <t xml:space="preserve">BQ</t>
        </is>
      </c>
      <c r="G182" s="0" t="inlineStr">
        <is>
          <t xml:space="preserve">BQ00058</t>
        </is>
      </c>
      <c r="H182" s="6" t="inlineStr">
        <is>
          <t xml:space="preserve">445510</t>
        </is>
      </c>
      <c r="I182" s="0" t="inlineStr">
        <is>
          <t xml:space="preserve">Reglement TVA 10/2024</t>
        </is>
      </c>
      <c r="J182" s="0"/>
      <c r="K182" s="8">
        <v>-18965.75</v>
      </c>
      <c r="L182" s="0" t="inlineStr">
        <is>
          <t xml:space="preserve">TVA</t>
        </is>
      </c>
      <c r="M182" s="9"/>
      <c r="N182" s="0">
        <f>IF(M182&lt;&gt;"",M182,L182)</f>
      </c>
      <c r="O182" s="0">
        <f>IFERROR(INDEX(Categories!$B$5:$B$35,MATCH(N182,Categories!$A$5:$A$35,0)),"NA")</f>
      </c>
    </row>
    <row r="183">
      <c r="A183" s="7">
        <v>45625</v>
      </c>
      <c r="B183" s="0" t="inlineStr">
        <is>
          <t xml:space="preserve">2024-S48</t>
        </is>
      </c>
      <c r="C183" s="0" t="inlineStr">
        <is>
          <t xml:space="preserve">2024-11</t>
        </is>
      </c>
      <c r="D183" s="0" t="inlineStr">
        <is>
          <t xml:space="preserve">2024</t>
        </is>
      </c>
      <c r="E183" s="6" t="inlineStr">
        <is>
          <t xml:space="preserve">512000</t>
        </is>
      </c>
      <c r="F183" s="6" t="inlineStr">
        <is>
          <t xml:space="preserve">BQ</t>
        </is>
      </c>
      <c r="G183" s="0" t="inlineStr">
        <is>
          <t xml:space="preserve">BQ00114</t>
        </is>
      </c>
      <c r="H183" s="6" t="inlineStr">
        <is>
          <t xml:space="preserve">411000</t>
        </is>
      </c>
      <c r="I183" s="0" t="inlineStr">
        <is>
          <t xml:space="preserve">Reglement client Agence Mobilis FA2024-0049</t>
        </is>
      </c>
      <c r="J183" s="0" t="inlineStr">
        <is>
          <t xml:space="preserve">Agence Mobilis</t>
        </is>
      </c>
      <c r="K183" s="8">
        <v>45140.21</v>
      </c>
      <c r="L183" s="0" t="inlineStr">
        <is>
          <t xml:space="preserve">Clients</t>
        </is>
      </c>
      <c r="M183" s="9"/>
      <c r="N183" s="0">
        <f>IF(M183&lt;&gt;"",M183,L183)</f>
      </c>
      <c r="O183" s="0">
        <f>IFERROR(INDEX(Categories!$B$5:$B$35,MATCH(N183,Categories!$A$5:$A$35,0)),"NA")</f>
      </c>
    </row>
    <row r="184">
      <c r="A184" s="7">
        <v>45626</v>
      </c>
      <c r="B184" s="0" t="inlineStr">
        <is>
          <t xml:space="preserve">2024-S48</t>
        </is>
      </c>
      <c r="C184" s="0" t="inlineStr">
        <is>
          <t xml:space="preserve">2024-11</t>
        </is>
      </c>
      <c r="D184" s="0" t="inlineStr">
        <is>
          <t xml:space="preserve">2024</t>
        </is>
      </c>
      <c r="E184" s="6" t="inlineStr">
        <is>
          <t xml:space="preserve">512000</t>
        </is>
      </c>
      <c r="F184" s="6" t="inlineStr">
        <is>
          <t xml:space="preserve">BQ</t>
        </is>
      </c>
      <c r="G184" s="0" t="inlineStr">
        <is>
          <t xml:space="preserve">BQ00031</t>
        </is>
      </c>
      <c r="H184" s="6" t="inlineStr">
        <is>
          <t xml:space="preserve">421000</t>
        </is>
      </c>
      <c r="I184" s="0" t="inlineStr">
        <is>
          <t xml:space="preserve">Virement salaires 11/2024</t>
        </is>
      </c>
      <c r="J184" s="0"/>
      <c r="K184" s="8">
        <v>-40322.61</v>
      </c>
      <c r="L184" s="0" t="inlineStr">
        <is>
          <t xml:space="preserve">Salaires et personnel</t>
        </is>
      </c>
      <c r="M184" s="9"/>
      <c r="N184" s="0">
        <f>IF(M184&lt;&gt;"",M184,L184)</f>
      </c>
      <c r="O184" s="0">
        <f>IFERROR(INDEX(Categories!$B$5:$B$35,MATCH(N184,Categories!$A$5:$A$35,0)),"NA")</f>
      </c>
    </row>
    <row r="185">
      <c r="A185" s="7">
        <v>45626</v>
      </c>
      <c r="B185" s="0" t="inlineStr">
        <is>
          <t xml:space="preserve">2024-S48</t>
        </is>
      </c>
      <c r="C185" s="0" t="inlineStr">
        <is>
          <t xml:space="preserve">2024-11</t>
        </is>
      </c>
      <c r="D185" s="0" t="inlineStr">
        <is>
          <t xml:space="preserve">2024</t>
        </is>
      </c>
      <c r="E185" s="6" t="inlineStr">
        <is>
          <t xml:space="preserve">512000</t>
        </is>
      </c>
      <c r="F185" s="6" t="inlineStr">
        <is>
          <t xml:space="preserve">BQ</t>
        </is>
      </c>
      <c r="G185" s="0" t="inlineStr">
        <is>
          <t xml:space="preserve">BQ00033</t>
        </is>
      </c>
      <c r="H185" s="6" t="inlineStr">
        <is>
          <t xml:space="preserve">627000</t>
        </is>
      </c>
      <c r="I185" s="0" t="inlineStr">
        <is>
          <t xml:space="preserve">Frais bancaires 11/2024</t>
        </is>
      </c>
      <c r="J185" s="0"/>
      <c r="K185" s="8">
        <v>-85</v>
      </c>
      <c r="L185" s="0" t="inlineStr">
        <is>
          <t xml:space="preserve">Frais bancaires</t>
        </is>
      </c>
      <c r="M185" s="9"/>
      <c r="N185" s="0">
        <f>IF(M185&lt;&gt;"",M185,L185)</f>
      </c>
      <c r="O185" s="0">
        <f>IFERROR(INDEX(Categories!$B$5:$B$35,MATCH(N185,Categories!$A$5:$A$35,0)),"NA")</f>
      </c>
    </row>
    <row r="186">
      <c r="A186" s="7">
        <v>45629</v>
      </c>
      <c r="B186" s="0" t="inlineStr">
        <is>
          <t xml:space="preserve">2024-S49</t>
        </is>
      </c>
      <c r="C186" s="0" t="inlineStr">
        <is>
          <t xml:space="preserve">2024-12</t>
        </is>
      </c>
      <c r="D186" s="0" t="inlineStr">
        <is>
          <t xml:space="preserve">2024</t>
        </is>
      </c>
      <c r="E186" s="6" t="inlineStr">
        <is>
          <t xml:space="preserve">512000</t>
        </is>
      </c>
      <c r="F186" s="6" t="inlineStr">
        <is>
          <t xml:space="preserve">BQ</t>
        </is>
      </c>
      <c r="G186" s="0" t="inlineStr">
        <is>
          <t xml:space="preserve">BQ00112</t>
        </is>
      </c>
      <c r="H186" s="6" t="inlineStr">
        <is>
          <t xml:space="preserve">411000</t>
        </is>
      </c>
      <c r="I186" s="0" t="inlineStr">
        <is>
          <t xml:space="preserve">Reglement client Hotel Les Tilleuls FA2024-0047</t>
        </is>
      </c>
      <c r="J186" s="0" t="inlineStr">
        <is>
          <t xml:space="preserve">Hotel Les Tilleuls</t>
        </is>
      </c>
      <c r="K186" s="8">
        <v>36126.59</v>
      </c>
      <c r="L186" s="0" t="inlineStr">
        <is>
          <t xml:space="preserve">Clients</t>
        </is>
      </c>
      <c r="M186" s="9"/>
      <c r="N186" s="0">
        <f>IF(M186&lt;&gt;"",M186,L186)</f>
      </c>
      <c r="O186" s="0">
        <f>IFERROR(INDEX(Categories!$B$5:$B$35,MATCH(N186,Categories!$A$5:$A$35,0)),"NA")</f>
      </c>
    </row>
    <row r="187">
      <c r="A187" s="7">
        <v>45631</v>
      </c>
      <c r="B187" s="0" t="inlineStr">
        <is>
          <t xml:space="preserve">2024-S49</t>
        </is>
      </c>
      <c r="C187" s="0" t="inlineStr">
        <is>
          <t xml:space="preserve">2024-12</t>
        </is>
      </c>
      <c r="D187" s="0" t="inlineStr">
        <is>
          <t xml:space="preserve">2024</t>
        </is>
      </c>
      <c r="E187" s="6" t="inlineStr">
        <is>
          <t xml:space="preserve">512000</t>
        </is>
      </c>
      <c r="F187" s="6" t="inlineStr">
        <is>
          <t xml:space="preserve">BQ</t>
        </is>
      </c>
      <c r="G187" s="0" t="inlineStr">
        <is>
          <t xml:space="preserve">BQ00187</t>
        </is>
      </c>
      <c r="H187" s="6" t="inlineStr">
        <is>
          <t xml:space="preserve">401000</t>
        </is>
      </c>
      <c r="I187" s="0" t="inlineStr">
        <is>
          <t xml:space="preserve">Reglement fournisseur SCI Les Halles F004-202411</t>
        </is>
      </c>
      <c r="J187" s="0" t="inlineStr">
        <is>
          <t xml:space="preserve">SCI Les Halles</t>
        </is>
      </c>
      <c r="K187" s="8">
        <v>-10200</v>
      </c>
      <c r="L187" s="0" t="inlineStr">
        <is>
          <t xml:space="preserve">Fournisseurs et charges externes</t>
        </is>
      </c>
      <c r="M187" s="9"/>
      <c r="N187" s="0">
        <f>IF(M187&lt;&gt;"",M187,L187)</f>
      </c>
      <c r="O187" s="0">
        <f>IFERROR(INDEX(Categories!$B$5:$B$35,MATCH(N187,Categories!$A$5:$A$35,0)),"NA")</f>
      </c>
    </row>
    <row r="188">
      <c r="A188" s="7">
        <v>45631</v>
      </c>
      <c r="B188" s="0" t="inlineStr">
        <is>
          <t xml:space="preserve">2024-S49</t>
        </is>
      </c>
      <c r="C188" s="0" t="inlineStr">
        <is>
          <t xml:space="preserve">2024-12</t>
        </is>
      </c>
      <c r="D188" s="0" t="inlineStr">
        <is>
          <t xml:space="preserve">2024</t>
        </is>
      </c>
      <c r="E188" s="6" t="inlineStr">
        <is>
          <t xml:space="preserve">512000</t>
        </is>
      </c>
      <c r="F188" s="6" t="inlineStr">
        <is>
          <t xml:space="preserve">BQ</t>
        </is>
      </c>
      <c r="G188" s="0" t="inlineStr">
        <is>
          <t xml:space="preserve">BQ00188</t>
        </is>
      </c>
      <c r="H188" s="6" t="inlineStr">
        <is>
          <t xml:space="preserve">401000</t>
        </is>
      </c>
      <c r="I188" s="0" t="inlineStr">
        <is>
          <t xml:space="preserve">Reglement fournisseur Energie Plus F005-202411</t>
        </is>
      </c>
      <c r="J188" s="0" t="inlineStr">
        <is>
          <t xml:space="preserve">Energie Plus</t>
        </is>
      </c>
      <c r="K188" s="8">
        <v>-3960.43</v>
      </c>
      <c r="L188" s="0" t="inlineStr">
        <is>
          <t xml:space="preserve">Fournisseurs et charges externes</t>
        </is>
      </c>
      <c r="M188" s="9"/>
      <c r="N188" s="0">
        <f>IF(M188&lt;&gt;"",M188,L188)</f>
      </c>
      <c r="O188" s="0">
        <f>IFERROR(INDEX(Categories!$B$5:$B$35,MATCH(N188,Categories!$A$5:$A$35,0)),"NA")</f>
      </c>
    </row>
    <row r="189">
      <c r="A189" s="7">
        <v>45631</v>
      </c>
      <c r="B189" s="0" t="inlineStr">
        <is>
          <t xml:space="preserve">2024-S49</t>
        </is>
      </c>
      <c r="C189" s="0" t="inlineStr">
        <is>
          <t xml:space="preserve">2024-12</t>
        </is>
      </c>
      <c r="D189" s="0" t="inlineStr">
        <is>
          <t xml:space="preserve">2024</t>
        </is>
      </c>
      <c r="E189" s="6" t="inlineStr">
        <is>
          <t xml:space="preserve">512000</t>
        </is>
      </c>
      <c r="F189" s="6" t="inlineStr">
        <is>
          <t xml:space="preserve">BQ</t>
        </is>
      </c>
      <c r="G189" s="0" t="inlineStr">
        <is>
          <t xml:space="preserve">BQ00189</t>
        </is>
      </c>
      <c r="H189" s="6" t="inlineStr">
        <is>
          <t xml:space="preserve">401000</t>
        </is>
      </c>
      <c r="I189" s="0" t="inlineStr">
        <is>
          <t xml:space="preserve">Reglement fournisseur Telecom Pro F008-202411</t>
        </is>
      </c>
      <c r="J189" s="0" t="inlineStr">
        <is>
          <t xml:space="preserve">Telecom Pro</t>
        </is>
      </c>
      <c r="K189" s="8">
        <v>-576</v>
      </c>
      <c r="L189" s="0" t="inlineStr">
        <is>
          <t xml:space="preserve">Fournisseurs et charges externes</t>
        </is>
      </c>
      <c r="M189" s="9"/>
      <c r="N189" s="0">
        <f>IF(M189&lt;&gt;"",M189,L189)</f>
      </c>
      <c r="O189" s="0">
        <f>IFERROR(INDEX(Categories!$B$5:$B$35,MATCH(N189,Categories!$A$5:$A$35,0)),"NA")</f>
      </c>
    </row>
    <row r="190">
      <c r="A190" s="7">
        <v>45636</v>
      </c>
      <c r="B190" s="0" t="inlineStr">
        <is>
          <t xml:space="preserve">2024-S50</t>
        </is>
      </c>
      <c r="C190" s="0" t="inlineStr">
        <is>
          <t xml:space="preserve">2024-12</t>
        </is>
      </c>
      <c r="D190" s="0" t="inlineStr">
        <is>
          <t xml:space="preserve">2024</t>
        </is>
      </c>
      <c r="E190" s="6" t="inlineStr">
        <is>
          <t xml:space="preserve">512000</t>
        </is>
      </c>
      <c r="F190" s="6" t="inlineStr">
        <is>
          <t xml:space="preserve">BQ</t>
        </is>
      </c>
      <c r="G190" s="0" t="inlineStr">
        <is>
          <t xml:space="preserve">BQ00035</t>
        </is>
      </c>
      <c r="H190" s="6" t="inlineStr">
        <is>
          <t xml:space="preserve">164000</t>
        </is>
      </c>
      <c r="I190" s="0" t="inlineStr">
        <is>
          <t xml:space="preserve">Echeance emprunt 12/2024</t>
        </is>
      </c>
      <c r="J190" s="0"/>
      <c r="K190" s="8">
        <v>-2000</v>
      </c>
      <c r="L190" s="0" t="inlineStr">
        <is>
          <t xml:space="preserve">Emprunts - capital</t>
        </is>
      </c>
      <c r="M190" s="9"/>
      <c r="N190" s="0">
        <f>IF(M190&lt;&gt;"",M190,L190)</f>
      </c>
      <c r="O190" s="0">
        <f>IFERROR(INDEX(Categories!$B$5:$B$35,MATCH(N190,Categories!$A$5:$A$35,0)),"NA")</f>
      </c>
    </row>
    <row r="191">
      <c r="A191" s="7">
        <v>45636</v>
      </c>
      <c r="B191" s="0" t="inlineStr">
        <is>
          <t xml:space="preserve">2024-S50</t>
        </is>
      </c>
      <c r="C191" s="0" t="inlineStr">
        <is>
          <t xml:space="preserve">2024-12</t>
        </is>
      </c>
      <c r="D191" s="0" t="inlineStr">
        <is>
          <t xml:space="preserve">2024</t>
        </is>
      </c>
      <c r="E191" s="6" t="inlineStr">
        <is>
          <t xml:space="preserve">512000</t>
        </is>
      </c>
      <c r="F191" s="6" t="inlineStr">
        <is>
          <t xml:space="preserve">BQ</t>
        </is>
      </c>
      <c r="G191" s="0" t="inlineStr">
        <is>
          <t xml:space="preserve">BQ00035</t>
        </is>
      </c>
      <c r="H191" s="6" t="inlineStr">
        <is>
          <t xml:space="preserve">661100</t>
        </is>
      </c>
      <c r="I191" s="0" t="inlineStr">
        <is>
          <t xml:space="preserve">Echeance emprunt 12/2024</t>
        </is>
      </c>
      <c r="J191" s="0"/>
      <c r="K191" s="8">
        <v>-226.67</v>
      </c>
      <c r="L191" s="0" t="inlineStr">
        <is>
          <t xml:space="preserve">Intérêts et charges financières</t>
        </is>
      </c>
      <c r="M191" s="9"/>
      <c r="N191" s="0">
        <f>IF(M191&lt;&gt;"",M191,L191)</f>
      </c>
      <c r="O191" s="0">
        <f>IFERROR(INDEX(Categories!$B$5:$B$35,MATCH(N191,Categories!$A$5:$A$35,0)),"NA")</f>
      </c>
    </row>
    <row r="192">
      <c r="A192" s="7">
        <v>45639</v>
      </c>
      <c r="B192" s="0" t="inlineStr">
        <is>
          <t xml:space="preserve">2024-S50</t>
        </is>
      </c>
      <c r="C192" s="0" t="inlineStr">
        <is>
          <t xml:space="preserve">2024-12</t>
        </is>
      </c>
      <c r="D192" s="0" t="inlineStr">
        <is>
          <t xml:space="preserve">2024</t>
        </is>
      </c>
      <c r="E192" s="6" t="inlineStr">
        <is>
          <t xml:space="preserve">512000</t>
        </is>
      </c>
      <c r="F192" s="6" t="inlineStr">
        <is>
          <t xml:space="preserve">BQ</t>
        </is>
      </c>
      <c r="G192" s="0" t="inlineStr">
        <is>
          <t xml:space="preserve">BQ00117</t>
        </is>
      </c>
      <c r="H192" s="6" t="inlineStr">
        <is>
          <t xml:space="preserve">411000</t>
        </is>
      </c>
      <c r="I192" s="0" t="inlineStr">
        <is>
          <t xml:space="preserve">Reglement client Boutique Hetre et Chene FA2024-0053</t>
        </is>
      </c>
      <c r="J192" s="0" t="inlineStr">
        <is>
          <t xml:space="preserve">Boutique Hetre et Chene</t>
        </is>
      </c>
      <c r="K192" s="8">
        <v>44146.18</v>
      </c>
      <c r="L192" s="0" t="inlineStr">
        <is>
          <t xml:space="preserve">Clients</t>
        </is>
      </c>
      <c r="M192" s="9"/>
      <c r="N192" s="0">
        <f>IF(M192&lt;&gt;"",M192,L192)</f>
      </c>
      <c r="O192" s="0">
        <f>IFERROR(INDEX(Categories!$B$5:$B$35,MATCH(N192,Categories!$A$5:$A$35,0)),"NA")</f>
      </c>
    </row>
    <row r="193">
      <c r="A193" s="7">
        <v>45641</v>
      </c>
      <c r="B193" s="0" t="inlineStr">
        <is>
          <t xml:space="preserve">2024-S50</t>
        </is>
      </c>
      <c r="C193" s="0" t="inlineStr">
        <is>
          <t xml:space="preserve">2024-12</t>
        </is>
      </c>
      <c r="D193" s="0" t="inlineStr">
        <is>
          <t xml:space="preserve">2024</t>
        </is>
      </c>
      <c r="E193" s="6" t="inlineStr">
        <is>
          <t xml:space="preserve">512000</t>
        </is>
      </c>
      <c r="F193" s="6" t="inlineStr">
        <is>
          <t xml:space="preserve">BQ</t>
        </is>
      </c>
      <c r="G193" s="0" t="inlineStr">
        <is>
          <t xml:space="preserve">BQ00059</t>
        </is>
      </c>
      <c r="H193" s="6" t="inlineStr">
        <is>
          <t xml:space="preserve">431000</t>
        </is>
      </c>
      <c r="I193" s="0" t="inlineStr">
        <is>
          <t xml:space="preserve">Reglement URSSAF 11/2024</t>
        </is>
      </c>
      <c r="J193" s="0"/>
      <c r="K193" s="8">
        <v>-33085.21</v>
      </c>
      <c r="L193" s="0" t="inlineStr">
        <is>
          <t xml:space="preserve">Charges sociales</t>
        </is>
      </c>
      <c r="M193" s="9"/>
      <c r="N193" s="0">
        <f>IF(M193&lt;&gt;"",M193,L193)</f>
      </c>
      <c r="O193" s="0">
        <f>IFERROR(INDEX(Categories!$B$5:$B$35,MATCH(N193,Categories!$A$5:$A$35,0)),"NA")</f>
      </c>
    </row>
    <row r="194">
      <c r="A194" s="7">
        <v>45641</v>
      </c>
      <c r="B194" s="0" t="inlineStr">
        <is>
          <t xml:space="preserve">2024-S50</t>
        </is>
      </c>
      <c r="C194" s="0" t="inlineStr">
        <is>
          <t xml:space="preserve">2024-12</t>
        </is>
      </c>
      <c r="D194" s="0" t="inlineStr">
        <is>
          <t xml:space="preserve">2024</t>
        </is>
      </c>
      <c r="E194" s="6" t="inlineStr">
        <is>
          <t xml:space="preserve">512000</t>
        </is>
      </c>
      <c r="F194" s="6" t="inlineStr">
        <is>
          <t xml:space="preserve">BQ</t>
        </is>
      </c>
      <c r="G194" s="0" t="inlineStr">
        <is>
          <t xml:space="preserve">BQ00190</t>
        </is>
      </c>
      <c r="H194" s="6" t="inlineStr">
        <is>
          <t xml:space="preserve">635110</t>
        </is>
      </c>
      <c r="I194" s="0" t="inlineStr">
        <is>
          <t xml:space="preserve">CFE 2024</t>
        </is>
      </c>
      <c r="J194" s="0"/>
      <c r="K194" s="8">
        <v>-4500</v>
      </c>
      <c r="L194" s="0" t="inlineStr">
        <is>
          <t xml:space="preserve">Autres impôts et taxes</t>
        </is>
      </c>
      <c r="M194" s="9"/>
      <c r="N194" s="0">
        <f>IF(M194&lt;&gt;"",M194,L194)</f>
      </c>
      <c r="O194" s="0">
        <f>IFERROR(INDEX(Categories!$B$5:$B$35,MATCH(N194,Categories!$A$5:$A$35,0)),"NA")</f>
      </c>
    </row>
    <row r="195">
      <c r="A195" s="7">
        <v>45642</v>
      </c>
      <c r="B195" s="0" t="inlineStr">
        <is>
          <t xml:space="preserve">2024-S51</t>
        </is>
      </c>
      <c r="C195" s="0" t="inlineStr">
        <is>
          <t xml:space="preserve">2024-12</t>
        </is>
      </c>
      <c r="D195" s="0" t="inlineStr">
        <is>
          <t xml:space="preserve">2024</t>
        </is>
      </c>
      <c r="E195" s="6" t="inlineStr">
        <is>
          <t xml:space="preserve">512000</t>
        </is>
      </c>
      <c r="F195" s="6" t="inlineStr">
        <is>
          <t xml:space="preserve">BQ</t>
        </is>
      </c>
      <c r="G195" s="0" t="inlineStr">
        <is>
          <t xml:space="preserve">BQ00113</t>
        </is>
      </c>
      <c r="H195" s="6" t="inlineStr">
        <is>
          <t xml:space="preserve">411000</t>
        </is>
      </c>
      <c r="I195" s="0" t="inlineStr">
        <is>
          <t xml:space="preserve">Reglement client Restaurant Le Comptoir FA2024-0048</t>
        </is>
      </c>
      <c r="J195" s="0" t="inlineStr">
        <is>
          <t xml:space="preserve">Restaurant Le Comptoir</t>
        </is>
      </c>
      <c r="K195" s="8">
        <v>41473.99</v>
      </c>
      <c r="L195" s="0" t="inlineStr">
        <is>
          <t xml:space="preserve">Clients</t>
        </is>
      </c>
      <c r="M195" s="9"/>
      <c r="N195" s="0">
        <f>IF(M195&lt;&gt;"",M195,L195)</f>
      </c>
      <c r="O195" s="0">
        <f>IFERROR(INDEX(Categories!$B$5:$B$35,MATCH(N195,Categories!$A$5:$A$35,0)),"NA")</f>
      </c>
    </row>
    <row r="196">
      <c r="A196" s="7">
        <v>45642</v>
      </c>
      <c r="B196" s="0" t="inlineStr">
        <is>
          <t xml:space="preserve">2024-S51</t>
        </is>
      </c>
      <c r="C196" s="0" t="inlineStr">
        <is>
          <t xml:space="preserve">2024-12</t>
        </is>
      </c>
      <c r="D196" s="0" t="inlineStr">
        <is>
          <t xml:space="preserve">2024</t>
        </is>
      </c>
      <c r="E196" s="6" t="inlineStr">
        <is>
          <t xml:space="preserve">512000</t>
        </is>
      </c>
      <c r="F196" s="6" t="inlineStr">
        <is>
          <t xml:space="preserve">BQ</t>
        </is>
      </c>
      <c r="G196" s="0" t="inlineStr">
        <is>
          <t xml:space="preserve">BQ00118</t>
        </is>
      </c>
      <c r="H196" s="6" t="inlineStr">
        <is>
          <t xml:space="preserve">411000</t>
        </is>
      </c>
      <c r="I196" s="0" t="inlineStr">
        <is>
          <t xml:space="preserve">Reglement client Residence Bel Air FA2024-0055</t>
        </is>
      </c>
      <c r="J196" s="0" t="inlineStr">
        <is>
          <t xml:space="preserve">Residence Bel Air</t>
        </is>
      </c>
      <c r="K196" s="8">
        <v>70475.3</v>
      </c>
      <c r="L196" s="0" t="inlineStr">
        <is>
          <t xml:space="preserve">Clients</t>
        </is>
      </c>
      <c r="M196" s="9"/>
      <c r="N196" s="0">
        <f>IF(M196&lt;&gt;"",M196,L196)</f>
      </c>
      <c r="O196" s="0">
        <f>IFERROR(INDEX(Categories!$B$5:$B$35,MATCH(N196,Categories!$A$5:$A$35,0)),"NA")</f>
      </c>
    </row>
    <row r="197">
      <c r="A197" s="7">
        <v>45642</v>
      </c>
      <c r="B197" s="0" t="inlineStr">
        <is>
          <t xml:space="preserve">2024-S51</t>
        </is>
      </c>
      <c r="C197" s="0" t="inlineStr">
        <is>
          <t xml:space="preserve">2024-12</t>
        </is>
      </c>
      <c r="D197" s="0" t="inlineStr">
        <is>
          <t xml:space="preserve">2024</t>
        </is>
      </c>
      <c r="E197" s="6" t="inlineStr">
        <is>
          <t xml:space="preserve">512000</t>
        </is>
      </c>
      <c r="F197" s="6" t="inlineStr">
        <is>
          <t xml:space="preserve">BQ</t>
        </is>
      </c>
      <c r="G197" s="0" t="inlineStr">
        <is>
          <t xml:space="preserve">BQ00180</t>
        </is>
      </c>
      <c r="H197" s="6" t="inlineStr">
        <is>
          <t xml:space="preserve">401000</t>
        </is>
      </c>
      <c r="I197" s="0" t="inlineStr">
        <is>
          <t xml:space="preserve">Reglement fournisseur Quincaillerie Pro Est F002-2024101</t>
        </is>
      </c>
      <c r="J197" s="0" t="inlineStr">
        <is>
          <t xml:space="preserve">Quincaillerie Pro Est</t>
        </is>
      </c>
      <c r="K197" s="8">
        <v>-53496.72</v>
      </c>
      <c r="L197" s="0" t="inlineStr">
        <is>
          <t xml:space="preserve">Fournisseurs et charges externes</t>
        </is>
      </c>
      <c r="M197" s="9"/>
      <c r="N197" s="0">
        <f>IF(M197&lt;&gt;"",M197,L197)</f>
      </c>
      <c r="O197" s="0">
        <f>IFERROR(INDEX(Categories!$B$5:$B$35,MATCH(N197,Categories!$A$5:$A$35,0)),"NA")</f>
      </c>
    </row>
    <row r="198">
      <c r="A198" s="7">
        <v>45642</v>
      </c>
      <c r="B198" s="0" t="inlineStr">
        <is>
          <t xml:space="preserve">2024-S51</t>
        </is>
      </c>
      <c r="C198" s="0" t="inlineStr">
        <is>
          <t xml:space="preserve">2024-12</t>
        </is>
      </c>
      <c r="D198" s="0" t="inlineStr">
        <is>
          <t xml:space="preserve">2024</t>
        </is>
      </c>
      <c r="E198" s="6" t="inlineStr">
        <is>
          <t xml:space="preserve">512000</t>
        </is>
      </c>
      <c r="F198" s="6" t="inlineStr">
        <is>
          <t xml:space="preserve">BQ</t>
        </is>
      </c>
      <c r="G198" s="0" t="inlineStr">
        <is>
          <t xml:space="preserve">BQ00181</t>
        </is>
      </c>
      <c r="H198" s="6" t="inlineStr">
        <is>
          <t xml:space="preserve">401000</t>
        </is>
      </c>
      <c r="I198" s="0" t="inlineStr">
        <is>
          <t xml:space="preserve">Reglement fournisseur Quincaillerie Pro Est F002-2024102</t>
        </is>
      </c>
      <c r="J198" s="0" t="inlineStr">
        <is>
          <t xml:space="preserve">Quincaillerie Pro Est</t>
        </is>
      </c>
      <c r="K198" s="8">
        <v>-38903.28</v>
      </c>
      <c r="L198" s="0" t="inlineStr">
        <is>
          <t xml:space="preserve">Fournisseurs et charges externes</t>
        </is>
      </c>
      <c r="M198" s="9"/>
      <c r="N198" s="0">
        <f>IF(M198&lt;&gt;"",M198,L198)</f>
      </c>
      <c r="O198" s="0">
        <f>IFERROR(INDEX(Categories!$B$5:$B$35,MATCH(N198,Categories!$A$5:$A$35,0)),"NA")</f>
      </c>
    </row>
    <row r="199">
      <c r="A199" s="7">
        <v>45646</v>
      </c>
      <c r="B199" s="0" t="inlineStr">
        <is>
          <t xml:space="preserve">2024-S51</t>
        </is>
      </c>
      <c r="C199" s="0" t="inlineStr">
        <is>
          <t xml:space="preserve">2024-12</t>
        </is>
      </c>
      <c r="D199" s="0" t="inlineStr">
        <is>
          <t xml:space="preserve">2024</t>
        </is>
      </c>
      <c r="E199" s="6" t="inlineStr">
        <is>
          <t xml:space="preserve">512000</t>
        </is>
      </c>
      <c r="F199" s="6" t="inlineStr">
        <is>
          <t xml:space="preserve">BQ</t>
        </is>
      </c>
      <c r="G199" s="0" t="inlineStr">
        <is>
          <t xml:space="preserve">BQ00060</t>
        </is>
      </c>
      <c r="H199" s="6" t="inlineStr">
        <is>
          <t xml:space="preserve">445510</t>
        </is>
      </c>
      <c r="I199" s="0" t="inlineStr">
        <is>
          <t xml:space="preserve">Reglement TVA 11/2024</t>
        </is>
      </c>
      <c r="J199" s="0"/>
      <c r="K199" s="8">
        <v>-18810.59</v>
      </c>
      <c r="L199" s="0" t="inlineStr">
        <is>
          <t xml:space="preserve">TVA</t>
        </is>
      </c>
      <c r="M199" s="9"/>
      <c r="N199" s="0">
        <f>IF(M199&lt;&gt;"",M199,L199)</f>
      </c>
      <c r="O199" s="0">
        <f>IFERROR(INDEX(Categories!$B$5:$B$35,MATCH(N199,Categories!$A$5:$A$35,0)),"NA")</f>
      </c>
    </row>
    <row r="200">
      <c r="A200" s="7">
        <v>45656</v>
      </c>
      <c r="B200" s="0" t="inlineStr">
        <is>
          <t xml:space="preserve">2025-S01</t>
        </is>
      </c>
      <c r="C200" s="0" t="inlineStr">
        <is>
          <t xml:space="preserve">2024-12</t>
        </is>
      </c>
      <c r="D200" s="0" t="inlineStr">
        <is>
          <t xml:space="preserve">2024</t>
        </is>
      </c>
      <c r="E200" s="6" t="inlineStr">
        <is>
          <t xml:space="preserve">512000</t>
        </is>
      </c>
      <c r="F200" s="6" t="inlineStr">
        <is>
          <t xml:space="preserve">BQ</t>
        </is>
      </c>
      <c r="G200" s="0" t="inlineStr">
        <is>
          <t xml:space="preserve">BQ00186</t>
        </is>
      </c>
      <c r="H200" s="6" t="inlineStr">
        <is>
          <t xml:space="preserve">401000</t>
        </is>
      </c>
      <c r="I200" s="0" t="inlineStr">
        <is>
          <t xml:space="preserve">Reglement fournisseur Quincaillerie Pro Est F002-2024112</t>
        </is>
      </c>
      <c r="J200" s="0" t="inlineStr">
        <is>
          <t xml:space="preserve">Quincaillerie Pro Est</t>
        </is>
      </c>
      <c r="K200" s="8">
        <v>-39809.99</v>
      </c>
      <c r="L200" s="0" t="inlineStr">
        <is>
          <t xml:space="preserve">Fournisseurs et charges externes</t>
        </is>
      </c>
      <c r="M200" s="9"/>
      <c r="N200" s="0">
        <f>IF(M200&lt;&gt;"",M200,L200)</f>
      </c>
      <c r="O200" s="0">
        <f>IFERROR(INDEX(Categories!$B$5:$B$35,MATCH(N200,Categories!$A$5:$A$35,0)),"NA")</f>
      </c>
    </row>
    <row r="201">
      <c r="A201" s="7">
        <v>45657</v>
      </c>
      <c r="B201" s="0" t="inlineStr">
        <is>
          <t xml:space="preserve">2025-S01</t>
        </is>
      </c>
      <c r="C201" s="0" t="inlineStr">
        <is>
          <t xml:space="preserve">2024-12</t>
        </is>
      </c>
      <c r="D201" s="0" t="inlineStr">
        <is>
          <t xml:space="preserve">2024</t>
        </is>
      </c>
      <c r="E201" s="6" t="inlineStr">
        <is>
          <t xml:space="preserve">512000</t>
        </is>
      </c>
      <c r="F201" s="6" t="inlineStr">
        <is>
          <t xml:space="preserve">BQ</t>
        </is>
      </c>
      <c r="G201" s="0" t="inlineStr">
        <is>
          <t xml:space="preserve">BQ00034</t>
        </is>
      </c>
      <c r="H201" s="6" t="inlineStr">
        <is>
          <t xml:space="preserve">421000</t>
        </is>
      </c>
      <c r="I201" s="0" t="inlineStr">
        <is>
          <t xml:space="preserve">Virement salaires 12/2024</t>
        </is>
      </c>
      <c r="J201" s="0"/>
      <c r="K201" s="8">
        <v>-40575.26</v>
      </c>
      <c r="L201" s="0" t="inlineStr">
        <is>
          <t xml:space="preserve">Salaires et personnel</t>
        </is>
      </c>
      <c r="M201" s="9"/>
      <c r="N201" s="0">
        <f>IF(M201&lt;&gt;"",M201,L201)</f>
      </c>
      <c r="O201" s="0">
        <f>IFERROR(INDEX(Categories!$B$5:$B$35,MATCH(N201,Categories!$A$5:$A$35,0)),"NA")</f>
      </c>
    </row>
    <row r="202">
      <c r="A202" s="7">
        <v>45657</v>
      </c>
      <c r="B202" s="0" t="inlineStr">
        <is>
          <t xml:space="preserve">2025-S01</t>
        </is>
      </c>
      <c r="C202" s="0" t="inlineStr">
        <is>
          <t xml:space="preserve">2024-12</t>
        </is>
      </c>
      <c r="D202" s="0" t="inlineStr">
        <is>
          <t xml:space="preserve">2024</t>
        </is>
      </c>
      <c r="E202" s="6" t="inlineStr">
        <is>
          <t xml:space="preserve">512000</t>
        </is>
      </c>
      <c r="F202" s="6" t="inlineStr">
        <is>
          <t xml:space="preserve">BQ</t>
        </is>
      </c>
      <c r="G202" s="0" t="inlineStr">
        <is>
          <t xml:space="preserve">BQ00036</t>
        </is>
      </c>
      <c r="H202" s="6" t="inlineStr">
        <is>
          <t xml:space="preserve">627000</t>
        </is>
      </c>
      <c r="I202" s="0" t="inlineStr">
        <is>
          <t xml:space="preserve">Frais bancaires 12/2024</t>
        </is>
      </c>
      <c r="J202" s="0"/>
      <c r="K202" s="8">
        <v>-85</v>
      </c>
      <c r="L202" s="0" t="inlineStr">
        <is>
          <t xml:space="preserve">Frais bancaires</t>
        </is>
      </c>
      <c r="M202" s="9"/>
      <c r="N202" s="0">
        <f>IF(M202&lt;&gt;"",M202,L202)</f>
      </c>
      <c r="O202" s="0">
        <f>IFERROR(INDEX(Categories!$B$5:$B$35,MATCH(N202,Categories!$A$5:$A$35,0)),"NA")</f>
      </c>
    </row>
    <row r="203">
      <c r="A203" s="7">
        <v>45657</v>
      </c>
      <c r="B203" s="0" t="inlineStr">
        <is>
          <t xml:space="preserve">2025-S01</t>
        </is>
      </c>
      <c r="C203" s="0" t="inlineStr">
        <is>
          <t xml:space="preserve">2024-12</t>
        </is>
      </c>
      <c r="D203" s="0" t="inlineStr">
        <is>
          <t xml:space="preserve">2024</t>
        </is>
      </c>
      <c r="E203" s="6" t="inlineStr">
        <is>
          <t xml:space="preserve">512000</t>
        </is>
      </c>
      <c r="F203" s="6" t="inlineStr">
        <is>
          <t xml:space="preserve">BQ</t>
        </is>
      </c>
      <c r="G203" s="0" t="inlineStr">
        <is>
          <t xml:space="preserve">BQ00119</t>
        </is>
      </c>
      <c r="H203" s="6" t="inlineStr">
        <is>
          <t xml:space="preserve">411000</t>
        </is>
      </c>
      <c r="I203" s="0" t="inlineStr">
        <is>
          <t xml:space="preserve">Reglement client Clinique du Parc FA2024-0056</t>
        </is>
      </c>
      <c r="J203" s="0" t="inlineStr">
        <is>
          <t xml:space="preserve">Clinique du Parc</t>
        </is>
      </c>
      <c r="K203" s="8">
        <v>37139.6</v>
      </c>
      <c r="L203" s="0" t="inlineStr">
        <is>
          <t xml:space="preserve">Clients</t>
        </is>
      </c>
      <c r="M203" s="9"/>
      <c r="N203" s="0">
        <f>IF(M203&lt;&gt;"",M203,L203)</f>
      </c>
      <c r="O203" s="0">
        <f>IFERROR(INDEX(Categories!$B$5:$B$35,MATCH(N203,Categories!$A$5:$A$35,0)),"NA")</f>
      </c>
    </row>
    <row r="204">
      <c r="A204" s="7">
        <v>45663</v>
      </c>
      <c r="B204" s="0" t="inlineStr">
        <is>
          <t xml:space="preserve">2025-S02</t>
        </is>
      </c>
      <c r="C204" s="0" t="inlineStr">
        <is>
          <t xml:space="preserve">2025-01</t>
        </is>
      </c>
      <c r="D204" s="0" t="inlineStr">
        <is>
          <t xml:space="preserve">2025</t>
        </is>
      </c>
      <c r="E204" s="6" t="inlineStr">
        <is>
          <t xml:space="preserve">512000</t>
        </is>
      </c>
      <c r="F204" s="6" t="inlineStr">
        <is>
          <t xml:space="preserve">BQ</t>
        </is>
      </c>
      <c r="G204" s="0" t="inlineStr">
        <is>
          <t xml:space="preserve">BQ00060</t>
        </is>
      </c>
      <c r="H204" s="6" t="inlineStr">
        <is>
          <t xml:space="preserve">411000</t>
        </is>
      </c>
      <c r="I204" s="0" t="inlineStr">
        <is>
          <t xml:space="preserve">Reglement client Coworking Atelier 9 AN2025</t>
        </is>
      </c>
      <c r="J204" s="0" t="inlineStr">
        <is>
          <t xml:space="preserve">Coworking Atelier 9</t>
        </is>
      </c>
      <c r="K204" s="8">
        <v>32352.62</v>
      </c>
      <c r="L204" s="0" t="inlineStr">
        <is>
          <t xml:space="preserve">Clients</t>
        </is>
      </c>
      <c r="M204" s="9"/>
      <c r="N204" s="0">
        <f>IF(M204&lt;&gt;"",M204,L204)</f>
      </c>
      <c r="O204" s="0">
        <f>IFERROR(INDEX(Categories!$B$5:$B$35,MATCH(N204,Categories!$A$5:$A$35,0)),"NA")</f>
      </c>
    </row>
    <row r="205">
      <c r="A205" s="7">
        <v>45663</v>
      </c>
      <c r="B205" s="0" t="inlineStr">
        <is>
          <t xml:space="preserve">2025-S02</t>
        </is>
      </c>
      <c r="C205" s="0" t="inlineStr">
        <is>
          <t xml:space="preserve">2025-01</t>
        </is>
      </c>
      <c r="D205" s="0" t="inlineStr">
        <is>
          <t xml:space="preserve">2025</t>
        </is>
      </c>
      <c r="E205" s="6" t="inlineStr">
        <is>
          <t xml:space="preserve">512000</t>
        </is>
      </c>
      <c r="F205" s="6" t="inlineStr">
        <is>
          <t xml:space="preserve">BQ</t>
        </is>
      </c>
      <c r="G205" s="0" t="inlineStr">
        <is>
          <t xml:space="preserve">BQ00116</t>
        </is>
      </c>
      <c r="H205" s="6" t="inlineStr">
        <is>
          <t xml:space="preserve">401000</t>
        </is>
      </c>
      <c r="I205" s="0" t="inlineStr">
        <is>
          <t xml:space="preserve">Reglement fournisseur SCI Les Halles AN2025</t>
        </is>
      </c>
      <c r="J205" s="0" t="inlineStr">
        <is>
          <t xml:space="preserve">SCI Les Halles</t>
        </is>
      </c>
      <c r="K205" s="8">
        <v>-10200</v>
      </c>
      <c r="L205" s="0" t="inlineStr">
        <is>
          <t xml:space="preserve">Fournisseurs et charges externes</t>
        </is>
      </c>
      <c r="M205" s="9"/>
      <c r="N205" s="0">
        <f>IF(M205&lt;&gt;"",M205,L205)</f>
      </c>
      <c r="O205" s="0">
        <f>IFERROR(INDEX(Categories!$B$5:$B$35,MATCH(N205,Categories!$A$5:$A$35,0)),"NA")</f>
      </c>
    </row>
    <row r="206">
      <c r="A206" s="7">
        <v>45663</v>
      </c>
      <c r="B206" s="0" t="inlineStr">
        <is>
          <t xml:space="preserve">2025-S02</t>
        </is>
      </c>
      <c r="C206" s="0" t="inlineStr">
        <is>
          <t xml:space="preserve">2025-01</t>
        </is>
      </c>
      <c r="D206" s="0" t="inlineStr">
        <is>
          <t xml:space="preserve">2025</t>
        </is>
      </c>
      <c r="E206" s="6" t="inlineStr">
        <is>
          <t xml:space="preserve">512000</t>
        </is>
      </c>
      <c r="F206" s="6" t="inlineStr">
        <is>
          <t xml:space="preserve">BQ</t>
        </is>
      </c>
      <c r="G206" s="0" t="inlineStr">
        <is>
          <t xml:space="preserve">BQ00117</t>
        </is>
      </c>
      <c r="H206" s="6" t="inlineStr">
        <is>
          <t xml:space="preserve">401000</t>
        </is>
      </c>
      <c r="I206" s="0" t="inlineStr">
        <is>
          <t xml:space="preserve">Reglement fournisseur Energie Plus AN2025</t>
        </is>
      </c>
      <c r="J206" s="0" t="inlineStr">
        <is>
          <t xml:space="preserve">Energie Plus</t>
        </is>
      </c>
      <c r="K206" s="8">
        <v>-3448.86</v>
      </c>
      <c r="L206" s="0" t="inlineStr">
        <is>
          <t xml:space="preserve">Fournisseurs et charges externes</t>
        </is>
      </c>
      <c r="M206" s="9"/>
      <c r="N206" s="0">
        <f>IF(M206&lt;&gt;"",M206,L206)</f>
      </c>
      <c r="O206" s="0">
        <f>IFERROR(INDEX(Categories!$B$5:$B$35,MATCH(N206,Categories!$A$5:$A$35,0)),"NA")</f>
      </c>
    </row>
    <row r="207">
      <c r="A207" s="7">
        <v>45663</v>
      </c>
      <c r="B207" s="0" t="inlineStr">
        <is>
          <t xml:space="preserve">2025-S02</t>
        </is>
      </c>
      <c r="C207" s="0" t="inlineStr">
        <is>
          <t xml:space="preserve">2025-01</t>
        </is>
      </c>
      <c r="D207" s="0" t="inlineStr">
        <is>
          <t xml:space="preserve">2025</t>
        </is>
      </c>
      <c r="E207" s="6" t="inlineStr">
        <is>
          <t xml:space="preserve">512000</t>
        </is>
      </c>
      <c r="F207" s="6" t="inlineStr">
        <is>
          <t xml:space="preserve">BQ</t>
        </is>
      </c>
      <c r="G207" s="0" t="inlineStr">
        <is>
          <t xml:space="preserve">BQ00118</t>
        </is>
      </c>
      <c r="H207" s="6" t="inlineStr">
        <is>
          <t xml:space="preserve">401000</t>
        </is>
      </c>
      <c r="I207" s="0" t="inlineStr">
        <is>
          <t xml:space="preserve">Reglement fournisseur Telecom Pro AN2025</t>
        </is>
      </c>
      <c r="J207" s="0" t="inlineStr">
        <is>
          <t xml:space="preserve">Telecom Pro</t>
        </is>
      </c>
      <c r="K207" s="8">
        <v>-576</v>
      </c>
      <c r="L207" s="0" t="inlineStr">
        <is>
          <t xml:space="preserve">Fournisseurs et charges externes</t>
        </is>
      </c>
      <c r="M207" s="9"/>
      <c r="N207" s="0">
        <f>IF(M207&lt;&gt;"",M207,L207)</f>
      </c>
      <c r="O207" s="0">
        <f>IFERROR(INDEX(Categories!$B$5:$B$35,MATCH(N207,Categories!$A$5:$A$35,0)),"NA")</f>
      </c>
    </row>
    <row r="208">
      <c r="A208" s="7">
        <v>45663</v>
      </c>
      <c r="B208" s="0" t="inlineStr">
        <is>
          <t xml:space="preserve">2025-S02</t>
        </is>
      </c>
      <c r="C208" s="0" t="inlineStr">
        <is>
          <t xml:space="preserve">2025-01</t>
        </is>
      </c>
      <c r="D208" s="0" t="inlineStr">
        <is>
          <t xml:space="preserve">2025</t>
        </is>
      </c>
      <c r="E208" s="6" t="inlineStr">
        <is>
          <t xml:space="preserve">512000</t>
        </is>
      </c>
      <c r="F208" s="6" t="inlineStr">
        <is>
          <t xml:space="preserve">BQ</t>
        </is>
      </c>
      <c r="G208" s="0" t="inlineStr">
        <is>
          <t xml:space="preserve">BQ00119</t>
        </is>
      </c>
      <c r="H208" s="6" t="inlineStr">
        <is>
          <t xml:space="preserve">401000</t>
        </is>
      </c>
      <c r="I208" s="0" t="inlineStr">
        <is>
          <t xml:space="preserve">Reglement fournisseur Cabinet Comptable Exemple AN2025</t>
        </is>
      </c>
      <c r="J208" s="0" t="inlineStr">
        <is>
          <t xml:space="preserve">Cabinet Comptable Exemple</t>
        </is>
      </c>
      <c r="K208" s="8">
        <v>-7200</v>
      </c>
      <c r="L208" s="0" t="inlineStr">
        <is>
          <t xml:space="preserve">Fournisseurs et charges externes</t>
        </is>
      </c>
      <c r="M208" s="9"/>
      <c r="N208" s="0">
        <f>IF(M208&lt;&gt;"",M208,L208)</f>
      </c>
      <c r="O208" s="0">
        <f>IFERROR(INDEX(Categories!$B$5:$B$35,MATCH(N208,Categories!$A$5:$A$35,0)),"NA")</f>
      </c>
    </row>
    <row r="209">
      <c r="A209" s="7">
        <v>45665</v>
      </c>
      <c r="B209" s="0" t="inlineStr">
        <is>
          <t xml:space="preserve">2025-S02</t>
        </is>
      </c>
      <c r="C209" s="0" t="inlineStr">
        <is>
          <t xml:space="preserve">2025-01</t>
        </is>
      </c>
      <c r="D209" s="0" t="inlineStr">
        <is>
          <t xml:space="preserve">2025</t>
        </is>
      </c>
      <c r="E209" s="6" t="inlineStr">
        <is>
          <t xml:space="preserve">512000</t>
        </is>
      </c>
      <c r="F209" s="6" t="inlineStr">
        <is>
          <t xml:space="preserve">BQ</t>
        </is>
      </c>
      <c r="G209" s="0" t="inlineStr">
        <is>
          <t xml:space="preserve">BQ00064</t>
        </is>
      </c>
      <c r="H209" s="6" t="inlineStr">
        <is>
          <t xml:space="preserve">411000</t>
        </is>
      </c>
      <c r="I209" s="0" t="inlineStr">
        <is>
          <t xml:space="preserve">Reglement client Cabinet Varenne Associes AN2025</t>
        </is>
      </c>
      <c r="J209" s="0" t="inlineStr">
        <is>
          <t xml:space="preserve">Cabinet Varenne Associes</t>
        </is>
      </c>
      <c r="K209" s="8">
        <v>31150.6</v>
      </c>
      <c r="L209" s="0" t="inlineStr">
        <is>
          <t xml:space="preserve">Clients</t>
        </is>
      </c>
      <c r="M209" s="9"/>
      <c r="N209" s="0">
        <f>IF(M209&lt;&gt;"",M209,L209)</f>
      </c>
      <c r="O209" s="0">
        <f>IFERROR(INDEX(Categories!$B$5:$B$35,MATCH(N209,Categories!$A$5:$A$35,0)),"NA")</f>
      </c>
    </row>
    <row r="210">
      <c r="A210" s="7">
        <v>45665</v>
      </c>
      <c r="B210" s="0" t="inlineStr">
        <is>
          <t xml:space="preserve">2025-S02</t>
        </is>
      </c>
      <c r="C210" s="0" t="inlineStr">
        <is>
          <t xml:space="preserve">2025-01</t>
        </is>
      </c>
      <c r="D210" s="0" t="inlineStr">
        <is>
          <t xml:space="preserve">2025</t>
        </is>
      </c>
      <c r="E210" s="6" t="inlineStr">
        <is>
          <t xml:space="preserve">512000</t>
        </is>
      </c>
      <c r="F210" s="6" t="inlineStr">
        <is>
          <t xml:space="preserve">BQ</t>
        </is>
      </c>
      <c r="G210" s="0" t="inlineStr">
        <is>
          <t xml:space="preserve">BQ00065</t>
        </is>
      </c>
      <c r="H210" s="6" t="inlineStr">
        <is>
          <t xml:space="preserve">411000</t>
        </is>
      </c>
      <c r="I210" s="0" t="inlineStr">
        <is>
          <t xml:space="preserve">Reglement client Agence Mobilis AN2025</t>
        </is>
      </c>
      <c r="J210" s="0" t="inlineStr">
        <is>
          <t xml:space="preserve">Agence Mobilis</t>
        </is>
      </c>
      <c r="K210" s="8">
        <v>20557.5</v>
      </c>
      <c r="L210" s="0" t="inlineStr">
        <is>
          <t xml:space="preserve">Clients</t>
        </is>
      </c>
      <c r="M210" s="9"/>
      <c r="N210" s="0">
        <f>IF(M210&lt;&gt;"",M210,L210)</f>
      </c>
      <c r="O210" s="0">
        <f>IFERROR(INDEX(Categories!$B$5:$B$35,MATCH(N210,Categories!$A$5:$A$35,0)),"NA")</f>
      </c>
    </row>
    <row r="211">
      <c r="A211" s="7">
        <v>45667</v>
      </c>
      <c r="B211" s="0" t="inlineStr">
        <is>
          <t xml:space="preserve">2025-S02</t>
        </is>
      </c>
      <c r="C211" s="0" t="inlineStr">
        <is>
          <t xml:space="preserve">2025-01</t>
        </is>
      </c>
      <c r="D211" s="0" t="inlineStr">
        <is>
          <t xml:space="preserve">2025</t>
        </is>
      </c>
      <c r="E211" s="6" t="inlineStr">
        <is>
          <t xml:space="preserve">512000</t>
        </is>
      </c>
      <c r="F211" s="6" t="inlineStr">
        <is>
          <t xml:space="preserve">BQ</t>
        </is>
      </c>
      <c r="G211" s="0" t="inlineStr">
        <is>
          <t xml:space="preserve">BQ00002</t>
        </is>
      </c>
      <c r="H211" s="6" t="inlineStr">
        <is>
          <t xml:space="preserve">164000</t>
        </is>
      </c>
      <c r="I211" s="0" t="inlineStr">
        <is>
          <t xml:space="preserve">Echeance emprunt 01/2025</t>
        </is>
      </c>
      <c r="J211" s="0"/>
      <c r="K211" s="8">
        <v>-2000</v>
      </c>
      <c r="L211" s="0" t="inlineStr">
        <is>
          <t xml:space="preserve">Emprunts - capital</t>
        </is>
      </c>
      <c r="M211" s="9"/>
      <c r="N211" s="0">
        <f>IF(M211&lt;&gt;"",M211,L211)</f>
      </c>
      <c r="O211" s="0">
        <f>IFERROR(INDEX(Categories!$B$5:$B$35,MATCH(N211,Categories!$A$5:$A$35,0)),"NA")</f>
      </c>
    </row>
    <row r="212">
      <c r="A212" s="7">
        <v>45667</v>
      </c>
      <c r="B212" s="0" t="inlineStr">
        <is>
          <t xml:space="preserve">2025-S02</t>
        </is>
      </c>
      <c r="C212" s="0" t="inlineStr">
        <is>
          <t xml:space="preserve">2025-01</t>
        </is>
      </c>
      <c r="D212" s="0" t="inlineStr">
        <is>
          <t xml:space="preserve">2025</t>
        </is>
      </c>
      <c r="E212" s="6" t="inlineStr">
        <is>
          <t xml:space="preserve">512000</t>
        </is>
      </c>
      <c r="F212" s="6" t="inlineStr">
        <is>
          <t xml:space="preserve">BQ</t>
        </is>
      </c>
      <c r="G212" s="0" t="inlineStr">
        <is>
          <t xml:space="preserve">BQ00002</t>
        </is>
      </c>
      <c r="H212" s="6" t="inlineStr">
        <is>
          <t xml:space="preserve">661100</t>
        </is>
      </c>
      <c r="I212" s="0" t="inlineStr">
        <is>
          <t xml:space="preserve">Echeance emprunt 01/2025</t>
        </is>
      </c>
      <c r="J212" s="0"/>
      <c r="K212" s="8">
        <v>-220</v>
      </c>
      <c r="L212" s="0" t="inlineStr">
        <is>
          <t xml:space="preserve">Intérêts et charges financières</t>
        </is>
      </c>
      <c r="M212" s="9"/>
      <c r="N212" s="0">
        <f>IF(M212&lt;&gt;"",M212,L212)</f>
      </c>
      <c r="O212" s="0">
        <f>IFERROR(INDEX(Categories!$B$5:$B$35,MATCH(N212,Categories!$A$5:$A$35,0)),"NA")</f>
      </c>
    </row>
    <row r="213">
      <c r="A213" s="7">
        <v>45671</v>
      </c>
      <c r="B213" s="0" t="inlineStr">
        <is>
          <t xml:space="preserve">2025-S03</t>
        </is>
      </c>
      <c r="C213" s="0" t="inlineStr">
        <is>
          <t xml:space="preserve">2025-01</t>
        </is>
      </c>
      <c r="D213" s="0" t="inlineStr">
        <is>
          <t xml:space="preserve">2025</t>
        </is>
      </c>
      <c r="E213" s="6" t="inlineStr">
        <is>
          <t xml:space="preserve">512000</t>
        </is>
      </c>
      <c r="F213" s="6" t="inlineStr">
        <is>
          <t xml:space="preserve">BQ</t>
        </is>
      </c>
      <c r="G213" s="0" t="inlineStr">
        <is>
          <t xml:space="preserve">BQ00113</t>
        </is>
      </c>
      <c r="H213" s="6" t="inlineStr">
        <is>
          <t xml:space="preserve">401000</t>
        </is>
      </c>
      <c r="I213" s="0" t="inlineStr">
        <is>
          <t xml:space="preserve">Reglement fournisseur Quincaillerie Pro Est AN2025</t>
        </is>
      </c>
      <c r="J213" s="0" t="inlineStr">
        <is>
          <t xml:space="preserve">Quincaillerie Pro Est</t>
        </is>
      </c>
      <c r="K213" s="8">
        <v>-52590.01</v>
      </c>
      <c r="L213" s="0" t="inlineStr">
        <is>
          <t xml:space="preserve">Fournisseurs et charges externes</t>
        </is>
      </c>
      <c r="M213" s="9"/>
      <c r="N213" s="0">
        <f>IF(M213&lt;&gt;"",M213,L213)</f>
      </c>
      <c r="O213" s="0">
        <f>IFERROR(INDEX(Categories!$B$5:$B$35,MATCH(N213,Categories!$A$5:$A$35,0)),"NA")</f>
      </c>
    </row>
    <row r="214">
      <c r="A214" s="7">
        <v>45672</v>
      </c>
      <c r="B214" s="0" t="inlineStr">
        <is>
          <t xml:space="preserve">2025-S03</t>
        </is>
      </c>
      <c r="C214" s="0" t="inlineStr">
        <is>
          <t xml:space="preserve">2025-01</t>
        </is>
      </c>
      <c r="D214" s="0" t="inlineStr">
        <is>
          <t xml:space="preserve">2025</t>
        </is>
      </c>
      <c r="E214" s="6" t="inlineStr">
        <is>
          <t xml:space="preserve">512000</t>
        </is>
      </c>
      <c r="F214" s="6" t="inlineStr">
        <is>
          <t xml:space="preserve">BQ</t>
        </is>
      </c>
      <c r="G214" s="0" t="inlineStr">
        <is>
          <t xml:space="preserve">BQ00037</t>
        </is>
      </c>
      <c r="H214" s="6" t="inlineStr">
        <is>
          <t xml:space="preserve">431000</t>
        </is>
      </c>
      <c r="I214" s="0" t="inlineStr">
        <is>
          <t xml:space="preserve">Reglement URSSAF 12/2024</t>
        </is>
      </c>
      <c r="J214" s="0"/>
      <c r="K214" s="8">
        <v>-33292.52</v>
      </c>
      <c r="L214" s="0" t="inlineStr">
        <is>
          <t xml:space="preserve">Charges sociales</t>
        </is>
      </c>
      <c r="M214" s="9"/>
      <c r="N214" s="0">
        <f>IF(M214&lt;&gt;"",M214,L214)</f>
      </c>
      <c r="O214" s="0">
        <f>IFERROR(INDEX(Categories!$B$5:$B$35,MATCH(N214,Categories!$A$5:$A$35,0)),"NA")</f>
      </c>
    </row>
    <row r="215">
      <c r="A215" s="7">
        <v>45672</v>
      </c>
      <c r="B215" s="0" t="inlineStr">
        <is>
          <t xml:space="preserve">2025-S03</t>
        </is>
      </c>
      <c r="C215" s="0" t="inlineStr">
        <is>
          <t xml:space="preserve">2025-01</t>
        </is>
      </c>
      <c r="D215" s="0" t="inlineStr">
        <is>
          <t xml:space="preserve">2025</t>
        </is>
      </c>
      <c r="E215" s="6" t="inlineStr">
        <is>
          <t xml:space="preserve">512000</t>
        </is>
      </c>
      <c r="F215" s="6" t="inlineStr">
        <is>
          <t xml:space="preserve">BQ</t>
        </is>
      </c>
      <c r="G215" s="0" t="inlineStr">
        <is>
          <t xml:space="preserve">BQ00061</t>
        </is>
      </c>
      <c r="H215" s="6" t="inlineStr">
        <is>
          <t xml:space="preserve">411000</t>
        </is>
      </c>
      <c r="I215" s="0" t="inlineStr">
        <is>
          <t xml:space="preserve">Reglement client Agence Mobilis AN2025</t>
        </is>
      </c>
      <c r="J215" s="0" t="inlineStr">
        <is>
          <t xml:space="preserve">Agence Mobilis</t>
        </is>
      </c>
      <c r="K215" s="8">
        <v>35886.29</v>
      </c>
      <c r="L215" s="0" t="inlineStr">
        <is>
          <t xml:space="preserve">Clients</t>
        </is>
      </c>
      <c r="M215" s="9"/>
      <c r="N215" s="0">
        <f>IF(M215&lt;&gt;"",M215,L215)</f>
      </c>
      <c r="O215" s="0">
        <f>IFERROR(INDEX(Categories!$B$5:$B$35,MATCH(N215,Categories!$A$5:$A$35,0)),"NA")</f>
      </c>
    </row>
    <row r="216">
      <c r="A216" s="7">
        <v>45677</v>
      </c>
      <c r="B216" s="0" t="inlineStr">
        <is>
          <t xml:space="preserve">2025-S04</t>
        </is>
      </c>
      <c r="C216" s="0" t="inlineStr">
        <is>
          <t xml:space="preserve">2025-01</t>
        </is>
      </c>
      <c r="D216" s="0" t="inlineStr">
        <is>
          <t xml:space="preserve">2025</t>
        </is>
      </c>
      <c r="E216" s="6" t="inlineStr">
        <is>
          <t xml:space="preserve">512000</t>
        </is>
      </c>
      <c r="F216" s="6" t="inlineStr">
        <is>
          <t xml:space="preserve">BQ</t>
        </is>
      </c>
      <c r="G216" s="0" t="inlineStr">
        <is>
          <t xml:space="preserve">BQ00038</t>
        </is>
      </c>
      <c r="H216" s="6" t="inlineStr">
        <is>
          <t xml:space="preserve">445510</t>
        </is>
      </c>
      <c r="I216" s="0" t="inlineStr">
        <is>
          <t xml:space="preserve">Reglement TVA 12/2024</t>
        </is>
      </c>
      <c r="J216" s="0"/>
      <c r="K216" s="8">
        <v>-14795.86</v>
      </c>
      <c r="L216" s="0" t="inlineStr">
        <is>
          <t xml:space="preserve">TVA</t>
        </is>
      </c>
      <c r="M216" s="9"/>
      <c r="N216" s="0">
        <f>IF(M216&lt;&gt;"",M216,L216)</f>
      </c>
      <c r="O216" s="0">
        <f>IFERROR(INDEX(Categories!$B$5:$B$35,MATCH(N216,Categories!$A$5:$A$35,0)),"NA")</f>
      </c>
    </row>
    <row r="217">
      <c r="A217" s="7">
        <v>45680</v>
      </c>
      <c r="B217" s="0" t="inlineStr">
        <is>
          <t xml:space="preserve">2025-S04</t>
        </is>
      </c>
      <c r="C217" s="0" t="inlineStr">
        <is>
          <t xml:space="preserve">2025-01</t>
        </is>
      </c>
      <c r="D217" s="0" t="inlineStr">
        <is>
          <t xml:space="preserve">2025</t>
        </is>
      </c>
      <c r="E217" s="6" t="inlineStr">
        <is>
          <t xml:space="preserve">512000</t>
        </is>
      </c>
      <c r="F217" s="6" t="inlineStr">
        <is>
          <t xml:space="preserve">BQ</t>
        </is>
      </c>
      <c r="G217" s="0" t="inlineStr">
        <is>
          <t xml:space="preserve">BQ00062</t>
        </is>
      </c>
      <c r="H217" s="6" t="inlineStr">
        <is>
          <t xml:space="preserve">411000</t>
        </is>
      </c>
      <c r="I217" s="0" t="inlineStr">
        <is>
          <t xml:space="preserve">Reglement client Residence Bel Air AN2025</t>
        </is>
      </c>
      <c r="J217" s="0" t="inlineStr">
        <is>
          <t xml:space="preserve">Residence Bel Air</t>
        </is>
      </c>
      <c r="K217" s="8">
        <v>37138.48</v>
      </c>
      <c r="L217" s="0" t="inlineStr">
        <is>
          <t xml:space="preserve">Clients</t>
        </is>
      </c>
      <c r="M217" s="9"/>
      <c r="N217" s="0">
        <f>IF(M217&lt;&gt;"",M217,L217)</f>
      </c>
      <c r="O217" s="0">
        <f>IFERROR(INDEX(Categories!$B$5:$B$35,MATCH(N217,Categories!$A$5:$A$35,0)),"NA")</f>
      </c>
    </row>
    <row r="218">
      <c r="A218" s="7">
        <v>45684</v>
      </c>
      <c r="B218" s="0" t="inlineStr">
        <is>
          <t xml:space="preserve">2025-S05</t>
        </is>
      </c>
      <c r="C218" s="0" t="inlineStr">
        <is>
          <t xml:space="preserve">2025-01</t>
        </is>
      </c>
      <c r="D218" s="0" t="inlineStr">
        <is>
          <t xml:space="preserve">2025</t>
        </is>
      </c>
      <c r="E218" s="6" t="inlineStr">
        <is>
          <t xml:space="preserve">512000</t>
        </is>
      </c>
      <c r="F218" s="6" t="inlineStr">
        <is>
          <t xml:space="preserve">BQ</t>
        </is>
      </c>
      <c r="G218" s="0" t="inlineStr">
        <is>
          <t xml:space="preserve">BQ00115</t>
        </is>
      </c>
      <c r="H218" s="6" t="inlineStr">
        <is>
          <t xml:space="preserve">401000</t>
        </is>
      </c>
      <c r="I218" s="0" t="inlineStr">
        <is>
          <t xml:space="preserve">Reglement fournisseur Quincaillerie Pro Est AN2025</t>
        </is>
      </c>
      <c r="J218" s="0" t="inlineStr">
        <is>
          <t xml:space="preserve">Quincaillerie Pro Est</t>
        </is>
      </c>
      <c r="K218" s="8">
        <v>-45322.61</v>
      </c>
      <c r="L218" s="0" t="inlineStr">
        <is>
          <t xml:space="preserve">Fournisseurs et charges externes</t>
        </is>
      </c>
      <c r="M218" s="9"/>
      <c r="N218" s="0">
        <f>IF(M218&lt;&gt;"",M218,L218)</f>
      </c>
      <c r="O218" s="0">
        <f>IFERROR(INDEX(Categories!$B$5:$B$35,MATCH(N218,Categories!$A$5:$A$35,0)),"NA")</f>
      </c>
    </row>
    <row r="219">
      <c r="A219" s="7">
        <v>45686</v>
      </c>
      <c r="B219" s="0" t="inlineStr">
        <is>
          <t xml:space="preserve">2025-S05</t>
        </is>
      </c>
      <c r="C219" s="0" t="inlineStr">
        <is>
          <t xml:space="preserve">2025-01</t>
        </is>
      </c>
      <c r="D219" s="0" t="inlineStr">
        <is>
          <t xml:space="preserve">2025</t>
        </is>
      </c>
      <c r="E219" s="6" t="inlineStr">
        <is>
          <t xml:space="preserve">512000</t>
        </is>
      </c>
      <c r="F219" s="6" t="inlineStr">
        <is>
          <t xml:space="preserve">BQ</t>
        </is>
      </c>
      <c r="G219" s="0" t="inlineStr">
        <is>
          <t xml:space="preserve">BQ00067</t>
        </is>
      </c>
      <c r="H219" s="6" t="inlineStr">
        <is>
          <t xml:space="preserve">411000</t>
        </is>
      </c>
      <c r="I219" s="0" t="inlineStr">
        <is>
          <t xml:space="preserve">Reglement client Clinique du Parc AN2025</t>
        </is>
      </c>
      <c r="J219" s="0" t="inlineStr">
        <is>
          <t xml:space="preserve">Clinique du Parc</t>
        </is>
      </c>
      <c r="K219" s="8">
        <v>36694.64</v>
      </c>
      <c r="L219" s="0" t="inlineStr">
        <is>
          <t xml:space="preserve">Clients</t>
        </is>
      </c>
      <c r="M219" s="9"/>
      <c r="N219" s="0">
        <f>IF(M219&lt;&gt;"",M219,L219)</f>
      </c>
      <c r="O219" s="0">
        <f>IFERROR(INDEX(Categories!$B$5:$B$35,MATCH(N219,Categories!$A$5:$A$35,0)),"NA")</f>
      </c>
    </row>
    <row r="220">
      <c r="A220" s="7">
        <v>45688</v>
      </c>
      <c r="B220" s="0" t="inlineStr">
        <is>
          <t xml:space="preserve">2025-S05</t>
        </is>
      </c>
      <c r="C220" s="0" t="inlineStr">
        <is>
          <t xml:space="preserve">2025-01</t>
        </is>
      </c>
      <c r="D220" s="0" t="inlineStr">
        <is>
          <t xml:space="preserve">2025</t>
        </is>
      </c>
      <c r="E220" s="6" t="inlineStr">
        <is>
          <t xml:space="preserve">512000</t>
        </is>
      </c>
      <c r="F220" s="6" t="inlineStr">
        <is>
          <t xml:space="preserve">BQ</t>
        </is>
      </c>
      <c r="G220" s="0" t="inlineStr">
        <is>
          <t xml:space="preserve">BQ00001</t>
        </is>
      </c>
      <c r="H220" s="6" t="inlineStr">
        <is>
          <t xml:space="preserve">421000</t>
        </is>
      </c>
      <c r="I220" s="0" t="inlineStr">
        <is>
          <t xml:space="preserve">Virement salaires 01/2025</t>
        </is>
      </c>
      <c r="J220" s="0"/>
      <c r="K220" s="8">
        <v>-38346.65</v>
      </c>
      <c r="L220" s="0" t="inlineStr">
        <is>
          <t xml:space="preserve">Salaires et personnel</t>
        </is>
      </c>
      <c r="M220" s="9"/>
      <c r="N220" s="0">
        <f>IF(M220&lt;&gt;"",M220,L220)</f>
      </c>
      <c r="O220" s="0">
        <f>IFERROR(INDEX(Categories!$B$5:$B$35,MATCH(N220,Categories!$A$5:$A$35,0)),"NA")</f>
      </c>
    </row>
    <row r="221">
      <c r="A221" s="7">
        <v>45688</v>
      </c>
      <c r="B221" s="0" t="inlineStr">
        <is>
          <t xml:space="preserve">2025-S05</t>
        </is>
      </c>
      <c r="C221" s="0" t="inlineStr">
        <is>
          <t xml:space="preserve">2025-01</t>
        </is>
      </c>
      <c r="D221" s="0" t="inlineStr">
        <is>
          <t xml:space="preserve">2025</t>
        </is>
      </c>
      <c r="E221" s="6" t="inlineStr">
        <is>
          <t xml:space="preserve">512000</t>
        </is>
      </c>
      <c r="F221" s="6" t="inlineStr">
        <is>
          <t xml:space="preserve">BQ</t>
        </is>
      </c>
      <c r="G221" s="0" t="inlineStr">
        <is>
          <t xml:space="preserve">BQ00003</t>
        </is>
      </c>
      <c r="H221" s="6" t="inlineStr">
        <is>
          <t xml:space="preserve">627000</t>
        </is>
      </c>
      <c r="I221" s="0" t="inlineStr">
        <is>
          <t xml:space="preserve">Frais bancaires 01/2025</t>
        </is>
      </c>
      <c r="J221" s="0"/>
      <c r="K221" s="8">
        <v>-85</v>
      </c>
      <c r="L221" s="0" t="inlineStr">
        <is>
          <t xml:space="preserve">Frais bancaires</t>
        </is>
      </c>
      <c r="M221" s="9"/>
      <c r="N221" s="0">
        <f>IF(M221&lt;&gt;"",M221,L221)</f>
      </c>
      <c r="O221" s="0">
        <f>IFERROR(INDEX(Categories!$B$5:$B$35,MATCH(N221,Categories!$A$5:$A$35,0)),"NA")</f>
      </c>
    </row>
    <row r="222">
      <c r="A222" s="7">
        <v>45691</v>
      </c>
      <c r="B222" s="0" t="inlineStr">
        <is>
          <t xml:space="preserve">2025-S06</t>
        </is>
      </c>
      <c r="C222" s="0" t="inlineStr">
        <is>
          <t xml:space="preserve">2025-02</t>
        </is>
      </c>
      <c r="D222" s="0" t="inlineStr">
        <is>
          <t xml:space="preserve">2025</t>
        </is>
      </c>
      <c r="E222" s="6" t="inlineStr">
        <is>
          <t xml:space="preserve">512000</t>
        </is>
      </c>
      <c r="F222" s="6" t="inlineStr">
        <is>
          <t xml:space="preserve">BQ</t>
        </is>
      </c>
      <c r="G222" s="0" t="inlineStr">
        <is>
          <t xml:space="preserve">BQ00063</t>
        </is>
      </c>
      <c r="H222" s="6" t="inlineStr">
        <is>
          <t xml:space="preserve">411000</t>
        </is>
      </c>
      <c r="I222" s="0" t="inlineStr">
        <is>
          <t xml:space="preserve">Reglement client Clinique du Parc AN2025</t>
        </is>
      </c>
      <c r="J222" s="0" t="inlineStr">
        <is>
          <t xml:space="preserve">Clinique du Parc</t>
        </is>
      </c>
      <c r="K222" s="8">
        <v>26280.64</v>
      </c>
      <c r="L222" s="0" t="inlineStr">
        <is>
          <t xml:space="preserve">Clients</t>
        </is>
      </c>
      <c r="M222" s="9"/>
      <c r="N222" s="0">
        <f>IF(M222&lt;&gt;"",M222,L222)</f>
      </c>
      <c r="O222" s="0">
        <f>IFERROR(INDEX(Categories!$B$5:$B$35,MATCH(N222,Categories!$A$5:$A$35,0)),"NA")</f>
      </c>
    </row>
    <row r="223">
      <c r="A223" s="7">
        <v>45692</v>
      </c>
      <c r="B223" s="0" t="inlineStr">
        <is>
          <t xml:space="preserve">2025-S06</t>
        </is>
      </c>
      <c r="C223" s="0" t="inlineStr">
        <is>
          <t xml:space="preserve">2025-02</t>
        </is>
      </c>
      <c r="D223" s="0" t="inlineStr">
        <is>
          <t xml:space="preserve">2025</t>
        </is>
      </c>
      <c r="E223" s="6" t="inlineStr">
        <is>
          <t xml:space="preserve">512000</t>
        </is>
      </c>
      <c r="F223" s="6" t="inlineStr">
        <is>
          <t xml:space="preserve">BQ</t>
        </is>
      </c>
      <c r="G223" s="0" t="inlineStr">
        <is>
          <t xml:space="preserve">BQ00066</t>
        </is>
      </c>
      <c r="H223" s="6" t="inlineStr">
        <is>
          <t xml:space="preserve">411000</t>
        </is>
      </c>
      <c r="I223" s="0" t="inlineStr">
        <is>
          <t xml:space="preserve">Reglement client Coworking Atelier 9 AN2025</t>
        </is>
      </c>
      <c r="J223" s="0" t="inlineStr">
        <is>
          <t xml:space="preserve">Coworking Atelier 9</t>
        </is>
      </c>
      <c r="K223" s="8">
        <v>38178.13</v>
      </c>
      <c r="L223" s="0" t="inlineStr">
        <is>
          <t xml:space="preserve">Clients</t>
        </is>
      </c>
      <c r="M223" s="9"/>
      <c r="N223" s="0">
        <f>IF(M223&lt;&gt;"",M223,L223)</f>
      </c>
      <c r="O223" s="0">
        <f>IFERROR(INDEX(Categories!$B$5:$B$35,MATCH(N223,Categories!$A$5:$A$35,0)),"NA")</f>
      </c>
    </row>
    <row r="224">
      <c r="A224" s="7">
        <v>45692</v>
      </c>
      <c r="B224" s="0" t="inlineStr">
        <is>
          <t xml:space="preserve">2025-S06</t>
        </is>
      </c>
      <c r="C224" s="0" t="inlineStr">
        <is>
          <t xml:space="preserve">2025-02</t>
        </is>
      </c>
      <c r="D224" s="0" t="inlineStr">
        <is>
          <t xml:space="preserve">2025</t>
        </is>
      </c>
      <c r="E224" s="6" t="inlineStr">
        <is>
          <t xml:space="preserve">512000</t>
        </is>
      </c>
      <c r="F224" s="6" t="inlineStr">
        <is>
          <t xml:space="preserve">BQ</t>
        </is>
      </c>
      <c r="G224" s="0" t="inlineStr">
        <is>
          <t xml:space="preserve">BQ00123</t>
        </is>
      </c>
      <c r="H224" s="6" t="inlineStr">
        <is>
          <t xml:space="preserve">401000</t>
        </is>
      </c>
      <c r="I224" s="0" t="inlineStr">
        <is>
          <t xml:space="preserve">Reglement fournisseur SCI Les Halles F004-202501</t>
        </is>
      </c>
      <c r="J224" s="0" t="inlineStr">
        <is>
          <t xml:space="preserve">SCI Les Halles</t>
        </is>
      </c>
      <c r="K224" s="8">
        <v>-10200</v>
      </c>
      <c r="L224" s="0" t="inlineStr">
        <is>
          <t xml:space="preserve">Fournisseurs et charges externes</t>
        </is>
      </c>
      <c r="M224" s="9"/>
      <c r="N224" s="0">
        <f>IF(M224&lt;&gt;"",M224,L224)</f>
      </c>
      <c r="O224" s="0">
        <f>IFERROR(INDEX(Categories!$B$5:$B$35,MATCH(N224,Categories!$A$5:$A$35,0)),"NA")</f>
      </c>
    </row>
    <row r="225">
      <c r="A225" s="7">
        <v>45692</v>
      </c>
      <c r="B225" s="0" t="inlineStr">
        <is>
          <t xml:space="preserve">2025-S06</t>
        </is>
      </c>
      <c r="C225" s="0" t="inlineStr">
        <is>
          <t xml:space="preserve">2025-02</t>
        </is>
      </c>
      <c r="D225" s="0" t="inlineStr">
        <is>
          <t xml:space="preserve">2025</t>
        </is>
      </c>
      <c r="E225" s="6" t="inlineStr">
        <is>
          <t xml:space="preserve">512000</t>
        </is>
      </c>
      <c r="F225" s="6" t="inlineStr">
        <is>
          <t xml:space="preserve">BQ</t>
        </is>
      </c>
      <c r="G225" s="0" t="inlineStr">
        <is>
          <t xml:space="preserve">BQ00124</t>
        </is>
      </c>
      <c r="H225" s="6" t="inlineStr">
        <is>
          <t xml:space="preserve">401000</t>
        </is>
      </c>
      <c r="I225" s="0" t="inlineStr">
        <is>
          <t xml:space="preserve">Reglement fournisseur Energie Plus F005-202501</t>
        </is>
      </c>
      <c r="J225" s="0" t="inlineStr">
        <is>
          <t xml:space="preserve">Energie Plus</t>
        </is>
      </c>
      <c r="K225" s="8">
        <v>-3308.72</v>
      </c>
      <c r="L225" s="0" t="inlineStr">
        <is>
          <t xml:space="preserve">Fournisseurs et charges externes</t>
        </is>
      </c>
      <c r="M225" s="9"/>
      <c r="N225" s="0">
        <f>IF(M225&lt;&gt;"",M225,L225)</f>
      </c>
      <c r="O225" s="0">
        <f>IFERROR(INDEX(Categories!$B$5:$B$35,MATCH(N225,Categories!$A$5:$A$35,0)),"NA")</f>
      </c>
    </row>
    <row r="226">
      <c r="A226" s="7">
        <v>45692</v>
      </c>
      <c r="B226" s="0" t="inlineStr">
        <is>
          <t xml:space="preserve">2025-S06</t>
        </is>
      </c>
      <c r="C226" s="0" t="inlineStr">
        <is>
          <t xml:space="preserve">2025-02</t>
        </is>
      </c>
      <c r="D226" s="0" t="inlineStr">
        <is>
          <t xml:space="preserve">2025</t>
        </is>
      </c>
      <c r="E226" s="6" t="inlineStr">
        <is>
          <t xml:space="preserve">512000</t>
        </is>
      </c>
      <c r="F226" s="6" t="inlineStr">
        <is>
          <t xml:space="preserve">BQ</t>
        </is>
      </c>
      <c r="G226" s="0" t="inlineStr">
        <is>
          <t xml:space="preserve">BQ00125</t>
        </is>
      </c>
      <c r="H226" s="6" t="inlineStr">
        <is>
          <t xml:space="preserve">401000</t>
        </is>
      </c>
      <c r="I226" s="0" t="inlineStr">
        <is>
          <t xml:space="preserve">Reglement fournisseur Telecom Pro F008-202501</t>
        </is>
      </c>
      <c r="J226" s="0" t="inlineStr">
        <is>
          <t xml:space="preserve">Telecom Pro</t>
        </is>
      </c>
      <c r="K226" s="8">
        <v>-576</v>
      </c>
      <c r="L226" s="0" t="inlineStr">
        <is>
          <t xml:space="preserve">Fournisseurs et charges externes</t>
        </is>
      </c>
      <c r="M226" s="9"/>
      <c r="N226" s="0">
        <f>IF(M226&lt;&gt;"",M226,L226)</f>
      </c>
      <c r="O226" s="0">
        <f>IFERROR(INDEX(Categories!$B$5:$B$35,MATCH(N226,Categories!$A$5:$A$35,0)),"NA")</f>
      </c>
    </row>
    <row r="227">
      <c r="A227" s="7">
        <v>45692</v>
      </c>
      <c r="B227" s="0" t="inlineStr">
        <is>
          <t xml:space="preserve">2025-S06</t>
        </is>
      </c>
      <c r="C227" s="0" t="inlineStr">
        <is>
          <t xml:space="preserve">2025-02</t>
        </is>
      </c>
      <c r="D227" s="0" t="inlineStr">
        <is>
          <t xml:space="preserve">2025</t>
        </is>
      </c>
      <c r="E227" s="6" t="inlineStr">
        <is>
          <t xml:space="preserve">512000</t>
        </is>
      </c>
      <c r="F227" s="6" t="inlineStr">
        <is>
          <t xml:space="preserve">BQ</t>
        </is>
      </c>
      <c r="G227" s="0" t="inlineStr">
        <is>
          <t xml:space="preserve">BQ00126</t>
        </is>
      </c>
      <c r="H227" s="6" t="inlineStr">
        <is>
          <t xml:space="preserve">401000</t>
        </is>
      </c>
      <c r="I227" s="0" t="inlineStr">
        <is>
          <t xml:space="preserve">Reglement fournisseur Assurances Mutuelles Exemple F006-202501</t>
        </is>
      </c>
      <c r="J227" s="0" t="inlineStr">
        <is>
          <t xml:space="preserve">Assurances Mutuelles Exemple</t>
        </is>
      </c>
      <c r="K227" s="8">
        <v>-3000</v>
      </c>
      <c r="L227" s="0" t="inlineStr">
        <is>
          <t xml:space="preserve">Fournisseurs et charges externes</t>
        </is>
      </c>
      <c r="M227" s="9"/>
      <c r="N227" s="0">
        <f>IF(M227&lt;&gt;"",M227,L227)</f>
      </c>
      <c r="O227" s="0">
        <f>IFERROR(INDEX(Categories!$B$5:$B$35,MATCH(N227,Categories!$A$5:$A$35,0)),"NA")</f>
      </c>
    </row>
    <row r="228">
      <c r="A228" s="7">
        <v>45698</v>
      </c>
      <c r="B228" s="0" t="inlineStr">
        <is>
          <t xml:space="preserve">2025-S07</t>
        </is>
      </c>
      <c r="C228" s="0" t="inlineStr">
        <is>
          <t xml:space="preserve">2025-02</t>
        </is>
      </c>
      <c r="D228" s="0" t="inlineStr">
        <is>
          <t xml:space="preserve">2025</t>
        </is>
      </c>
      <c r="E228" s="6" t="inlineStr">
        <is>
          <t xml:space="preserve">512000</t>
        </is>
      </c>
      <c r="F228" s="6" t="inlineStr">
        <is>
          <t xml:space="preserve">BQ</t>
        </is>
      </c>
      <c r="G228" s="0" t="inlineStr">
        <is>
          <t xml:space="preserve">BQ00005</t>
        </is>
      </c>
      <c r="H228" s="6" t="inlineStr">
        <is>
          <t xml:space="preserve">164000</t>
        </is>
      </c>
      <c r="I228" s="0" t="inlineStr">
        <is>
          <t xml:space="preserve">Echeance emprunt 02/2025</t>
        </is>
      </c>
      <c r="J228" s="0"/>
      <c r="K228" s="8">
        <v>-2000</v>
      </c>
      <c r="L228" s="0" t="inlineStr">
        <is>
          <t xml:space="preserve">Emprunts - capital</t>
        </is>
      </c>
      <c r="M228" s="9"/>
      <c r="N228" s="0">
        <f>IF(M228&lt;&gt;"",M228,L228)</f>
      </c>
      <c r="O228" s="0">
        <f>IFERROR(INDEX(Categories!$B$5:$B$35,MATCH(N228,Categories!$A$5:$A$35,0)),"NA")</f>
      </c>
    </row>
    <row r="229">
      <c r="A229" s="7">
        <v>45698</v>
      </c>
      <c r="B229" s="0" t="inlineStr">
        <is>
          <t xml:space="preserve">2025-S07</t>
        </is>
      </c>
      <c r="C229" s="0" t="inlineStr">
        <is>
          <t xml:space="preserve">2025-02</t>
        </is>
      </c>
      <c r="D229" s="0" t="inlineStr">
        <is>
          <t xml:space="preserve">2025</t>
        </is>
      </c>
      <c r="E229" s="6" t="inlineStr">
        <is>
          <t xml:space="preserve">512000</t>
        </is>
      </c>
      <c r="F229" s="6" t="inlineStr">
        <is>
          <t xml:space="preserve">BQ</t>
        </is>
      </c>
      <c r="G229" s="0" t="inlineStr">
        <is>
          <t xml:space="preserve">BQ00005</t>
        </is>
      </c>
      <c r="H229" s="6" t="inlineStr">
        <is>
          <t xml:space="preserve">661100</t>
        </is>
      </c>
      <c r="I229" s="0" t="inlineStr">
        <is>
          <t xml:space="preserve">Echeance emprunt 02/2025</t>
        </is>
      </c>
      <c r="J229" s="0"/>
      <c r="K229" s="8">
        <v>-213.33</v>
      </c>
      <c r="L229" s="0" t="inlineStr">
        <is>
          <t xml:space="preserve">Intérêts et charges financières</t>
        </is>
      </c>
      <c r="M229" s="9"/>
      <c r="N229" s="0">
        <f>IF(M229&lt;&gt;"",M229,L229)</f>
      </c>
      <c r="O229" s="0">
        <f>IFERROR(INDEX(Categories!$B$5:$B$35,MATCH(N229,Categories!$A$5:$A$35,0)),"NA")</f>
      </c>
    </row>
    <row r="230">
      <c r="A230" s="7">
        <v>45703</v>
      </c>
      <c r="B230" s="0" t="inlineStr">
        <is>
          <t xml:space="preserve">2025-S07</t>
        </is>
      </c>
      <c r="C230" s="0" t="inlineStr">
        <is>
          <t xml:space="preserve">2025-02</t>
        </is>
      </c>
      <c r="D230" s="0" t="inlineStr">
        <is>
          <t xml:space="preserve">2025</t>
        </is>
      </c>
      <c r="E230" s="6" t="inlineStr">
        <is>
          <t xml:space="preserve">512000</t>
        </is>
      </c>
      <c r="F230" s="6" t="inlineStr">
        <is>
          <t xml:space="preserve">BQ</t>
        </is>
      </c>
      <c r="G230" s="0" t="inlineStr">
        <is>
          <t xml:space="preserve">BQ00040</t>
        </is>
      </c>
      <c r="H230" s="6" t="inlineStr">
        <is>
          <t xml:space="preserve">431000</t>
        </is>
      </c>
      <c r="I230" s="0" t="inlineStr">
        <is>
          <t xml:space="preserve">Reglement URSSAF 01/2025</t>
        </is>
      </c>
      <c r="J230" s="0"/>
      <c r="K230" s="8">
        <v>-31463.92</v>
      </c>
      <c r="L230" s="0" t="inlineStr">
        <is>
          <t xml:space="preserve">Charges sociales</t>
        </is>
      </c>
      <c r="M230" s="9"/>
      <c r="N230" s="0">
        <f>IF(M230&lt;&gt;"",M230,L230)</f>
      </c>
      <c r="O230" s="0">
        <f>IFERROR(INDEX(Categories!$B$5:$B$35,MATCH(N230,Categories!$A$5:$A$35,0)),"NA")</f>
      </c>
    </row>
    <row r="231">
      <c r="A231" s="7">
        <v>45708</v>
      </c>
      <c r="B231" s="0" t="inlineStr">
        <is>
          <t xml:space="preserve">2025-S08</t>
        </is>
      </c>
      <c r="C231" s="0" t="inlineStr">
        <is>
          <t xml:space="preserve">2025-02</t>
        </is>
      </c>
      <c r="D231" s="0" t="inlineStr">
        <is>
          <t xml:space="preserve">2025</t>
        </is>
      </c>
      <c r="E231" s="6" t="inlineStr">
        <is>
          <t xml:space="preserve">512000</t>
        </is>
      </c>
      <c r="F231" s="6" t="inlineStr">
        <is>
          <t xml:space="preserve">BQ</t>
        </is>
      </c>
      <c r="G231" s="0" t="inlineStr">
        <is>
          <t xml:space="preserve">BQ00041</t>
        </is>
      </c>
      <c r="H231" s="6" t="inlineStr">
        <is>
          <t xml:space="preserve">445510</t>
        </is>
      </c>
      <c r="I231" s="0" t="inlineStr">
        <is>
          <t xml:space="preserve">Reglement TVA 01/2025</t>
        </is>
      </c>
      <c r="J231" s="0"/>
      <c r="K231" s="8">
        <v>-9400.88</v>
      </c>
      <c r="L231" s="0" t="inlineStr">
        <is>
          <t xml:space="preserve">TVA</t>
        </is>
      </c>
      <c r="M231" s="9"/>
      <c r="N231" s="0">
        <f>IF(M231&lt;&gt;"",M231,L231)</f>
      </c>
      <c r="O231" s="0">
        <f>IFERROR(INDEX(Categories!$B$5:$B$35,MATCH(N231,Categories!$A$5:$A$35,0)),"NA")</f>
      </c>
    </row>
    <row r="232">
      <c r="A232" s="7">
        <v>45712</v>
      </c>
      <c r="B232" s="0" t="inlineStr">
        <is>
          <t xml:space="preserve">2025-S09</t>
        </is>
      </c>
      <c r="C232" s="0" t="inlineStr">
        <is>
          <t xml:space="preserve">2025-02</t>
        </is>
      </c>
      <c r="D232" s="0" t="inlineStr">
        <is>
          <t xml:space="preserve">2025</t>
        </is>
      </c>
      <c r="E232" s="6" t="inlineStr">
        <is>
          <t xml:space="preserve">512000</t>
        </is>
      </c>
      <c r="F232" s="6" t="inlineStr">
        <is>
          <t xml:space="preserve">BQ</t>
        </is>
      </c>
      <c r="G232" s="0" t="inlineStr">
        <is>
          <t xml:space="preserve">BQ00114</t>
        </is>
      </c>
      <c r="H232" s="6" t="inlineStr">
        <is>
          <t xml:space="preserve">401000</t>
        </is>
      </c>
      <c r="I232" s="0" t="inlineStr">
        <is>
          <t xml:space="preserve">Reglement fournisseur Vernis et Finitions AN2025</t>
        </is>
      </c>
      <c r="J232" s="0" t="inlineStr">
        <is>
          <t xml:space="preserve">Vernis et Finitions</t>
        </is>
      </c>
      <c r="K232" s="8">
        <v>-34477.39</v>
      </c>
      <c r="L232" s="0" t="inlineStr">
        <is>
          <t xml:space="preserve">Fournisseurs et charges externes</t>
        </is>
      </c>
      <c r="M232" s="9"/>
      <c r="N232" s="0">
        <f>IF(M232&lt;&gt;"",M232,L232)</f>
      </c>
      <c r="O232" s="0">
        <f>IFERROR(INDEX(Categories!$B$5:$B$35,MATCH(N232,Categories!$A$5:$A$35,0)),"NA")</f>
      </c>
    </row>
    <row r="233">
      <c r="A233" s="7">
        <v>45716</v>
      </c>
      <c r="B233" s="0" t="inlineStr">
        <is>
          <t xml:space="preserve">2025-S09</t>
        </is>
      </c>
      <c r="C233" s="0" t="inlineStr">
        <is>
          <t xml:space="preserve">2025-02</t>
        </is>
      </c>
      <c r="D233" s="0" t="inlineStr">
        <is>
          <t xml:space="preserve">2025</t>
        </is>
      </c>
      <c r="E233" s="6" t="inlineStr">
        <is>
          <t xml:space="preserve">512000</t>
        </is>
      </c>
      <c r="F233" s="6" t="inlineStr">
        <is>
          <t xml:space="preserve">BQ</t>
        </is>
      </c>
      <c r="G233" s="0" t="inlineStr">
        <is>
          <t xml:space="preserve">BQ00004</t>
        </is>
      </c>
      <c r="H233" s="6" t="inlineStr">
        <is>
          <t xml:space="preserve">421000</t>
        </is>
      </c>
      <c r="I233" s="0" t="inlineStr">
        <is>
          <t xml:space="preserve">Virement salaires 02/2025</t>
        </is>
      </c>
      <c r="J233" s="0"/>
      <c r="K233" s="8">
        <v>-39311.59</v>
      </c>
      <c r="L233" s="0" t="inlineStr">
        <is>
          <t xml:space="preserve">Salaires et personnel</t>
        </is>
      </c>
      <c r="M233" s="9"/>
      <c r="N233" s="0">
        <f>IF(M233&lt;&gt;"",M233,L233)</f>
      </c>
      <c r="O233" s="0">
        <f>IFERROR(INDEX(Categories!$B$5:$B$35,MATCH(N233,Categories!$A$5:$A$35,0)),"NA")</f>
      </c>
    </row>
    <row r="234">
      <c r="A234" s="7">
        <v>45716</v>
      </c>
      <c r="B234" s="0" t="inlineStr">
        <is>
          <t xml:space="preserve">2025-S09</t>
        </is>
      </c>
      <c r="C234" s="0" t="inlineStr">
        <is>
          <t xml:space="preserve">2025-02</t>
        </is>
      </c>
      <c r="D234" s="0" t="inlineStr">
        <is>
          <t xml:space="preserve">2025</t>
        </is>
      </c>
      <c r="E234" s="6" t="inlineStr">
        <is>
          <t xml:space="preserve">512000</t>
        </is>
      </c>
      <c r="F234" s="6" t="inlineStr">
        <is>
          <t xml:space="preserve">BQ</t>
        </is>
      </c>
      <c r="G234" s="0" t="inlineStr">
        <is>
          <t xml:space="preserve">BQ00006</t>
        </is>
      </c>
      <c r="H234" s="6" t="inlineStr">
        <is>
          <t xml:space="preserve">627000</t>
        </is>
      </c>
      <c r="I234" s="0" t="inlineStr">
        <is>
          <t xml:space="preserve">Frais bancaires 02/2025</t>
        </is>
      </c>
      <c r="J234" s="0"/>
      <c r="K234" s="8">
        <v>-85</v>
      </c>
      <c r="L234" s="0" t="inlineStr">
        <is>
          <t xml:space="preserve">Frais bancaires</t>
        </is>
      </c>
      <c r="M234" s="9"/>
      <c r="N234" s="0">
        <f>IF(M234&lt;&gt;"",M234,L234)</f>
      </c>
      <c r="O234" s="0">
        <f>IFERROR(INDEX(Categories!$B$5:$B$35,MATCH(N234,Categories!$A$5:$A$35,0)),"NA")</f>
      </c>
    </row>
    <row r="235">
      <c r="A235" s="7">
        <v>45719</v>
      </c>
      <c r="B235" s="0" t="inlineStr">
        <is>
          <t xml:space="preserve">2025-S10</t>
        </is>
      </c>
      <c r="C235" s="0" t="inlineStr">
        <is>
          <t xml:space="preserve">2025-03</t>
        </is>
      </c>
      <c r="D235" s="0" t="inlineStr">
        <is>
          <t xml:space="preserve">2025</t>
        </is>
      </c>
      <c r="E235" s="6" t="inlineStr">
        <is>
          <t xml:space="preserve">512000</t>
        </is>
      </c>
      <c r="F235" s="6" t="inlineStr">
        <is>
          <t xml:space="preserve">BQ</t>
        </is>
      </c>
      <c r="G235" s="0" t="inlineStr">
        <is>
          <t xml:space="preserve">BQ00071</t>
        </is>
      </c>
      <c r="H235" s="6" t="inlineStr">
        <is>
          <t xml:space="preserve">411000</t>
        </is>
      </c>
      <c r="I235" s="0" t="inlineStr">
        <is>
          <t xml:space="preserve">Reglement client Agence Mobilis FA2025-0004</t>
        </is>
      </c>
      <c r="J235" s="0" t="inlineStr">
        <is>
          <t xml:space="preserve">Agence Mobilis</t>
        </is>
      </c>
      <c r="K235" s="8">
        <v>34109.22</v>
      </c>
      <c r="L235" s="0" t="inlineStr">
        <is>
          <t xml:space="preserve">Clients</t>
        </is>
      </c>
      <c r="M235" s="9"/>
      <c r="N235" s="0">
        <f>IF(M235&lt;&gt;"",M235,L235)</f>
      </c>
      <c r="O235" s="0">
        <f>IFERROR(INDEX(Categories!$B$5:$B$35,MATCH(N235,Categories!$A$5:$A$35,0)),"NA")</f>
      </c>
    </row>
    <row r="236">
      <c r="A236" s="7">
        <v>45723</v>
      </c>
      <c r="B236" s="0" t="inlineStr">
        <is>
          <t xml:space="preserve">2025-S10</t>
        </is>
      </c>
      <c r="C236" s="0" t="inlineStr">
        <is>
          <t xml:space="preserve">2025-03</t>
        </is>
      </c>
      <c r="D236" s="0" t="inlineStr">
        <is>
          <t xml:space="preserve">2025</t>
        </is>
      </c>
      <c r="E236" s="6" t="inlineStr">
        <is>
          <t xml:space="preserve">512000</t>
        </is>
      </c>
      <c r="F236" s="6" t="inlineStr">
        <is>
          <t xml:space="preserve">BQ</t>
        </is>
      </c>
      <c r="G236" s="0" t="inlineStr">
        <is>
          <t xml:space="preserve">BQ00130</t>
        </is>
      </c>
      <c r="H236" s="6" t="inlineStr">
        <is>
          <t xml:space="preserve">401000</t>
        </is>
      </c>
      <c r="I236" s="0" t="inlineStr">
        <is>
          <t xml:space="preserve">Reglement fournisseur SCI Les Halles F004-202502</t>
        </is>
      </c>
      <c r="J236" s="0" t="inlineStr">
        <is>
          <t xml:space="preserve">SCI Les Halles</t>
        </is>
      </c>
      <c r="K236" s="8">
        <v>-10200</v>
      </c>
      <c r="L236" s="0" t="inlineStr">
        <is>
          <t xml:space="preserve">Fournisseurs et charges externes</t>
        </is>
      </c>
      <c r="M236" s="9"/>
      <c r="N236" s="0">
        <f>IF(M236&lt;&gt;"",M236,L236)</f>
      </c>
      <c r="O236" s="0">
        <f>IFERROR(INDEX(Categories!$B$5:$B$35,MATCH(N236,Categories!$A$5:$A$35,0)),"NA")</f>
      </c>
    </row>
    <row r="237">
      <c r="A237" s="7">
        <v>45723</v>
      </c>
      <c r="B237" s="0" t="inlineStr">
        <is>
          <t xml:space="preserve">2025-S10</t>
        </is>
      </c>
      <c r="C237" s="0" t="inlineStr">
        <is>
          <t xml:space="preserve">2025-03</t>
        </is>
      </c>
      <c r="D237" s="0" t="inlineStr">
        <is>
          <t xml:space="preserve">2025</t>
        </is>
      </c>
      <c r="E237" s="6" t="inlineStr">
        <is>
          <t xml:space="preserve">512000</t>
        </is>
      </c>
      <c r="F237" s="6" t="inlineStr">
        <is>
          <t xml:space="preserve">BQ</t>
        </is>
      </c>
      <c r="G237" s="0" t="inlineStr">
        <is>
          <t xml:space="preserve">BQ00131</t>
        </is>
      </c>
      <c r="H237" s="6" t="inlineStr">
        <is>
          <t xml:space="preserve">401000</t>
        </is>
      </c>
      <c r="I237" s="0" t="inlineStr">
        <is>
          <t xml:space="preserve">Reglement fournisseur Energie Plus F005-202502</t>
        </is>
      </c>
      <c r="J237" s="0" t="inlineStr">
        <is>
          <t xml:space="preserve">Energie Plus</t>
        </is>
      </c>
      <c r="K237" s="8">
        <v>-3995.66</v>
      </c>
      <c r="L237" s="0" t="inlineStr">
        <is>
          <t xml:space="preserve">Fournisseurs et charges externes</t>
        </is>
      </c>
      <c r="M237" s="9"/>
      <c r="N237" s="0">
        <f>IF(M237&lt;&gt;"",M237,L237)</f>
      </c>
      <c r="O237" s="0">
        <f>IFERROR(INDEX(Categories!$B$5:$B$35,MATCH(N237,Categories!$A$5:$A$35,0)),"NA")</f>
      </c>
    </row>
    <row r="238">
      <c r="A238" s="7">
        <v>45723</v>
      </c>
      <c r="B238" s="0" t="inlineStr">
        <is>
          <t xml:space="preserve">2025-S10</t>
        </is>
      </c>
      <c r="C238" s="0" t="inlineStr">
        <is>
          <t xml:space="preserve">2025-03</t>
        </is>
      </c>
      <c r="D238" s="0" t="inlineStr">
        <is>
          <t xml:space="preserve">2025</t>
        </is>
      </c>
      <c r="E238" s="6" t="inlineStr">
        <is>
          <t xml:space="preserve">512000</t>
        </is>
      </c>
      <c r="F238" s="6" t="inlineStr">
        <is>
          <t xml:space="preserve">BQ</t>
        </is>
      </c>
      <c r="G238" s="0" t="inlineStr">
        <is>
          <t xml:space="preserve">BQ00132</t>
        </is>
      </c>
      <c r="H238" s="6" t="inlineStr">
        <is>
          <t xml:space="preserve">401000</t>
        </is>
      </c>
      <c r="I238" s="0" t="inlineStr">
        <is>
          <t xml:space="preserve">Reglement fournisseur Telecom Pro F008-202502</t>
        </is>
      </c>
      <c r="J238" s="0" t="inlineStr">
        <is>
          <t xml:space="preserve">Telecom Pro</t>
        </is>
      </c>
      <c r="K238" s="8">
        <v>-576</v>
      </c>
      <c r="L238" s="0" t="inlineStr">
        <is>
          <t xml:space="preserve">Fournisseurs et charges externes</t>
        </is>
      </c>
      <c r="M238" s="9"/>
      <c r="N238" s="0">
        <f>IF(M238&lt;&gt;"",M238,L238)</f>
      </c>
      <c r="O238" s="0">
        <f>IFERROR(INDEX(Categories!$B$5:$B$35,MATCH(N238,Categories!$A$5:$A$35,0)),"NA")</f>
      </c>
    </row>
    <row r="239">
      <c r="A239" s="7">
        <v>45726</v>
      </c>
      <c r="B239" s="0" t="inlineStr">
        <is>
          <t xml:space="preserve">2025-S11</t>
        </is>
      </c>
      <c r="C239" s="0" t="inlineStr">
        <is>
          <t xml:space="preserve">2025-03</t>
        </is>
      </c>
      <c r="D239" s="0" t="inlineStr">
        <is>
          <t xml:space="preserve">2025</t>
        </is>
      </c>
      <c r="E239" s="6" t="inlineStr">
        <is>
          <t xml:space="preserve">512000</t>
        </is>
      </c>
      <c r="F239" s="6" t="inlineStr">
        <is>
          <t xml:space="preserve">BQ</t>
        </is>
      </c>
      <c r="G239" s="0" t="inlineStr">
        <is>
          <t xml:space="preserve">BQ00008</t>
        </is>
      </c>
      <c r="H239" s="6" t="inlineStr">
        <is>
          <t xml:space="preserve">164000</t>
        </is>
      </c>
      <c r="I239" s="0" t="inlineStr">
        <is>
          <t xml:space="preserve">Echeance emprunt 03/2025</t>
        </is>
      </c>
      <c r="J239" s="0"/>
      <c r="K239" s="8">
        <v>-2000</v>
      </c>
      <c r="L239" s="0" t="inlineStr">
        <is>
          <t xml:space="preserve">Emprunts - capital</t>
        </is>
      </c>
      <c r="M239" s="9"/>
      <c r="N239" s="0">
        <f>IF(M239&lt;&gt;"",M239,L239)</f>
      </c>
      <c r="O239" s="0">
        <f>IFERROR(INDEX(Categories!$B$5:$B$35,MATCH(N239,Categories!$A$5:$A$35,0)),"NA")</f>
      </c>
    </row>
    <row r="240">
      <c r="A240" s="7">
        <v>45726</v>
      </c>
      <c r="B240" s="0" t="inlineStr">
        <is>
          <t xml:space="preserve">2025-S11</t>
        </is>
      </c>
      <c r="C240" s="0" t="inlineStr">
        <is>
          <t xml:space="preserve">2025-03</t>
        </is>
      </c>
      <c r="D240" s="0" t="inlineStr">
        <is>
          <t xml:space="preserve">2025</t>
        </is>
      </c>
      <c r="E240" s="6" t="inlineStr">
        <is>
          <t xml:space="preserve">512000</t>
        </is>
      </c>
      <c r="F240" s="6" t="inlineStr">
        <is>
          <t xml:space="preserve">BQ</t>
        </is>
      </c>
      <c r="G240" s="0" t="inlineStr">
        <is>
          <t xml:space="preserve">BQ00008</t>
        </is>
      </c>
      <c r="H240" s="6" t="inlineStr">
        <is>
          <t xml:space="preserve">661100</t>
        </is>
      </c>
      <c r="I240" s="0" t="inlineStr">
        <is>
          <t xml:space="preserve">Echeance emprunt 03/2025</t>
        </is>
      </c>
      <c r="J240" s="0"/>
      <c r="K240" s="8">
        <v>-206.67</v>
      </c>
      <c r="L240" s="0" t="inlineStr">
        <is>
          <t xml:space="preserve">Intérêts et charges financières</t>
        </is>
      </c>
      <c r="M240" s="9"/>
      <c r="N240" s="0">
        <f>IF(M240&lt;&gt;"",M240,L240)</f>
      </c>
      <c r="O240" s="0">
        <f>IFERROR(INDEX(Categories!$B$5:$B$35,MATCH(N240,Categories!$A$5:$A$35,0)),"NA")</f>
      </c>
    </row>
    <row r="241">
      <c r="A241" s="7">
        <v>45726</v>
      </c>
      <c r="B241" s="0" t="inlineStr">
        <is>
          <t xml:space="preserve">2025-S11</t>
        </is>
      </c>
      <c r="C241" s="0" t="inlineStr">
        <is>
          <t xml:space="preserve">2025-03</t>
        </is>
      </c>
      <c r="D241" s="0" t="inlineStr">
        <is>
          <t xml:space="preserve">2025</t>
        </is>
      </c>
      <c r="E241" s="6" t="inlineStr">
        <is>
          <t xml:space="preserve">512000</t>
        </is>
      </c>
      <c r="F241" s="6" t="inlineStr">
        <is>
          <t xml:space="preserve">BQ</t>
        </is>
      </c>
      <c r="G241" s="0" t="inlineStr">
        <is>
          <t xml:space="preserve">BQ00069</t>
        </is>
      </c>
      <c r="H241" s="6" t="inlineStr">
        <is>
          <t xml:space="preserve">411000</t>
        </is>
      </c>
      <c r="I241" s="0" t="inlineStr">
        <is>
          <t xml:space="preserve">Reglement client Agence Mobilis FA2025-0002</t>
        </is>
      </c>
      <c r="J241" s="0" t="inlineStr">
        <is>
          <t xml:space="preserve">Agence Mobilis</t>
        </is>
      </c>
      <c r="K241" s="8">
        <v>36305.42</v>
      </c>
      <c r="L241" s="0" t="inlineStr">
        <is>
          <t xml:space="preserve">Clients</t>
        </is>
      </c>
      <c r="M241" s="9"/>
      <c r="N241" s="0">
        <f>IF(M241&lt;&gt;"",M241,L241)</f>
      </c>
      <c r="O241" s="0">
        <f>IFERROR(INDEX(Categories!$B$5:$B$35,MATCH(N241,Categories!$A$5:$A$35,0)),"NA")</f>
      </c>
    </row>
    <row r="242">
      <c r="A242" s="7">
        <v>45731</v>
      </c>
      <c r="B242" s="0" t="inlineStr">
        <is>
          <t xml:space="preserve">2025-S11</t>
        </is>
      </c>
      <c r="C242" s="0" t="inlineStr">
        <is>
          <t xml:space="preserve">2025-03</t>
        </is>
      </c>
      <c r="D242" s="0" t="inlineStr">
        <is>
          <t xml:space="preserve">2025</t>
        </is>
      </c>
      <c r="E242" s="6" t="inlineStr">
        <is>
          <t xml:space="preserve">512000</t>
        </is>
      </c>
      <c r="F242" s="6" t="inlineStr">
        <is>
          <t xml:space="preserve">BQ</t>
        </is>
      </c>
      <c r="G242" s="0" t="inlineStr">
        <is>
          <t xml:space="preserve">BQ00042</t>
        </is>
      </c>
      <c r="H242" s="6" t="inlineStr">
        <is>
          <t xml:space="preserve">431000</t>
        </is>
      </c>
      <c r="I242" s="0" t="inlineStr">
        <is>
          <t xml:space="preserve">Reglement URSSAF 02/2025</t>
        </is>
      </c>
      <c r="J242" s="0"/>
      <c r="K242" s="8">
        <v>-32255.66</v>
      </c>
      <c r="L242" s="0" t="inlineStr">
        <is>
          <t xml:space="preserve">Charges sociales</t>
        </is>
      </c>
      <c r="M242" s="9"/>
      <c r="N242" s="0">
        <f>IF(M242&lt;&gt;"",M242,L242)</f>
      </c>
      <c r="O242" s="0">
        <f>IFERROR(INDEX(Categories!$B$5:$B$35,MATCH(N242,Categories!$A$5:$A$35,0)),"NA")</f>
      </c>
    </row>
    <row r="243">
      <c r="A243" s="7">
        <v>45735</v>
      </c>
      <c r="B243" s="0" t="inlineStr">
        <is>
          <t xml:space="preserve">2025-S12</t>
        </is>
      </c>
      <c r="C243" s="0" t="inlineStr">
        <is>
          <t xml:space="preserve">2025-03</t>
        </is>
      </c>
      <c r="D243" s="0" t="inlineStr">
        <is>
          <t xml:space="preserve">2025</t>
        </is>
      </c>
      <c r="E243" s="6" t="inlineStr">
        <is>
          <t xml:space="preserve">512000</t>
        </is>
      </c>
      <c r="F243" s="6" t="inlineStr">
        <is>
          <t xml:space="preserve">BQ</t>
        </is>
      </c>
      <c r="G243" s="0" t="inlineStr">
        <is>
          <t xml:space="preserve">BQ00121</t>
        </is>
      </c>
      <c r="H243" s="6" t="inlineStr">
        <is>
          <t xml:space="preserve">401000</t>
        </is>
      </c>
      <c r="I243" s="0" t="inlineStr">
        <is>
          <t xml:space="preserve">Reglement fournisseur Scierie du Nord F001-2025012</t>
        </is>
      </c>
      <c r="J243" s="0" t="inlineStr">
        <is>
          <t xml:space="preserve">Scierie du Nord</t>
        </is>
      </c>
      <c r="K243" s="8">
        <v>-19150.03</v>
      </c>
      <c r="L243" s="0" t="inlineStr">
        <is>
          <t xml:space="preserve">Fournisseurs et charges externes</t>
        </is>
      </c>
      <c r="M243" s="9"/>
      <c r="N243" s="0">
        <f>IF(M243&lt;&gt;"",M243,L243)</f>
      </c>
      <c r="O243" s="0">
        <f>IFERROR(INDEX(Categories!$B$5:$B$35,MATCH(N243,Categories!$A$5:$A$35,0)),"NA")</f>
      </c>
    </row>
    <row r="244">
      <c r="A244" s="7">
        <v>45736</v>
      </c>
      <c r="B244" s="0" t="inlineStr">
        <is>
          <t xml:space="preserve">2025-S12</t>
        </is>
      </c>
      <c r="C244" s="0" t="inlineStr">
        <is>
          <t xml:space="preserve">2025-03</t>
        </is>
      </c>
      <c r="D244" s="0" t="inlineStr">
        <is>
          <t xml:space="preserve">2025</t>
        </is>
      </c>
      <c r="E244" s="6" t="inlineStr">
        <is>
          <t xml:space="preserve">512000</t>
        </is>
      </c>
      <c r="F244" s="6" t="inlineStr">
        <is>
          <t xml:space="preserve">BQ</t>
        </is>
      </c>
      <c r="G244" s="0" t="inlineStr">
        <is>
          <t xml:space="preserve">BQ00043</t>
        </is>
      </c>
      <c r="H244" s="6" t="inlineStr">
        <is>
          <t xml:space="preserve">445510</t>
        </is>
      </c>
      <c r="I244" s="0" t="inlineStr">
        <is>
          <t xml:space="preserve">Reglement TVA 02/2025</t>
        </is>
      </c>
      <c r="J244" s="0"/>
      <c r="K244" s="8">
        <v>-9286.39</v>
      </c>
      <c r="L244" s="0" t="inlineStr">
        <is>
          <t xml:space="preserve">TVA</t>
        </is>
      </c>
      <c r="M244" s="9"/>
      <c r="N244" s="0">
        <f>IF(M244&lt;&gt;"",M244,L244)</f>
      </c>
      <c r="O244" s="0">
        <f>IFERROR(INDEX(Categories!$B$5:$B$35,MATCH(N244,Categories!$A$5:$A$35,0)),"NA")</f>
      </c>
    </row>
    <row r="245">
      <c r="A245" s="7">
        <v>45736</v>
      </c>
      <c r="B245" s="0" t="inlineStr">
        <is>
          <t xml:space="preserve">2025-S12</t>
        </is>
      </c>
      <c r="C245" s="0" t="inlineStr">
        <is>
          <t xml:space="preserve">2025-03</t>
        </is>
      </c>
      <c r="D245" s="0" t="inlineStr">
        <is>
          <t xml:space="preserve">2025</t>
        </is>
      </c>
      <c r="E245" s="6" t="inlineStr">
        <is>
          <t xml:space="preserve">512000</t>
        </is>
      </c>
      <c r="F245" s="6" t="inlineStr">
        <is>
          <t xml:space="preserve">BQ</t>
        </is>
      </c>
      <c r="G245" s="0" t="inlineStr">
        <is>
          <t xml:space="preserve">BQ00072</t>
        </is>
      </c>
      <c r="H245" s="6" t="inlineStr">
        <is>
          <t xml:space="preserve">411000</t>
        </is>
      </c>
      <c r="I245" s="0" t="inlineStr">
        <is>
          <t xml:space="preserve">Reglement client Boutique Hetre et Chene FA2025-0005</t>
        </is>
      </c>
      <c r="J245" s="0" t="inlineStr">
        <is>
          <t xml:space="preserve">Boutique Hetre et Chene</t>
        </is>
      </c>
      <c r="K245" s="8">
        <v>18286.85</v>
      </c>
      <c r="L245" s="0" t="inlineStr">
        <is>
          <t xml:space="preserve">Clients</t>
        </is>
      </c>
      <c r="M245" s="9"/>
      <c r="N245" s="0">
        <f>IF(M245&lt;&gt;"",M245,L245)</f>
      </c>
      <c r="O245" s="0">
        <f>IFERROR(INDEX(Categories!$B$5:$B$35,MATCH(N245,Categories!$A$5:$A$35,0)),"NA")</f>
      </c>
    </row>
    <row r="246">
      <c r="A246" s="7">
        <v>45736</v>
      </c>
      <c r="B246" s="0" t="inlineStr">
        <is>
          <t xml:space="preserve">2025-S12</t>
        </is>
      </c>
      <c r="C246" s="0" t="inlineStr">
        <is>
          <t xml:space="preserve">2025-03</t>
        </is>
      </c>
      <c r="D246" s="0" t="inlineStr">
        <is>
          <t xml:space="preserve">2025</t>
        </is>
      </c>
      <c r="E246" s="6" t="inlineStr">
        <is>
          <t xml:space="preserve">512000</t>
        </is>
      </c>
      <c r="F246" s="6" t="inlineStr">
        <is>
          <t xml:space="preserve">BQ</t>
        </is>
      </c>
      <c r="G246" s="0" t="inlineStr">
        <is>
          <t xml:space="preserve">BQ00188</t>
        </is>
      </c>
      <c r="H246" s="6" t="inlineStr">
        <is>
          <t xml:space="preserve">445510</t>
        </is>
      </c>
      <c r="I246" s="0" t="inlineStr">
        <is>
          <t xml:space="preserve">Reglement TVA complementaire 02/2025</t>
        </is>
      </c>
      <c r="J246" s="0"/>
      <c r="K246" s="8">
        <v>-8000</v>
      </c>
      <c r="L246" s="0" t="inlineStr">
        <is>
          <t xml:space="preserve">TVA</t>
        </is>
      </c>
      <c r="M246" s="9"/>
      <c r="N246" s="0">
        <f>IF(M246&lt;&gt;"",M246,L246)</f>
      </c>
      <c r="O246" s="0">
        <f>IFERROR(INDEX(Categories!$B$5:$B$35,MATCH(N246,Categories!$A$5:$A$35,0)),"NA")</f>
      </c>
    </row>
    <row r="247">
      <c r="A247" s="7">
        <v>45740</v>
      </c>
      <c r="B247" s="0" t="inlineStr">
        <is>
          <t xml:space="preserve">2025-S13</t>
        </is>
      </c>
      <c r="C247" s="0" t="inlineStr">
        <is>
          <t xml:space="preserve">2025-03</t>
        </is>
      </c>
      <c r="D247" s="0" t="inlineStr">
        <is>
          <t xml:space="preserve">2025</t>
        </is>
      </c>
      <c r="E247" s="6" t="inlineStr">
        <is>
          <t xml:space="preserve">512000</t>
        </is>
      </c>
      <c r="F247" s="6" t="inlineStr">
        <is>
          <t xml:space="preserve">BQ</t>
        </is>
      </c>
      <c r="G247" s="0" t="inlineStr">
        <is>
          <t xml:space="preserve">BQ00120</t>
        </is>
      </c>
      <c r="H247" s="6" t="inlineStr">
        <is>
          <t xml:space="preserve">401000</t>
        </is>
      </c>
      <c r="I247" s="0" t="inlineStr">
        <is>
          <t xml:space="preserve">Reglement fournisseur Vernis et Finitions F003-2025011</t>
        </is>
      </c>
      <c r="J247" s="0" t="inlineStr">
        <is>
          <t xml:space="preserve">Vernis et Finitions</t>
        </is>
      </c>
      <c r="K247" s="8">
        <v>-19242.77</v>
      </c>
      <c r="L247" s="0" t="inlineStr">
        <is>
          <t xml:space="preserve">Fournisseurs et charges externes</t>
        </is>
      </c>
      <c r="M247" s="9"/>
      <c r="N247" s="0">
        <f>IF(M247&lt;&gt;"",M247,L247)</f>
      </c>
      <c r="O247" s="0">
        <f>IFERROR(INDEX(Categories!$B$5:$B$35,MATCH(N247,Categories!$A$5:$A$35,0)),"NA")</f>
      </c>
    </row>
    <row r="248">
      <c r="A248" s="7">
        <v>45740</v>
      </c>
      <c r="B248" s="0" t="inlineStr">
        <is>
          <t xml:space="preserve">2025-S13</t>
        </is>
      </c>
      <c r="C248" s="0" t="inlineStr">
        <is>
          <t xml:space="preserve">2025-03</t>
        </is>
      </c>
      <c r="D248" s="0" t="inlineStr">
        <is>
          <t xml:space="preserve">2025</t>
        </is>
      </c>
      <c r="E248" s="6" t="inlineStr">
        <is>
          <t xml:space="preserve">512000</t>
        </is>
      </c>
      <c r="F248" s="6" t="inlineStr">
        <is>
          <t xml:space="preserve">BQ</t>
        </is>
      </c>
      <c r="G248" s="0" t="inlineStr">
        <is>
          <t xml:space="preserve">BQ00122</t>
        </is>
      </c>
      <c r="H248" s="6" t="inlineStr">
        <is>
          <t xml:space="preserve">401000</t>
        </is>
      </c>
      <c r="I248" s="0" t="inlineStr">
        <is>
          <t xml:space="preserve">Reglement fournisseur Scierie du Nord F001-2025013</t>
        </is>
      </c>
      <c r="J248" s="0" t="inlineStr">
        <is>
          <t xml:space="preserve">Scierie du Nord</t>
        </is>
      </c>
      <c r="K248" s="8">
        <v>-24117.2</v>
      </c>
      <c r="L248" s="0" t="inlineStr">
        <is>
          <t xml:space="preserve">Fournisseurs et charges externes</t>
        </is>
      </c>
      <c r="M248" s="9"/>
      <c r="N248" s="0">
        <f>IF(M248&lt;&gt;"",M248,L248)</f>
      </c>
      <c r="O248" s="0">
        <f>IFERROR(INDEX(Categories!$B$5:$B$35,MATCH(N248,Categories!$A$5:$A$35,0)),"NA")</f>
      </c>
    </row>
    <row r="249">
      <c r="A249" s="7">
        <v>45747</v>
      </c>
      <c r="B249" s="0" t="inlineStr">
        <is>
          <t xml:space="preserve">2025-S14</t>
        </is>
      </c>
      <c r="C249" s="0" t="inlineStr">
        <is>
          <t xml:space="preserve">2025-03</t>
        </is>
      </c>
      <c r="D249" s="0" t="inlineStr">
        <is>
          <t xml:space="preserve">2025</t>
        </is>
      </c>
      <c r="E249" s="6" t="inlineStr">
        <is>
          <t xml:space="preserve">512000</t>
        </is>
      </c>
      <c r="F249" s="6" t="inlineStr">
        <is>
          <t xml:space="preserve">BQ</t>
        </is>
      </c>
      <c r="G249" s="0" t="inlineStr">
        <is>
          <t xml:space="preserve">BQ00007</t>
        </is>
      </c>
      <c r="H249" s="6" t="inlineStr">
        <is>
          <t xml:space="preserve">421000</t>
        </is>
      </c>
      <c r="I249" s="0" t="inlineStr">
        <is>
          <t xml:space="preserve">Virement salaires 03/2025</t>
        </is>
      </c>
      <c r="J249" s="0"/>
      <c r="K249" s="8">
        <v>-39302.13</v>
      </c>
      <c r="L249" s="0" t="inlineStr">
        <is>
          <t xml:space="preserve">Salaires et personnel</t>
        </is>
      </c>
      <c r="M249" s="9"/>
      <c r="N249" s="0">
        <f>IF(M249&lt;&gt;"",M249,L249)</f>
      </c>
      <c r="O249" s="0">
        <f>IFERROR(INDEX(Categories!$B$5:$B$35,MATCH(N249,Categories!$A$5:$A$35,0)),"NA")</f>
      </c>
    </row>
    <row r="250">
      <c r="A250" s="7">
        <v>45747</v>
      </c>
      <c r="B250" s="0" t="inlineStr">
        <is>
          <t xml:space="preserve">2025-S14</t>
        </is>
      </c>
      <c r="C250" s="0" t="inlineStr">
        <is>
          <t xml:space="preserve">2025-03</t>
        </is>
      </c>
      <c r="D250" s="0" t="inlineStr">
        <is>
          <t xml:space="preserve">2025</t>
        </is>
      </c>
      <c r="E250" s="6" t="inlineStr">
        <is>
          <t xml:space="preserve">512000</t>
        </is>
      </c>
      <c r="F250" s="6" t="inlineStr">
        <is>
          <t xml:space="preserve">BQ</t>
        </is>
      </c>
      <c r="G250" s="0" t="inlineStr">
        <is>
          <t xml:space="preserve">BQ00009</t>
        </is>
      </c>
      <c r="H250" s="6" t="inlineStr">
        <is>
          <t xml:space="preserve">627000</t>
        </is>
      </c>
      <c r="I250" s="0" t="inlineStr">
        <is>
          <t xml:space="preserve">Frais bancaires 03/2025</t>
        </is>
      </c>
      <c r="J250" s="0"/>
      <c r="K250" s="8">
        <v>-85</v>
      </c>
      <c r="L250" s="0" t="inlineStr">
        <is>
          <t xml:space="preserve">Frais bancaires</t>
        </is>
      </c>
      <c r="M250" s="9"/>
      <c r="N250" s="0">
        <f>IF(M250&lt;&gt;"",M250,L250)</f>
      </c>
      <c r="O250" s="0">
        <f>IFERROR(INDEX(Categories!$B$5:$B$35,MATCH(N250,Categories!$A$5:$A$35,0)),"NA")</f>
      </c>
    </row>
    <row r="251">
      <c r="A251" s="7">
        <v>45747</v>
      </c>
      <c r="B251" s="0" t="inlineStr">
        <is>
          <t xml:space="preserve">2025-S14</t>
        </is>
      </c>
      <c r="C251" s="0" t="inlineStr">
        <is>
          <t xml:space="preserve">2025-03</t>
        </is>
      </c>
      <c r="D251" s="0" t="inlineStr">
        <is>
          <t xml:space="preserve">2025</t>
        </is>
      </c>
      <c r="E251" s="6" t="inlineStr">
        <is>
          <t xml:space="preserve">512000</t>
        </is>
      </c>
      <c r="F251" s="6" t="inlineStr">
        <is>
          <t xml:space="preserve">BQ</t>
        </is>
      </c>
      <c r="G251" s="0" t="inlineStr">
        <is>
          <t xml:space="preserve">BQ00068</t>
        </is>
      </c>
      <c r="H251" s="6" t="inlineStr">
        <is>
          <t xml:space="preserve">411000</t>
        </is>
      </c>
      <c r="I251" s="0" t="inlineStr">
        <is>
          <t xml:space="preserve">Reglement client Agence Mobilis FA2025-0001</t>
        </is>
      </c>
      <c r="J251" s="0" t="inlineStr">
        <is>
          <t xml:space="preserve">Agence Mobilis</t>
        </is>
      </c>
      <c r="K251" s="8">
        <v>23082.83</v>
      </c>
      <c r="L251" s="0" t="inlineStr">
        <is>
          <t xml:space="preserve">Clients</t>
        </is>
      </c>
      <c r="M251" s="9"/>
      <c r="N251" s="0">
        <f>IF(M251&lt;&gt;"",M251,L251)</f>
      </c>
      <c r="O251" s="0">
        <f>IFERROR(INDEX(Categories!$B$5:$B$35,MATCH(N251,Categories!$A$5:$A$35,0)),"NA")</f>
      </c>
    </row>
    <row r="252">
      <c r="A252" s="7">
        <v>45747</v>
      </c>
      <c r="B252" s="0" t="inlineStr">
        <is>
          <t xml:space="preserve">2025-S14</t>
        </is>
      </c>
      <c r="C252" s="0" t="inlineStr">
        <is>
          <t xml:space="preserve">2025-03</t>
        </is>
      </c>
      <c r="D252" s="0" t="inlineStr">
        <is>
          <t xml:space="preserve">2025</t>
        </is>
      </c>
      <c r="E252" s="6" t="inlineStr">
        <is>
          <t xml:space="preserve">512000</t>
        </is>
      </c>
      <c r="F252" s="6" t="inlineStr">
        <is>
          <t xml:space="preserve">BQ</t>
        </is>
      </c>
      <c r="G252" s="0" t="inlineStr">
        <is>
          <t xml:space="preserve">BQ00073</t>
        </is>
      </c>
      <c r="H252" s="6" t="inlineStr">
        <is>
          <t xml:space="preserve">411000</t>
        </is>
      </c>
      <c r="I252" s="0" t="inlineStr">
        <is>
          <t xml:space="preserve">Reglement client Coworking Atelier 9 FA2025-0006</t>
        </is>
      </c>
      <c r="J252" s="0" t="inlineStr">
        <is>
          <t xml:space="preserve">Coworking Atelier 9</t>
        </is>
      </c>
      <c r="K252" s="8">
        <v>33188.89</v>
      </c>
      <c r="L252" s="0" t="inlineStr">
        <is>
          <t xml:space="preserve">Clients</t>
        </is>
      </c>
      <c r="M252" s="9"/>
      <c r="N252" s="0">
        <f>IF(M252&lt;&gt;"",M252,L252)</f>
      </c>
      <c r="O252" s="0">
        <f>IFERROR(INDEX(Categories!$B$5:$B$35,MATCH(N252,Categories!$A$5:$A$35,0)),"NA")</f>
      </c>
    </row>
    <row r="253">
      <c r="A253" s="7">
        <v>45750</v>
      </c>
      <c r="B253" s="0" t="inlineStr">
        <is>
          <t xml:space="preserve">2025-S14</t>
        </is>
      </c>
      <c r="C253" s="0" t="inlineStr">
        <is>
          <t xml:space="preserve">2025-04</t>
        </is>
      </c>
      <c r="D253" s="0" t="inlineStr">
        <is>
          <t xml:space="preserve">2025</t>
        </is>
      </c>
      <c r="E253" s="6" t="inlineStr">
        <is>
          <t xml:space="preserve">512000</t>
        </is>
      </c>
      <c r="F253" s="6" t="inlineStr">
        <is>
          <t xml:space="preserve">BQ</t>
        </is>
      </c>
      <c r="G253" s="0" t="inlineStr">
        <is>
          <t xml:space="preserve">BQ00075</t>
        </is>
      </c>
      <c r="H253" s="6" t="inlineStr">
        <is>
          <t xml:space="preserve">411000</t>
        </is>
      </c>
      <c r="I253" s="0" t="inlineStr">
        <is>
          <t xml:space="preserve">Reglement client Coworking Atelier 9 FA2025-0008</t>
        </is>
      </c>
      <c r="J253" s="0" t="inlineStr">
        <is>
          <t xml:space="preserve">Coworking Atelier 9</t>
        </is>
      </c>
      <c r="K253" s="8">
        <v>27040.6</v>
      </c>
      <c r="L253" s="0" t="inlineStr">
        <is>
          <t xml:space="preserve">Clients</t>
        </is>
      </c>
      <c r="M253" s="9"/>
      <c r="N253" s="0">
        <f>IF(M253&lt;&gt;"",M253,L253)</f>
      </c>
      <c r="O253" s="0">
        <f>IFERROR(INDEX(Categories!$B$5:$B$35,MATCH(N253,Categories!$A$5:$A$35,0)),"NA")</f>
      </c>
    </row>
    <row r="254">
      <c r="A254" s="7">
        <v>45751</v>
      </c>
      <c r="B254" s="0" t="inlineStr">
        <is>
          <t xml:space="preserve">2025-S14</t>
        </is>
      </c>
      <c r="C254" s="0" t="inlineStr">
        <is>
          <t xml:space="preserve">2025-04</t>
        </is>
      </c>
      <c r="D254" s="0" t="inlineStr">
        <is>
          <t xml:space="preserve">2025</t>
        </is>
      </c>
      <c r="E254" s="6" t="inlineStr">
        <is>
          <t xml:space="preserve">512000</t>
        </is>
      </c>
      <c r="F254" s="6" t="inlineStr">
        <is>
          <t xml:space="preserve">BQ</t>
        </is>
      </c>
      <c r="G254" s="0" t="inlineStr">
        <is>
          <t xml:space="preserve">BQ00136</t>
        </is>
      </c>
      <c r="H254" s="6" t="inlineStr">
        <is>
          <t xml:space="preserve">401000</t>
        </is>
      </c>
      <c r="I254" s="0" t="inlineStr">
        <is>
          <t xml:space="preserve">Reglement fournisseur SCI Les Halles F004-202503</t>
        </is>
      </c>
      <c r="J254" s="0" t="inlineStr">
        <is>
          <t xml:space="preserve">SCI Les Halles</t>
        </is>
      </c>
      <c r="K254" s="8">
        <v>-10200</v>
      </c>
      <c r="L254" s="0" t="inlineStr">
        <is>
          <t xml:space="preserve">Fournisseurs et charges externes</t>
        </is>
      </c>
      <c r="M254" s="9"/>
      <c r="N254" s="0">
        <f>IF(M254&lt;&gt;"",M254,L254)</f>
      </c>
      <c r="O254" s="0">
        <f>IFERROR(INDEX(Categories!$B$5:$B$35,MATCH(N254,Categories!$A$5:$A$35,0)),"NA")</f>
      </c>
    </row>
    <row r="255">
      <c r="A255" s="7">
        <v>45751</v>
      </c>
      <c r="B255" s="0" t="inlineStr">
        <is>
          <t xml:space="preserve">2025-S14</t>
        </is>
      </c>
      <c r="C255" s="0" t="inlineStr">
        <is>
          <t xml:space="preserve">2025-04</t>
        </is>
      </c>
      <c r="D255" s="0" t="inlineStr">
        <is>
          <t xml:space="preserve">2025</t>
        </is>
      </c>
      <c r="E255" s="6" t="inlineStr">
        <is>
          <t xml:space="preserve">512000</t>
        </is>
      </c>
      <c r="F255" s="6" t="inlineStr">
        <is>
          <t xml:space="preserve">BQ</t>
        </is>
      </c>
      <c r="G255" s="0" t="inlineStr">
        <is>
          <t xml:space="preserve">BQ00137</t>
        </is>
      </c>
      <c r="H255" s="6" t="inlineStr">
        <is>
          <t xml:space="preserve">401000</t>
        </is>
      </c>
      <c r="I255" s="0" t="inlineStr">
        <is>
          <t xml:space="preserve">Reglement fournisseur Energie Plus F005-202503</t>
        </is>
      </c>
      <c r="J255" s="0" t="inlineStr">
        <is>
          <t xml:space="preserve">Energie Plus</t>
        </is>
      </c>
      <c r="K255" s="8">
        <v>-3414.28</v>
      </c>
      <c r="L255" s="0" t="inlineStr">
        <is>
          <t xml:space="preserve">Fournisseurs et charges externes</t>
        </is>
      </c>
      <c r="M255" s="9"/>
      <c r="N255" s="0">
        <f>IF(M255&lt;&gt;"",M255,L255)</f>
      </c>
      <c r="O255" s="0">
        <f>IFERROR(INDEX(Categories!$B$5:$B$35,MATCH(N255,Categories!$A$5:$A$35,0)),"NA")</f>
      </c>
    </row>
    <row r="256">
      <c r="A256" s="7">
        <v>45751</v>
      </c>
      <c r="B256" s="0" t="inlineStr">
        <is>
          <t xml:space="preserve">2025-S14</t>
        </is>
      </c>
      <c r="C256" s="0" t="inlineStr">
        <is>
          <t xml:space="preserve">2025-04</t>
        </is>
      </c>
      <c r="D256" s="0" t="inlineStr">
        <is>
          <t xml:space="preserve">2025</t>
        </is>
      </c>
      <c r="E256" s="6" t="inlineStr">
        <is>
          <t xml:space="preserve">512000</t>
        </is>
      </c>
      <c r="F256" s="6" t="inlineStr">
        <is>
          <t xml:space="preserve">BQ</t>
        </is>
      </c>
      <c r="G256" s="0" t="inlineStr">
        <is>
          <t xml:space="preserve">BQ00138</t>
        </is>
      </c>
      <c r="H256" s="6" t="inlineStr">
        <is>
          <t xml:space="preserve">401000</t>
        </is>
      </c>
      <c r="I256" s="0" t="inlineStr">
        <is>
          <t xml:space="preserve">Reglement fournisseur Telecom Pro F008-202503</t>
        </is>
      </c>
      <c r="J256" s="0" t="inlineStr">
        <is>
          <t xml:space="preserve">Telecom Pro</t>
        </is>
      </c>
      <c r="K256" s="8">
        <v>-576</v>
      </c>
      <c r="L256" s="0" t="inlineStr">
        <is>
          <t xml:space="preserve">Fournisseurs et charges externes</t>
        </is>
      </c>
      <c r="M256" s="9"/>
      <c r="N256" s="0">
        <f>IF(M256&lt;&gt;"",M256,L256)</f>
      </c>
      <c r="O256" s="0">
        <f>IFERROR(INDEX(Categories!$B$5:$B$35,MATCH(N256,Categories!$A$5:$A$35,0)),"NA")</f>
      </c>
    </row>
    <row r="257">
      <c r="A257" s="7">
        <v>45751</v>
      </c>
      <c r="B257" s="0" t="inlineStr">
        <is>
          <t xml:space="preserve">2025-S14</t>
        </is>
      </c>
      <c r="C257" s="0" t="inlineStr">
        <is>
          <t xml:space="preserve">2025-04</t>
        </is>
      </c>
      <c r="D257" s="0" t="inlineStr">
        <is>
          <t xml:space="preserve">2025</t>
        </is>
      </c>
      <c r="E257" s="6" t="inlineStr">
        <is>
          <t xml:space="preserve">512000</t>
        </is>
      </c>
      <c r="F257" s="6" t="inlineStr">
        <is>
          <t xml:space="preserve">BQ</t>
        </is>
      </c>
      <c r="G257" s="0" t="inlineStr">
        <is>
          <t xml:space="preserve">BQ00139</t>
        </is>
      </c>
      <c r="H257" s="6" t="inlineStr">
        <is>
          <t xml:space="preserve">401000</t>
        </is>
      </c>
      <c r="I257" s="0" t="inlineStr">
        <is>
          <t xml:space="preserve">Reglement fournisseur Cabinet Comptable Exemple F007-202503</t>
        </is>
      </c>
      <c r="J257" s="0" t="inlineStr">
        <is>
          <t xml:space="preserve">Cabinet Comptable Exemple</t>
        </is>
      </c>
      <c r="K257" s="8">
        <v>-7200</v>
      </c>
      <c r="L257" s="0" t="inlineStr">
        <is>
          <t xml:space="preserve">Fournisseurs et charges externes</t>
        </is>
      </c>
      <c r="M257" s="9"/>
      <c r="N257" s="0">
        <f>IF(M257&lt;&gt;"",M257,L257)</f>
      </c>
      <c r="O257" s="0">
        <f>IFERROR(INDEX(Categories!$B$5:$B$35,MATCH(N257,Categories!$A$5:$A$35,0)),"NA")</f>
      </c>
    </row>
    <row r="258">
      <c r="A258" s="7">
        <v>45754</v>
      </c>
      <c r="B258" s="0" t="inlineStr">
        <is>
          <t xml:space="preserve">2025-S15</t>
        </is>
      </c>
      <c r="C258" s="0" t="inlineStr">
        <is>
          <t xml:space="preserve">2025-04</t>
        </is>
      </c>
      <c r="D258" s="0" t="inlineStr">
        <is>
          <t xml:space="preserve">2025</t>
        </is>
      </c>
      <c r="E258" s="6" t="inlineStr">
        <is>
          <t xml:space="preserve">512000</t>
        </is>
      </c>
      <c r="F258" s="6" t="inlineStr">
        <is>
          <t xml:space="preserve">BQ</t>
        </is>
      </c>
      <c r="G258" s="0" t="inlineStr">
        <is>
          <t xml:space="preserve">BQ00070</t>
        </is>
      </c>
      <c r="H258" s="6" t="inlineStr">
        <is>
          <t xml:space="preserve">411000</t>
        </is>
      </c>
      <c r="I258" s="0" t="inlineStr">
        <is>
          <t xml:space="preserve">Reglement client Residence Bel Air FA2025-0003</t>
        </is>
      </c>
      <c r="J258" s="0" t="inlineStr">
        <is>
          <t xml:space="preserve">Residence Bel Air</t>
        </is>
      </c>
      <c r="K258" s="8">
        <v>21215.65</v>
      </c>
      <c r="L258" s="0" t="inlineStr">
        <is>
          <t xml:space="preserve">Clients</t>
        </is>
      </c>
      <c r="M258" s="9"/>
      <c r="N258" s="0">
        <f>IF(M258&lt;&gt;"",M258,L258)</f>
      </c>
      <c r="O258" s="0">
        <f>IFERROR(INDEX(Categories!$B$5:$B$35,MATCH(N258,Categories!$A$5:$A$35,0)),"NA")</f>
      </c>
    </row>
    <row r="259">
      <c r="A259" s="7">
        <v>45757</v>
      </c>
      <c r="B259" s="0" t="inlineStr">
        <is>
          <t xml:space="preserve">2025-S15</t>
        </is>
      </c>
      <c r="C259" s="0" t="inlineStr">
        <is>
          <t xml:space="preserve">2025-04</t>
        </is>
      </c>
      <c r="D259" s="0" t="inlineStr">
        <is>
          <t xml:space="preserve">2025</t>
        </is>
      </c>
      <c r="E259" s="6" t="inlineStr">
        <is>
          <t xml:space="preserve">512000</t>
        </is>
      </c>
      <c r="F259" s="6" t="inlineStr">
        <is>
          <t xml:space="preserve">BQ</t>
        </is>
      </c>
      <c r="G259" s="0" t="inlineStr">
        <is>
          <t xml:space="preserve">BQ00011</t>
        </is>
      </c>
      <c r="H259" s="6" t="inlineStr">
        <is>
          <t xml:space="preserve">164000</t>
        </is>
      </c>
      <c r="I259" s="0" t="inlineStr">
        <is>
          <t xml:space="preserve">Echeance emprunt 04/2025</t>
        </is>
      </c>
      <c r="J259" s="0"/>
      <c r="K259" s="8">
        <v>-2000</v>
      </c>
      <c r="L259" s="0" t="inlineStr">
        <is>
          <t xml:space="preserve">Emprunts - capital</t>
        </is>
      </c>
      <c r="M259" s="9"/>
      <c r="N259" s="0">
        <f>IF(M259&lt;&gt;"",M259,L259)</f>
      </c>
      <c r="O259" s="0">
        <f>IFERROR(INDEX(Categories!$B$5:$B$35,MATCH(N259,Categories!$A$5:$A$35,0)),"NA")</f>
      </c>
    </row>
    <row r="260">
      <c r="A260" s="7">
        <v>45757</v>
      </c>
      <c r="B260" s="0" t="inlineStr">
        <is>
          <t xml:space="preserve">2025-S15</t>
        </is>
      </c>
      <c r="C260" s="0" t="inlineStr">
        <is>
          <t xml:space="preserve">2025-04</t>
        </is>
      </c>
      <c r="D260" s="0" t="inlineStr">
        <is>
          <t xml:space="preserve">2025</t>
        </is>
      </c>
      <c r="E260" s="6" t="inlineStr">
        <is>
          <t xml:space="preserve">512000</t>
        </is>
      </c>
      <c r="F260" s="6" t="inlineStr">
        <is>
          <t xml:space="preserve">BQ</t>
        </is>
      </c>
      <c r="G260" s="0" t="inlineStr">
        <is>
          <t xml:space="preserve">BQ00011</t>
        </is>
      </c>
      <c r="H260" s="6" t="inlineStr">
        <is>
          <t xml:space="preserve">661100</t>
        </is>
      </c>
      <c r="I260" s="0" t="inlineStr">
        <is>
          <t xml:space="preserve">Echeance emprunt 04/2025</t>
        </is>
      </c>
      <c r="J260" s="0"/>
      <c r="K260" s="8">
        <v>-200</v>
      </c>
      <c r="L260" s="0" t="inlineStr">
        <is>
          <t xml:space="preserve">Intérêts et charges financières</t>
        </is>
      </c>
      <c r="M260" s="9"/>
      <c r="N260" s="0">
        <f>IF(M260&lt;&gt;"",M260,L260)</f>
      </c>
      <c r="O260" s="0">
        <f>IFERROR(INDEX(Categories!$B$5:$B$35,MATCH(N260,Categories!$A$5:$A$35,0)),"NA")</f>
      </c>
    </row>
    <row r="261">
      <c r="A261" s="7">
        <v>45758</v>
      </c>
      <c r="B261" s="0" t="inlineStr">
        <is>
          <t xml:space="preserve">2025-S15</t>
        </is>
      </c>
      <c r="C261" s="0" t="inlineStr">
        <is>
          <t xml:space="preserve">2025-04</t>
        </is>
      </c>
      <c r="D261" s="0" t="inlineStr">
        <is>
          <t xml:space="preserve">2025</t>
        </is>
      </c>
      <c r="E261" s="6" t="inlineStr">
        <is>
          <t xml:space="preserve">512000</t>
        </is>
      </c>
      <c r="F261" s="6" t="inlineStr">
        <is>
          <t xml:space="preserve">BQ</t>
        </is>
      </c>
      <c r="G261" s="0" t="inlineStr">
        <is>
          <t xml:space="preserve">BQ00128</t>
        </is>
      </c>
      <c r="H261" s="6" t="inlineStr">
        <is>
          <t xml:space="preserve">401000</t>
        </is>
      </c>
      <c r="I261" s="0" t="inlineStr">
        <is>
          <t xml:space="preserve">Reglement fournisseur Scierie du Nord F001-2025022</t>
        </is>
      </c>
      <c r="J261" s="0" t="inlineStr">
        <is>
          <t xml:space="preserve">Scierie du Nord</t>
        </is>
      </c>
      <c r="K261" s="8">
        <v>-21807.58</v>
      </c>
      <c r="L261" s="0" t="inlineStr">
        <is>
          <t xml:space="preserve">Fournisseurs et charges externes</t>
        </is>
      </c>
      <c r="M261" s="9"/>
      <c r="N261" s="0">
        <f>IF(M261&lt;&gt;"",M261,L261)</f>
      </c>
      <c r="O261" s="0">
        <f>IFERROR(INDEX(Categories!$B$5:$B$35,MATCH(N261,Categories!$A$5:$A$35,0)),"NA")</f>
      </c>
    </row>
    <row r="262">
      <c r="A262" s="7">
        <v>45761</v>
      </c>
      <c r="B262" s="0" t="inlineStr">
        <is>
          <t xml:space="preserve">2025-S16</t>
        </is>
      </c>
      <c r="C262" s="0" t="inlineStr">
        <is>
          <t xml:space="preserve">2025-04</t>
        </is>
      </c>
      <c r="D262" s="0" t="inlineStr">
        <is>
          <t xml:space="preserve">2025</t>
        </is>
      </c>
      <c r="E262" s="6" t="inlineStr">
        <is>
          <t xml:space="preserve">512000</t>
        </is>
      </c>
      <c r="F262" s="6" t="inlineStr">
        <is>
          <t xml:space="preserve">BQ</t>
        </is>
      </c>
      <c r="G262" s="0" t="inlineStr">
        <is>
          <t xml:space="preserve">BQ00074</t>
        </is>
      </c>
      <c r="H262" s="6" t="inlineStr">
        <is>
          <t xml:space="preserve">411000</t>
        </is>
      </c>
      <c r="I262" s="0" t="inlineStr">
        <is>
          <t xml:space="preserve">Reglement client Cabinet Varenne Associes FA2025-0007</t>
        </is>
      </c>
      <c r="J262" s="0" t="inlineStr">
        <is>
          <t xml:space="preserve">Cabinet Varenne Associes</t>
        </is>
      </c>
      <c r="K262" s="8">
        <v>29641.25</v>
      </c>
      <c r="L262" s="0" t="inlineStr">
        <is>
          <t xml:space="preserve">Clients</t>
        </is>
      </c>
      <c r="M262" s="9"/>
      <c r="N262" s="0">
        <f>IF(M262&lt;&gt;"",M262,L262)</f>
      </c>
      <c r="O262" s="0">
        <f>IFERROR(INDEX(Categories!$B$5:$B$35,MATCH(N262,Categories!$A$5:$A$35,0)),"NA")</f>
      </c>
    </row>
    <row r="263">
      <c r="A263" s="7">
        <v>45761</v>
      </c>
      <c r="B263" s="0" t="inlineStr">
        <is>
          <t xml:space="preserve">2025-S16</t>
        </is>
      </c>
      <c r="C263" s="0" t="inlineStr">
        <is>
          <t xml:space="preserve">2025-04</t>
        </is>
      </c>
      <c r="D263" s="0" t="inlineStr">
        <is>
          <t xml:space="preserve">2025</t>
        </is>
      </c>
      <c r="E263" s="6" t="inlineStr">
        <is>
          <t xml:space="preserve">512000</t>
        </is>
      </c>
      <c r="F263" s="6" t="inlineStr">
        <is>
          <t xml:space="preserve">BQ</t>
        </is>
      </c>
      <c r="G263" s="0" t="inlineStr">
        <is>
          <t xml:space="preserve">BQ00129</t>
        </is>
      </c>
      <c r="H263" s="6" t="inlineStr">
        <is>
          <t xml:space="preserve">401000</t>
        </is>
      </c>
      <c r="I263" s="0" t="inlineStr">
        <is>
          <t xml:space="preserve">Reglement fournisseur Quincaillerie Pro Est F002-2025023</t>
        </is>
      </c>
      <c r="J263" s="0" t="inlineStr">
        <is>
          <t xml:space="preserve">Quincaillerie Pro Est</t>
        </is>
      </c>
      <c r="K263" s="8">
        <v>-20619.31</v>
      </c>
      <c r="L263" s="0" t="inlineStr">
        <is>
          <t xml:space="preserve">Fournisseurs et charges externes</t>
        </is>
      </c>
      <c r="M263" s="9"/>
      <c r="N263" s="0">
        <f>IF(M263&lt;&gt;"",M263,L263)</f>
      </c>
      <c r="O263" s="0">
        <f>IFERROR(INDEX(Categories!$B$5:$B$35,MATCH(N263,Categories!$A$5:$A$35,0)),"NA")</f>
      </c>
    </row>
    <row r="264">
      <c r="A264" s="7">
        <v>45762</v>
      </c>
      <c r="B264" s="0" t="inlineStr">
        <is>
          <t xml:space="preserve">2025-S16</t>
        </is>
      </c>
      <c r="C264" s="0" t="inlineStr">
        <is>
          <t xml:space="preserve">2025-04</t>
        </is>
      </c>
      <c r="D264" s="0" t="inlineStr">
        <is>
          <t xml:space="preserve">2025</t>
        </is>
      </c>
      <c r="E264" s="6" t="inlineStr">
        <is>
          <t xml:space="preserve">512000</t>
        </is>
      </c>
      <c r="F264" s="6" t="inlineStr">
        <is>
          <t xml:space="preserve">BQ</t>
        </is>
      </c>
      <c r="G264" s="0" t="inlineStr">
        <is>
          <t xml:space="preserve">BQ00039</t>
        </is>
      </c>
      <c r="H264" s="6" t="inlineStr">
        <is>
          <t xml:space="preserve">444000</t>
        </is>
      </c>
      <c r="I264" s="0" t="inlineStr">
        <is>
          <t xml:space="preserve">Solde IS 2024</t>
        </is>
      </c>
      <c r="J264" s="0"/>
      <c r="K264" s="8">
        <v>-9067.03</v>
      </c>
      <c r="L264" s="0" t="inlineStr">
        <is>
          <t xml:space="preserve">Impôt sur les sociétés</t>
        </is>
      </c>
      <c r="M264" s="9"/>
      <c r="N264" s="0">
        <f>IF(M264&lt;&gt;"",M264,L264)</f>
      </c>
      <c r="O264" s="0">
        <f>IFERROR(INDEX(Categories!$B$5:$B$35,MATCH(N264,Categories!$A$5:$A$35,0)),"NA")</f>
      </c>
    </row>
    <row r="265">
      <c r="A265" s="7">
        <v>45762</v>
      </c>
      <c r="B265" s="0" t="inlineStr">
        <is>
          <t xml:space="preserve">2025-S16</t>
        </is>
      </c>
      <c r="C265" s="0" t="inlineStr">
        <is>
          <t xml:space="preserve">2025-04</t>
        </is>
      </c>
      <c r="D265" s="0" t="inlineStr">
        <is>
          <t xml:space="preserve">2025</t>
        </is>
      </c>
      <c r="E265" s="6" t="inlineStr">
        <is>
          <t xml:space="preserve">512000</t>
        </is>
      </c>
      <c r="F265" s="6" t="inlineStr">
        <is>
          <t xml:space="preserve">BQ</t>
        </is>
      </c>
      <c r="G265" s="0" t="inlineStr">
        <is>
          <t xml:space="preserve">BQ00044</t>
        </is>
      </c>
      <c r="H265" s="6" t="inlineStr">
        <is>
          <t xml:space="preserve">431000</t>
        </is>
      </c>
      <c r="I265" s="0" t="inlineStr">
        <is>
          <t xml:space="preserve">Reglement URSSAF 03/2025</t>
        </is>
      </c>
      <c r="J265" s="0"/>
      <c r="K265" s="8">
        <v>-32247.91</v>
      </c>
      <c r="L265" s="0" t="inlineStr">
        <is>
          <t xml:space="preserve">Charges sociales</t>
        </is>
      </c>
      <c r="M265" s="9"/>
      <c r="N265" s="0">
        <f>IF(M265&lt;&gt;"",M265,L265)</f>
      </c>
      <c r="O265" s="0">
        <f>IFERROR(INDEX(Categories!$B$5:$B$35,MATCH(N265,Categories!$A$5:$A$35,0)),"NA")</f>
      </c>
    </row>
    <row r="266">
      <c r="A266" s="7">
        <v>45767</v>
      </c>
      <c r="B266" s="0" t="inlineStr">
        <is>
          <t xml:space="preserve">2025-S16</t>
        </is>
      </c>
      <c r="C266" s="0" t="inlineStr">
        <is>
          <t xml:space="preserve">2025-04</t>
        </is>
      </c>
      <c r="D266" s="0" t="inlineStr">
        <is>
          <t xml:space="preserve">2025</t>
        </is>
      </c>
      <c r="E266" s="6" t="inlineStr">
        <is>
          <t xml:space="preserve">512000</t>
        </is>
      </c>
      <c r="F266" s="6" t="inlineStr">
        <is>
          <t xml:space="preserve">BQ</t>
        </is>
      </c>
      <c r="G266" s="0" t="inlineStr">
        <is>
          <t xml:space="preserve">BQ00045</t>
        </is>
      </c>
      <c r="H266" s="6" t="inlineStr">
        <is>
          <t xml:space="preserve">445510</t>
        </is>
      </c>
      <c r="I266" s="0" t="inlineStr">
        <is>
          <t xml:space="preserve">Reglement TVA 03/2025</t>
        </is>
      </c>
      <c r="J266" s="0"/>
      <c r="K266" s="8">
        <v>-9419.95</v>
      </c>
      <c r="L266" s="0" t="inlineStr">
        <is>
          <t xml:space="preserve">TVA</t>
        </is>
      </c>
      <c r="M266" s="9"/>
      <c r="N266" s="0">
        <f>IF(M266&lt;&gt;"",M266,L266)</f>
      </c>
      <c r="O266" s="0">
        <f>IFERROR(INDEX(Categories!$B$5:$B$35,MATCH(N266,Categories!$A$5:$A$35,0)),"NA")</f>
      </c>
    </row>
    <row r="267">
      <c r="A267" s="7">
        <v>45771</v>
      </c>
      <c r="B267" s="0" t="inlineStr">
        <is>
          <t xml:space="preserve">2025-S17</t>
        </is>
      </c>
      <c r="C267" s="0" t="inlineStr">
        <is>
          <t xml:space="preserve">2025-04</t>
        </is>
      </c>
      <c r="D267" s="0" t="inlineStr">
        <is>
          <t xml:space="preserve">2025</t>
        </is>
      </c>
      <c r="E267" s="6" t="inlineStr">
        <is>
          <t xml:space="preserve">512000</t>
        </is>
      </c>
      <c r="F267" s="6" t="inlineStr">
        <is>
          <t xml:space="preserve">BQ</t>
        </is>
      </c>
      <c r="G267" s="0" t="inlineStr">
        <is>
          <t xml:space="preserve">BQ00076</t>
        </is>
      </c>
      <c r="H267" s="6" t="inlineStr">
        <is>
          <t xml:space="preserve">411000</t>
        </is>
      </c>
      <c r="I267" s="0" t="inlineStr">
        <is>
          <t xml:space="preserve">Reglement client Restaurant Le Comptoir FA2025-0009</t>
        </is>
      </c>
      <c r="J267" s="0" t="inlineStr">
        <is>
          <t xml:space="preserve">Restaurant Le Comptoir</t>
        </is>
      </c>
      <c r="K267" s="8">
        <v>43129.25</v>
      </c>
      <c r="L267" s="0" t="inlineStr">
        <is>
          <t xml:space="preserve">Clients</t>
        </is>
      </c>
      <c r="M267" s="9"/>
      <c r="N267" s="0">
        <f>IF(M267&lt;&gt;"",M267,L267)</f>
      </c>
      <c r="O267" s="0">
        <f>IFERROR(INDEX(Categories!$B$5:$B$35,MATCH(N267,Categories!$A$5:$A$35,0)),"NA")</f>
      </c>
    </row>
    <row r="268">
      <c r="A268" s="7">
        <v>45775</v>
      </c>
      <c r="B268" s="0" t="inlineStr">
        <is>
          <t xml:space="preserve">2025-S18</t>
        </is>
      </c>
      <c r="C268" s="0" t="inlineStr">
        <is>
          <t xml:space="preserve">2025-04</t>
        </is>
      </c>
      <c r="D268" s="0" t="inlineStr">
        <is>
          <t xml:space="preserve">2025</t>
        </is>
      </c>
      <c r="E268" s="6" t="inlineStr">
        <is>
          <t xml:space="preserve">512000</t>
        </is>
      </c>
      <c r="F268" s="6" t="inlineStr">
        <is>
          <t xml:space="preserve">BQ</t>
        </is>
      </c>
      <c r="G268" s="0" t="inlineStr">
        <is>
          <t xml:space="preserve">BQ00127</t>
        </is>
      </c>
      <c r="H268" s="6" t="inlineStr">
        <is>
          <t xml:space="preserve">401000</t>
        </is>
      </c>
      <c r="I268" s="0" t="inlineStr">
        <is>
          <t xml:space="preserve">Reglement fournisseur Quincaillerie Pro Est F002-2025021</t>
        </is>
      </c>
      <c r="J268" s="0" t="inlineStr">
        <is>
          <t xml:space="preserve">Quincaillerie Pro Est</t>
        </is>
      </c>
      <c r="K268" s="8">
        <v>-20083.12</v>
      </c>
      <c r="L268" s="0" t="inlineStr">
        <is>
          <t xml:space="preserve">Fournisseurs et charges externes</t>
        </is>
      </c>
      <c r="M268" s="9"/>
      <c r="N268" s="0">
        <f>IF(M268&lt;&gt;"",M268,L268)</f>
      </c>
      <c r="O268" s="0">
        <f>IFERROR(INDEX(Categories!$B$5:$B$35,MATCH(N268,Categories!$A$5:$A$35,0)),"NA")</f>
      </c>
    </row>
    <row r="269">
      <c r="A269" s="7">
        <v>45777</v>
      </c>
      <c r="B269" s="0" t="inlineStr">
        <is>
          <t xml:space="preserve">2025-S18</t>
        </is>
      </c>
      <c r="C269" s="0" t="inlineStr">
        <is>
          <t xml:space="preserve">2025-04</t>
        </is>
      </c>
      <c r="D269" s="0" t="inlineStr">
        <is>
          <t xml:space="preserve">2025</t>
        </is>
      </c>
      <c r="E269" s="6" t="inlineStr">
        <is>
          <t xml:space="preserve">512000</t>
        </is>
      </c>
      <c r="F269" s="6" t="inlineStr">
        <is>
          <t xml:space="preserve">BQ</t>
        </is>
      </c>
      <c r="G269" s="0" t="inlineStr">
        <is>
          <t xml:space="preserve">BQ00010</t>
        </is>
      </c>
      <c r="H269" s="6" t="inlineStr">
        <is>
          <t xml:space="preserve">421000</t>
        </is>
      </c>
      <c r="I269" s="0" t="inlineStr">
        <is>
          <t xml:space="preserve">Virement salaires 04/2025</t>
        </is>
      </c>
      <c r="J269" s="0"/>
      <c r="K269" s="8">
        <v>-38593.3</v>
      </c>
      <c r="L269" s="0" t="inlineStr">
        <is>
          <t xml:space="preserve">Salaires et personnel</t>
        </is>
      </c>
      <c r="M269" s="9"/>
      <c r="N269" s="0">
        <f>IF(M269&lt;&gt;"",M269,L269)</f>
      </c>
      <c r="O269" s="0">
        <f>IFERROR(INDEX(Categories!$B$5:$B$35,MATCH(N269,Categories!$A$5:$A$35,0)),"NA")</f>
      </c>
    </row>
    <row r="270">
      <c r="A270" s="7">
        <v>45777</v>
      </c>
      <c r="B270" s="0" t="inlineStr">
        <is>
          <t xml:space="preserve">2025-S18</t>
        </is>
      </c>
      <c r="C270" s="0" t="inlineStr">
        <is>
          <t xml:space="preserve">2025-04</t>
        </is>
      </c>
      <c r="D270" s="0" t="inlineStr">
        <is>
          <t xml:space="preserve">2025</t>
        </is>
      </c>
      <c r="E270" s="6" t="inlineStr">
        <is>
          <t xml:space="preserve">512000</t>
        </is>
      </c>
      <c r="F270" s="6" t="inlineStr">
        <is>
          <t xml:space="preserve">BQ</t>
        </is>
      </c>
      <c r="G270" s="0" t="inlineStr">
        <is>
          <t xml:space="preserve">BQ00012</t>
        </is>
      </c>
      <c r="H270" s="6" t="inlineStr">
        <is>
          <t xml:space="preserve">627000</t>
        </is>
      </c>
      <c r="I270" s="0" t="inlineStr">
        <is>
          <t xml:space="preserve">Frais bancaires 04/2025</t>
        </is>
      </c>
      <c r="J270" s="0"/>
      <c r="K270" s="8">
        <v>-85</v>
      </c>
      <c r="L270" s="0" t="inlineStr">
        <is>
          <t xml:space="preserve">Frais bancaires</t>
        </is>
      </c>
      <c r="M270" s="9"/>
      <c r="N270" s="0">
        <f>IF(M270&lt;&gt;"",M270,L270)</f>
      </c>
      <c r="O270" s="0">
        <f>IFERROR(INDEX(Categories!$B$5:$B$35,MATCH(N270,Categories!$A$5:$A$35,0)),"NA")</f>
      </c>
    </row>
    <row r="271">
      <c r="A271" s="7">
        <v>45778</v>
      </c>
      <c r="B271" s="0" t="inlineStr">
        <is>
          <t xml:space="preserve">2025-S18</t>
        </is>
      </c>
      <c r="C271" s="0" t="inlineStr">
        <is>
          <t xml:space="preserve">2025-05</t>
        </is>
      </c>
      <c r="D271" s="0" t="inlineStr">
        <is>
          <t xml:space="preserve">2025</t>
        </is>
      </c>
      <c r="E271" s="6" t="inlineStr">
        <is>
          <t xml:space="preserve">512000</t>
        </is>
      </c>
      <c r="F271" s="6" t="inlineStr">
        <is>
          <t xml:space="preserve">BQ</t>
        </is>
      </c>
      <c r="G271" s="0" t="inlineStr">
        <is>
          <t xml:space="preserve">BQ00078</t>
        </is>
      </c>
      <c r="H271" s="6" t="inlineStr">
        <is>
          <t xml:space="preserve">411000</t>
        </is>
      </c>
      <c r="I271" s="0" t="inlineStr">
        <is>
          <t xml:space="preserve">Reglement client Hotel Les Tilleuls FA2025-0011</t>
        </is>
      </c>
      <c r="J271" s="0" t="inlineStr">
        <is>
          <t xml:space="preserve">Hotel Les Tilleuls</t>
        </is>
      </c>
      <c r="K271" s="8">
        <v>34519.87</v>
      </c>
      <c r="L271" s="0" t="inlineStr">
        <is>
          <t xml:space="preserve">Clients</t>
        </is>
      </c>
      <c r="M271" s="9"/>
      <c r="N271" s="0">
        <f>IF(M271&lt;&gt;"",M271,L271)</f>
      </c>
      <c r="O271" s="0">
        <f>IFERROR(INDEX(Categories!$B$5:$B$35,MATCH(N271,Categories!$A$5:$A$35,0)),"NA")</f>
      </c>
    </row>
    <row r="272">
      <c r="A272" s="7">
        <v>45782</v>
      </c>
      <c r="B272" s="0" t="inlineStr">
        <is>
          <t xml:space="preserve">2025-S19</t>
        </is>
      </c>
      <c r="C272" s="0" t="inlineStr">
        <is>
          <t xml:space="preserve">2025-05</t>
        </is>
      </c>
      <c r="D272" s="0" t="inlineStr">
        <is>
          <t xml:space="preserve">2025</t>
        </is>
      </c>
      <c r="E272" s="6" t="inlineStr">
        <is>
          <t xml:space="preserve">512000</t>
        </is>
      </c>
      <c r="F272" s="6" t="inlineStr">
        <is>
          <t xml:space="preserve">BQ</t>
        </is>
      </c>
      <c r="G272" s="0" t="inlineStr">
        <is>
          <t xml:space="preserve">BQ00135</t>
        </is>
      </c>
      <c r="H272" s="6" t="inlineStr">
        <is>
          <t xml:space="preserve">401000</t>
        </is>
      </c>
      <c r="I272" s="0" t="inlineStr">
        <is>
          <t xml:space="preserve">Reglement fournisseur Quincaillerie Pro Est F002-2025033</t>
        </is>
      </c>
      <c r="J272" s="0" t="inlineStr">
        <is>
          <t xml:space="preserve">Quincaillerie Pro Est</t>
        </is>
      </c>
      <c r="K272" s="8">
        <v>-25392.16</v>
      </c>
      <c r="L272" s="0" t="inlineStr">
        <is>
          <t xml:space="preserve">Fournisseurs et charges externes</t>
        </is>
      </c>
      <c r="M272" s="9"/>
      <c r="N272" s="0">
        <f>IF(M272&lt;&gt;"",M272,L272)</f>
      </c>
      <c r="O272" s="0">
        <f>IFERROR(INDEX(Categories!$B$5:$B$35,MATCH(N272,Categories!$A$5:$A$35,0)),"NA")</f>
      </c>
    </row>
    <row r="273">
      <c r="A273" s="7">
        <v>45782</v>
      </c>
      <c r="B273" s="0" t="inlineStr">
        <is>
          <t xml:space="preserve">2025-S19</t>
        </is>
      </c>
      <c r="C273" s="0" t="inlineStr">
        <is>
          <t xml:space="preserve">2025-05</t>
        </is>
      </c>
      <c r="D273" s="0" t="inlineStr">
        <is>
          <t xml:space="preserve">2025</t>
        </is>
      </c>
      <c r="E273" s="6" t="inlineStr">
        <is>
          <t xml:space="preserve">512000</t>
        </is>
      </c>
      <c r="F273" s="6" t="inlineStr">
        <is>
          <t xml:space="preserve">BQ</t>
        </is>
      </c>
      <c r="G273" s="0" t="inlineStr">
        <is>
          <t xml:space="preserve">BQ00143</t>
        </is>
      </c>
      <c r="H273" s="6" t="inlineStr">
        <is>
          <t xml:space="preserve">401000</t>
        </is>
      </c>
      <c r="I273" s="0" t="inlineStr">
        <is>
          <t xml:space="preserve">Reglement fournisseur SCI Les Halles F004-202504</t>
        </is>
      </c>
      <c r="J273" s="0" t="inlineStr">
        <is>
          <t xml:space="preserve">SCI Les Halles</t>
        </is>
      </c>
      <c r="K273" s="8">
        <v>-10200</v>
      </c>
      <c r="L273" s="0" t="inlineStr">
        <is>
          <t xml:space="preserve">Fournisseurs et charges externes</t>
        </is>
      </c>
      <c r="M273" s="9"/>
      <c r="N273" s="0">
        <f>IF(M273&lt;&gt;"",M273,L273)</f>
      </c>
      <c r="O273" s="0">
        <f>IFERROR(INDEX(Categories!$B$5:$B$35,MATCH(N273,Categories!$A$5:$A$35,0)),"NA")</f>
      </c>
    </row>
    <row r="274">
      <c r="A274" s="7">
        <v>45782</v>
      </c>
      <c r="B274" s="0" t="inlineStr">
        <is>
          <t xml:space="preserve">2025-S19</t>
        </is>
      </c>
      <c r="C274" s="0" t="inlineStr">
        <is>
          <t xml:space="preserve">2025-05</t>
        </is>
      </c>
      <c r="D274" s="0" t="inlineStr">
        <is>
          <t xml:space="preserve">2025</t>
        </is>
      </c>
      <c r="E274" s="6" t="inlineStr">
        <is>
          <t xml:space="preserve">512000</t>
        </is>
      </c>
      <c r="F274" s="6" t="inlineStr">
        <is>
          <t xml:space="preserve">BQ</t>
        </is>
      </c>
      <c r="G274" s="0" t="inlineStr">
        <is>
          <t xml:space="preserve">BQ00144</t>
        </is>
      </c>
      <c r="H274" s="6" t="inlineStr">
        <is>
          <t xml:space="preserve">401000</t>
        </is>
      </c>
      <c r="I274" s="0" t="inlineStr">
        <is>
          <t xml:space="preserve">Reglement fournisseur Energie Plus F005-202504</t>
        </is>
      </c>
      <c r="J274" s="0" t="inlineStr">
        <is>
          <t xml:space="preserve">Energie Plus</t>
        </is>
      </c>
      <c r="K274" s="8">
        <v>-3866.38</v>
      </c>
      <c r="L274" s="0" t="inlineStr">
        <is>
          <t xml:space="preserve">Fournisseurs et charges externes</t>
        </is>
      </c>
      <c r="M274" s="9"/>
      <c r="N274" s="0">
        <f>IF(M274&lt;&gt;"",M274,L274)</f>
      </c>
      <c r="O274" s="0">
        <f>IFERROR(INDEX(Categories!$B$5:$B$35,MATCH(N274,Categories!$A$5:$A$35,0)),"NA")</f>
      </c>
    </row>
    <row r="275">
      <c r="A275" s="7">
        <v>45782</v>
      </c>
      <c r="B275" s="0" t="inlineStr">
        <is>
          <t xml:space="preserve">2025-S19</t>
        </is>
      </c>
      <c r="C275" s="0" t="inlineStr">
        <is>
          <t xml:space="preserve">2025-05</t>
        </is>
      </c>
      <c r="D275" s="0" t="inlineStr">
        <is>
          <t xml:space="preserve">2025</t>
        </is>
      </c>
      <c r="E275" s="6" t="inlineStr">
        <is>
          <t xml:space="preserve">512000</t>
        </is>
      </c>
      <c r="F275" s="6" t="inlineStr">
        <is>
          <t xml:space="preserve">BQ</t>
        </is>
      </c>
      <c r="G275" s="0" t="inlineStr">
        <is>
          <t xml:space="preserve">BQ00145</t>
        </is>
      </c>
      <c r="H275" s="6" t="inlineStr">
        <is>
          <t xml:space="preserve">401000</t>
        </is>
      </c>
      <c r="I275" s="0" t="inlineStr">
        <is>
          <t xml:space="preserve">Reglement fournisseur Telecom Pro F008-202504</t>
        </is>
      </c>
      <c r="J275" s="0" t="inlineStr">
        <is>
          <t xml:space="preserve">Telecom Pro</t>
        </is>
      </c>
      <c r="K275" s="8">
        <v>-576</v>
      </c>
      <c r="L275" s="0" t="inlineStr">
        <is>
          <t xml:space="preserve">Fournisseurs et charges externes</t>
        </is>
      </c>
      <c r="M275" s="9"/>
      <c r="N275" s="0">
        <f>IF(M275&lt;&gt;"",M275,L275)</f>
      </c>
      <c r="O275" s="0">
        <f>IFERROR(INDEX(Categories!$B$5:$B$35,MATCH(N275,Categories!$A$5:$A$35,0)),"NA")</f>
      </c>
    </row>
    <row r="276">
      <c r="A276" s="7">
        <v>45782</v>
      </c>
      <c r="B276" s="0" t="inlineStr">
        <is>
          <t xml:space="preserve">2025-S19</t>
        </is>
      </c>
      <c r="C276" s="0" t="inlineStr">
        <is>
          <t xml:space="preserve">2025-05</t>
        </is>
      </c>
      <c r="D276" s="0" t="inlineStr">
        <is>
          <t xml:space="preserve">2025</t>
        </is>
      </c>
      <c r="E276" s="6" t="inlineStr">
        <is>
          <t xml:space="preserve">512000</t>
        </is>
      </c>
      <c r="F276" s="6" t="inlineStr">
        <is>
          <t xml:space="preserve">BQ</t>
        </is>
      </c>
      <c r="G276" s="0" t="inlineStr">
        <is>
          <t xml:space="preserve">BQ00146</t>
        </is>
      </c>
      <c r="H276" s="6" t="inlineStr">
        <is>
          <t xml:space="preserve">401000</t>
        </is>
      </c>
      <c r="I276" s="0" t="inlineStr">
        <is>
          <t xml:space="preserve">Reglement fournisseur Assurances Mutuelles Exemple F006-202504</t>
        </is>
      </c>
      <c r="J276" s="0" t="inlineStr">
        <is>
          <t xml:space="preserve">Assurances Mutuelles Exemple</t>
        </is>
      </c>
      <c r="K276" s="8">
        <v>-3000</v>
      </c>
      <c r="L276" s="0" t="inlineStr">
        <is>
          <t xml:space="preserve">Fournisseurs et charges externes</t>
        </is>
      </c>
      <c r="M276" s="9"/>
      <c r="N276" s="0">
        <f>IF(M276&lt;&gt;"",M276,L276)</f>
      </c>
      <c r="O276" s="0">
        <f>IFERROR(INDEX(Categories!$B$5:$B$35,MATCH(N276,Categories!$A$5:$A$35,0)),"NA")</f>
      </c>
    </row>
    <row r="277">
      <c r="A277" s="7">
        <v>45787</v>
      </c>
      <c r="B277" s="0" t="inlineStr">
        <is>
          <t xml:space="preserve">2025-S19</t>
        </is>
      </c>
      <c r="C277" s="0" t="inlineStr">
        <is>
          <t xml:space="preserve">2025-05</t>
        </is>
      </c>
      <c r="D277" s="0" t="inlineStr">
        <is>
          <t xml:space="preserve">2025</t>
        </is>
      </c>
      <c r="E277" s="6" t="inlineStr">
        <is>
          <t xml:space="preserve">512000</t>
        </is>
      </c>
      <c r="F277" s="6" t="inlineStr">
        <is>
          <t xml:space="preserve">BQ</t>
        </is>
      </c>
      <c r="G277" s="0" t="inlineStr">
        <is>
          <t xml:space="preserve">BQ00014</t>
        </is>
      </c>
      <c r="H277" s="6" t="inlineStr">
        <is>
          <t xml:space="preserve">164000</t>
        </is>
      </c>
      <c r="I277" s="0" t="inlineStr">
        <is>
          <t xml:space="preserve">Echeance emprunt 05/2025</t>
        </is>
      </c>
      <c r="J277" s="0"/>
      <c r="K277" s="8">
        <v>-2000</v>
      </c>
      <c r="L277" s="0" t="inlineStr">
        <is>
          <t xml:space="preserve">Emprunts - capital</t>
        </is>
      </c>
      <c r="M277" s="9"/>
      <c r="N277" s="0">
        <f>IF(M277&lt;&gt;"",M277,L277)</f>
      </c>
      <c r="O277" s="0">
        <f>IFERROR(INDEX(Categories!$B$5:$B$35,MATCH(N277,Categories!$A$5:$A$35,0)),"NA")</f>
      </c>
    </row>
    <row r="278">
      <c r="A278" s="7">
        <v>45787</v>
      </c>
      <c r="B278" s="0" t="inlineStr">
        <is>
          <t xml:space="preserve">2025-S19</t>
        </is>
      </c>
      <c r="C278" s="0" t="inlineStr">
        <is>
          <t xml:space="preserve">2025-05</t>
        </is>
      </c>
      <c r="D278" s="0" t="inlineStr">
        <is>
          <t xml:space="preserve">2025</t>
        </is>
      </c>
      <c r="E278" s="6" t="inlineStr">
        <is>
          <t xml:space="preserve">512000</t>
        </is>
      </c>
      <c r="F278" s="6" t="inlineStr">
        <is>
          <t xml:space="preserve">BQ</t>
        </is>
      </c>
      <c r="G278" s="0" t="inlineStr">
        <is>
          <t xml:space="preserve">BQ00014</t>
        </is>
      </c>
      <c r="H278" s="6" t="inlineStr">
        <is>
          <t xml:space="preserve">661100</t>
        </is>
      </c>
      <c r="I278" s="0" t="inlineStr">
        <is>
          <t xml:space="preserve">Echeance emprunt 05/2025</t>
        </is>
      </c>
      <c r="J278" s="0"/>
      <c r="K278" s="8">
        <v>-193.33</v>
      </c>
      <c r="L278" s="0" t="inlineStr">
        <is>
          <t xml:space="preserve">Intérêts et charges financières</t>
        </is>
      </c>
      <c r="M278" s="9"/>
      <c r="N278" s="0">
        <f>IF(M278&lt;&gt;"",M278,L278)</f>
      </c>
      <c r="O278" s="0">
        <f>IFERROR(INDEX(Categories!$B$5:$B$35,MATCH(N278,Categories!$A$5:$A$35,0)),"NA")</f>
      </c>
    </row>
    <row r="279">
      <c r="A279" s="7">
        <v>45789</v>
      </c>
      <c r="B279" s="0" t="inlineStr">
        <is>
          <t xml:space="preserve">2025-S20</t>
        </is>
      </c>
      <c r="C279" s="0" t="inlineStr">
        <is>
          <t xml:space="preserve">2025-05</t>
        </is>
      </c>
      <c r="D279" s="0" t="inlineStr">
        <is>
          <t xml:space="preserve">2025</t>
        </is>
      </c>
      <c r="E279" s="6" t="inlineStr">
        <is>
          <t xml:space="preserve">512000</t>
        </is>
      </c>
      <c r="F279" s="6" t="inlineStr">
        <is>
          <t xml:space="preserve">BQ</t>
        </is>
      </c>
      <c r="G279" s="0" t="inlineStr">
        <is>
          <t xml:space="preserve">BQ00133</t>
        </is>
      </c>
      <c r="H279" s="6" t="inlineStr">
        <is>
          <t xml:space="preserve">401000</t>
        </is>
      </c>
      <c r="I279" s="0" t="inlineStr">
        <is>
          <t xml:space="preserve">Reglement fournisseur Vernis et Finitions F003-2025031</t>
        </is>
      </c>
      <c r="J279" s="0" t="inlineStr">
        <is>
          <t xml:space="preserve">Vernis et Finitions</t>
        </is>
      </c>
      <c r="K279" s="8">
        <v>-19002.78</v>
      </c>
      <c r="L279" s="0" t="inlineStr">
        <is>
          <t xml:space="preserve">Fournisseurs et charges externes</t>
        </is>
      </c>
      <c r="M279" s="9"/>
      <c r="N279" s="0">
        <f>IF(M279&lt;&gt;"",M279,L279)</f>
      </c>
      <c r="O279" s="0">
        <f>IFERROR(INDEX(Categories!$B$5:$B$35,MATCH(N279,Categories!$A$5:$A$35,0)),"NA")</f>
      </c>
    </row>
    <row r="280">
      <c r="A280" s="7">
        <v>45792</v>
      </c>
      <c r="B280" s="0" t="inlineStr">
        <is>
          <t xml:space="preserve">2025-S20</t>
        </is>
      </c>
      <c r="C280" s="0" t="inlineStr">
        <is>
          <t xml:space="preserve">2025-05</t>
        </is>
      </c>
      <c r="D280" s="0" t="inlineStr">
        <is>
          <t xml:space="preserve">2025</t>
        </is>
      </c>
      <c r="E280" s="6" t="inlineStr">
        <is>
          <t xml:space="preserve">512000</t>
        </is>
      </c>
      <c r="F280" s="6" t="inlineStr">
        <is>
          <t xml:space="preserve">BQ</t>
        </is>
      </c>
      <c r="G280" s="0" t="inlineStr">
        <is>
          <t xml:space="preserve">BQ00046</t>
        </is>
      </c>
      <c r="H280" s="6" t="inlineStr">
        <is>
          <t xml:space="preserve">431000</t>
        </is>
      </c>
      <c r="I280" s="0" t="inlineStr">
        <is>
          <t xml:space="preserve">Reglement URSSAF 04/2025</t>
        </is>
      </c>
      <c r="J280" s="0"/>
      <c r="K280" s="8">
        <v>-31666.3</v>
      </c>
      <c r="L280" s="0" t="inlineStr">
        <is>
          <t xml:space="preserve">Charges sociales</t>
        </is>
      </c>
      <c r="M280" s="9"/>
      <c r="N280" s="0">
        <f>IF(M280&lt;&gt;"",M280,L280)</f>
      </c>
      <c r="O280" s="0">
        <f>IFERROR(INDEX(Categories!$B$5:$B$35,MATCH(N280,Categories!$A$5:$A$35,0)),"NA")</f>
      </c>
    </row>
    <row r="281">
      <c r="A281" s="7">
        <v>45796</v>
      </c>
      <c r="B281" s="0" t="inlineStr">
        <is>
          <t xml:space="preserve">2025-S21</t>
        </is>
      </c>
      <c r="C281" s="0" t="inlineStr">
        <is>
          <t xml:space="preserve">2025-05</t>
        </is>
      </c>
      <c r="D281" s="0" t="inlineStr">
        <is>
          <t xml:space="preserve">2025</t>
        </is>
      </c>
      <c r="E281" s="6" t="inlineStr">
        <is>
          <t xml:space="preserve">512000</t>
        </is>
      </c>
      <c r="F281" s="6" t="inlineStr">
        <is>
          <t xml:space="preserve">BQ</t>
        </is>
      </c>
      <c r="G281" s="0" t="inlineStr">
        <is>
          <t xml:space="preserve">BQ00134</t>
        </is>
      </c>
      <c r="H281" s="6" t="inlineStr">
        <is>
          <t xml:space="preserve">401000</t>
        </is>
      </c>
      <c r="I281" s="0" t="inlineStr">
        <is>
          <t xml:space="preserve">Reglement fournisseur Quincaillerie Pro Est F002-2025032</t>
        </is>
      </c>
      <c r="J281" s="0" t="inlineStr">
        <is>
          <t xml:space="preserve">Quincaillerie Pro Est</t>
        </is>
      </c>
      <c r="K281" s="8">
        <v>-24695.06</v>
      </c>
      <c r="L281" s="0" t="inlineStr">
        <is>
          <t xml:space="preserve">Fournisseurs et charges externes</t>
        </is>
      </c>
      <c r="M281" s="9"/>
      <c r="N281" s="0">
        <f>IF(M281&lt;&gt;"",M281,L281)</f>
      </c>
      <c r="O281" s="0">
        <f>IFERROR(INDEX(Categories!$B$5:$B$35,MATCH(N281,Categories!$A$5:$A$35,0)),"NA")</f>
      </c>
    </row>
    <row r="282">
      <c r="A282" s="7">
        <v>45797</v>
      </c>
      <c r="B282" s="0" t="inlineStr">
        <is>
          <t xml:space="preserve">2025-S21</t>
        </is>
      </c>
      <c r="C282" s="0" t="inlineStr">
        <is>
          <t xml:space="preserve">2025-05</t>
        </is>
      </c>
      <c r="D282" s="0" t="inlineStr">
        <is>
          <t xml:space="preserve">2025</t>
        </is>
      </c>
      <c r="E282" s="6" t="inlineStr">
        <is>
          <t xml:space="preserve">512000</t>
        </is>
      </c>
      <c r="F282" s="6" t="inlineStr">
        <is>
          <t xml:space="preserve">BQ</t>
        </is>
      </c>
      <c r="G282" s="0" t="inlineStr">
        <is>
          <t xml:space="preserve">BQ00047</t>
        </is>
      </c>
      <c r="H282" s="6" t="inlineStr">
        <is>
          <t xml:space="preserve">445510</t>
        </is>
      </c>
      <c r="I282" s="0" t="inlineStr">
        <is>
          <t xml:space="preserve">Reglement TVA 04/2025</t>
        </is>
      </c>
      <c r="J282" s="0"/>
      <c r="K282" s="8">
        <v>-9926.28</v>
      </c>
      <c r="L282" s="0" t="inlineStr">
        <is>
          <t xml:space="preserve">TVA</t>
        </is>
      </c>
      <c r="M282" s="9"/>
      <c r="N282" s="0">
        <f>IF(M282&lt;&gt;"",M282,L282)</f>
      </c>
      <c r="O282" s="0">
        <f>IFERROR(INDEX(Categories!$B$5:$B$35,MATCH(N282,Categories!$A$5:$A$35,0)),"NA")</f>
      </c>
    </row>
    <row r="283">
      <c r="A283" s="7">
        <v>45797</v>
      </c>
      <c r="B283" s="0" t="inlineStr">
        <is>
          <t xml:space="preserve">2025-S21</t>
        </is>
      </c>
      <c r="C283" s="0" t="inlineStr">
        <is>
          <t xml:space="preserve">2025-05</t>
        </is>
      </c>
      <c r="D283" s="0" t="inlineStr">
        <is>
          <t xml:space="preserve">2025</t>
        </is>
      </c>
      <c r="E283" s="6" t="inlineStr">
        <is>
          <t xml:space="preserve">512000</t>
        </is>
      </c>
      <c r="F283" s="6" t="inlineStr">
        <is>
          <t xml:space="preserve">BQ</t>
        </is>
      </c>
      <c r="G283" s="0" t="inlineStr">
        <is>
          <t xml:space="preserve">BQ00077</t>
        </is>
      </c>
      <c r="H283" s="6" t="inlineStr">
        <is>
          <t xml:space="preserve">411000</t>
        </is>
      </c>
      <c r="I283" s="0" t="inlineStr">
        <is>
          <t xml:space="preserve">Reglement client Clinique du Parc FA2025-0010</t>
        </is>
      </c>
      <c r="J283" s="0" t="inlineStr">
        <is>
          <t xml:space="preserve">Clinique du Parc</t>
        </is>
      </c>
      <c r="K283" s="8">
        <v>34705.18</v>
      </c>
      <c r="L283" s="0" t="inlineStr">
        <is>
          <t xml:space="preserve">Clients</t>
        </is>
      </c>
      <c r="M283" s="9"/>
      <c r="N283" s="0">
        <f>IF(M283&lt;&gt;"",M283,L283)</f>
      </c>
      <c r="O283" s="0">
        <f>IFERROR(INDEX(Categories!$B$5:$B$35,MATCH(N283,Categories!$A$5:$A$35,0)),"NA")</f>
      </c>
    </row>
    <row r="284">
      <c r="A284" s="7">
        <v>45797</v>
      </c>
      <c r="B284" s="0" t="inlineStr">
        <is>
          <t xml:space="preserve">2025-S21</t>
        </is>
      </c>
      <c r="C284" s="0" t="inlineStr">
        <is>
          <t xml:space="preserve">2025-05</t>
        </is>
      </c>
      <c r="D284" s="0" t="inlineStr">
        <is>
          <t xml:space="preserve">2025</t>
        </is>
      </c>
      <c r="E284" s="6" t="inlineStr">
        <is>
          <t xml:space="preserve">512000</t>
        </is>
      </c>
      <c r="F284" s="6" t="inlineStr">
        <is>
          <t xml:space="preserve">BQ</t>
        </is>
      </c>
      <c r="G284" s="0" t="inlineStr">
        <is>
          <t xml:space="preserve">BQ00080</t>
        </is>
      </c>
      <c r="H284" s="6" t="inlineStr">
        <is>
          <t xml:space="preserve">411000</t>
        </is>
      </c>
      <c r="I284" s="0" t="inlineStr">
        <is>
          <t xml:space="preserve">Reglement client Hotel Les Tilleuls FA2025-0013</t>
        </is>
      </c>
      <c r="J284" s="0" t="inlineStr">
        <is>
          <t xml:space="preserve">Hotel Les Tilleuls</t>
        </is>
      </c>
      <c r="K284" s="8">
        <v>21921.53</v>
      </c>
      <c r="L284" s="0" t="inlineStr">
        <is>
          <t xml:space="preserve">Clients</t>
        </is>
      </c>
      <c r="M284" s="9"/>
      <c r="N284" s="0">
        <f>IF(M284&lt;&gt;"",M284,L284)</f>
      </c>
      <c r="O284" s="0">
        <f>IFERROR(INDEX(Categories!$B$5:$B$35,MATCH(N284,Categories!$A$5:$A$35,0)),"NA")</f>
      </c>
    </row>
    <row r="285">
      <c r="A285" s="7">
        <v>45803</v>
      </c>
      <c r="B285" s="0" t="inlineStr">
        <is>
          <t xml:space="preserve">2025-S22</t>
        </is>
      </c>
      <c r="C285" s="0" t="inlineStr">
        <is>
          <t xml:space="preserve">2025-05</t>
        </is>
      </c>
      <c r="D285" s="0" t="inlineStr">
        <is>
          <t xml:space="preserve">2025</t>
        </is>
      </c>
      <c r="E285" s="6" t="inlineStr">
        <is>
          <t xml:space="preserve">512000</t>
        </is>
      </c>
      <c r="F285" s="6" t="inlineStr">
        <is>
          <t xml:space="preserve">BQ</t>
        </is>
      </c>
      <c r="G285" s="0" t="inlineStr">
        <is>
          <t xml:space="preserve">BQ00079</t>
        </is>
      </c>
      <c r="H285" s="6" t="inlineStr">
        <is>
          <t xml:space="preserve">411000</t>
        </is>
      </c>
      <c r="I285" s="0" t="inlineStr">
        <is>
          <t xml:space="preserve">Reglement client Hotel Les Tilleuls FA2025-0012</t>
        </is>
      </c>
      <c r="J285" s="0" t="inlineStr">
        <is>
          <t xml:space="preserve">Hotel Les Tilleuls</t>
        </is>
      </c>
      <c r="K285" s="8">
        <v>23047.8</v>
      </c>
      <c r="L285" s="0" t="inlineStr">
        <is>
          <t xml:space="preserve">Clients</t>
        </is>
      </c>
      <c r="M285" s="9"/>
      <c r="N285" s="0">
        <f>IF(M285&lt;&gt;"",M285,L285)</f>
      </c>
      <c r="O285" s="0">
        <f>IFERROR(INDEX(Categories!$B$5:$B$35,MATCH(N285,Categories!$A$5:$A$35,0)),"NA")</f>
      </c>
    </row>
    <row r="286">
      <c r="A286" s="7">
        <v>45806</v>
      </c>
      <c r="B286" s="0" t="inlineStr">
        <is>
          <t xml:space="preserve">2025-S22</t>
        </is>
      </c>
      <c r="C286" s="0" t="inlineStr">
        <is>
          <t xml:space="preserve">2025-05</t>
        </is>
      </c>
      <c r="D286" s="0" t="inlineStr">
        <is>
          <t xml:space="preserve">2025</t>
        </is>
      </c>
      <c r="E286" s="6" t="inlineStr">
        <is>
          <t xml:space="preserve">512000</t>
        </is>
      </c>
      <c r="F286" s="6" t="inlineStr">
        <is>
          <t xml:space="preserve">BQ</t>
        </is>
      </c>
      <c r="G286" s="0" t="inlineStr">
        <is>
          <t xml:space="preserve">BQ00081</t>
        </is>
      </c>
      <c r="H286" s="6" t="inlineStr">
        <is>
          <t xml:space="preserve">411000</t>
        </is>
      </c>
      <c r="I286" s="0" t="inlineStr">
        <is>
          <t xml:space="preserve">Reglement client Coworking Atelier 9 FA2025-0014</t>
        </is>
      </c>
      <c r="J286" s="0" t="inlineStr">
        <is>
          <t xml:space="preserve">Coworking Atelier 9</t>
        </is>
      </c>
      <c r="K286" s="8">
        <v>32805.62</v>
      </c>
      <c r="L286" s="0" t="inlineStr">
        <is>
          <t xml:space="preserve">Clients</t>
        </is>
      </c>
      <c r="M286" s="9"/>
      <c r="N286" s="0">
        <f>IF(M286&lt;&gt;"",M286,L286)</f>
      </c>
      <c r="O286" s="0">
        <f>IFERROR(INDEX(Categories!$B$5:$B$35,MATCH(N286,Categories!$A$5:$A$35,0)),"NA")</f>
      </c>
    </row>
    <row r="287">
      <c r="A287" s="7">
        <v>45808</v>
      </c>
      <c r="B287" s="0" t="inlineStr">
        <is>
          <t xml:space="preserve">2025-S22</t>
        </is>
      </c>
      <c r="C287" s="0" t="inlineStr">
        <is>
          <t xml:space="preserve">2025-05</t>
        </is>
      </c>
      <c r="D287" s="0" t="inlineStr">
        <is>
          <t xml:space="preserve">2025</t>
        </is>
      </c>
      <c r="E287" s="6" t="inlineStr">
        <is>
          <t xml:space="preserve">512000</t>
        </is>
      </c>
      <c r="F287" s="6" t="inlineStr">
        <is>
          <t xml:space="preserve">BQ</t>
        </is>
      </c>
      <c r="G287" s="0" t="inlineStr">
        <is>
          <t xml:space="preserve">BQ00013</t>
        </is>
      </c>
      <c r="H287" s="6" t="inlineStr">
        <is>
          <t xml:space="preserve">421000</t>
        </is>
      </c>
      <c r="I287" s="0" t="inlineStr">
        <is>
          <t xml:space="preserve">Virement salaires 05/2025</t>
        </is>
      </c>
      <c r="J287" s="0"/>
      <c r="K287" s="8">
        <v>-39448.84</v>
      </c>
      <c r="L287" s="0" t="inlineStr">
        <is>
          <t xml:space="preserve">Salaires et personnel</t>
        </is>
      </c>
      <c r="M287" s="9"/>
      <c r="N287" s="0">
        <f>IF(M287&lt;&gt;"",M287,L287)</f>
      </c>
      <c r="O287" s="0">
        <f>IFERROR(INDEX(Categories!$B$5:$B$35,MATCH(N287,Categories!$A$5:$A$35,0)),"NA")</f>
      </c>
    </row>
    <row r="288">
      <c r="A288" s="7">
        <v>45808</v>
      </c>
      <c r="B288" s="0" t="inlineStr">
        <is>
          <t xml:space="preserve">2025-S22</t>
        </is>
      </c>
      <c r="C288" s="0" t="inlineStr">
        <is>
          <t xml:space="preserve">2025-05</t>
        </is>
      </c>
      <c r="D288" s="0" t="inlineStr">
        <is>
          <t xml:space="preserve">2025</t>
        </is>
      </c>
      <c r="E288" s="6" t="inlineStr">
        <is>
          <t xml:space="preserve">512000</t>
        </is>
      </c>
      <c r="F288" s="6" t="inlineStr">
        <is>
          <t xml:space="preserve">BQ</t>
        </is>
      </c>
      <c r="G288" s="0" t="inlineStr">
        <is>
          <t xml:space="preserve">BQ00015</t>
        </is>
      </c>
      <c r="H288" s="6" t="inlineStr">
        <is>
          <t xml:space="preserve">627000</t>
        </is>
      </c>
      <c r="I288" s="0" t="inlineStr">
        <is>
          <t xml:space="preserve">Frais bancaires 05/2025</t>
        </is>
      </c>
      <c r="J288" s="0"/>
      <c r="K288" s="8">
        <v>-85</v>
      </c>
      <c r="L288" s="0" t="inlineStr">
        <is>
          <t xml:space="preserve">Frais bancaires</t>
        </is>
      </c>
      <c r="M288" s="9"/>
      <c r="N288" s="0">
        <f>IF(M288&lt;&gt;"",M288,L288)</f>
      </c>
      <c r="O288" s="0">
        <f>IFERROR(INDEX(Categories!$B$5:$B$35,MATCH(N288,Categories!$A$5:$A$35,0)),"NA")</f>
      </c>
    </row>
    <row r="289">
      <c r="A289" s="7">
        <v>45810</v>
      </c>
      <c r="B289" s="0" t="inlineStr">
        <is>
          <t xml:space="preserve">2025-S23</t>
        </is>
      </c>
      <c r="C289" s="0" t="inlineStr">
        <is>
          <t xml:space="preserve">2025-06</t>
        </is>
      </c>
      <c r="D289" s="0" t="inlineStr">
        <is>
          <t xml:space="preserve">2025</t>
        </is>
      </c>
      <c r="E289" s="6" t="inlineStr">
        <is>
          <t xml:space="preserve">512000</t>
        </is>
      </c>
      <c r="F289" s="6" t="inlineStr">
        <is>
          <t xml:space="preserve">BQ</t>
        </is>
      </c>
      <c r="G289" s="0" t="inlineStr">
        <is>
          <t xml:space="preserve">BQ00082</t>
        </is>
      </c>
      <c r="H289" s="6" t="inlineStr">
        <is>
          <t xml:space="preserve">411000</t>
        </is>
      </c>
      <c r="I289" s="0" t="inlineStr">
        <is>
          <t xml:space="preserve">Reglement client Restaurant Le Comptoir FA2025-0015</t>
        </is>
      </c>
      <c r="J289" s="0" t="inlineStr">
        <is>
          <t xml:space="preserve">Restaurant Le Comptoir</t>
        </is>
      </c>
      <c r="K289" s="8">
        <v>34705.43</v>
      </c>
      <c r="L289" s="0" t="inlineStr">
        <is>
          <t xml:space="preserve">Clients</t>
        </is>
      </c>
      <c r="M289" s="9"/>
      <c r="N289" s="0">
        <f>IF(M289&lt;&gt;"",M289,L289)</f>
      </c>
      <c r="O289" s="0">
        <f>IFERROR(INDEX(Categories!$B$5:$B$35,MATCH(N289,Categories!$A$5:$A$35,0)),"NA")</f>
      </c>
    </row>
    <row r="290">
      <c r="A290" s="7">
        <v>45810</v>
      </c>
      <c r="B290" s="0" t="inlineStr">
        <is>
          <t xml:space="preserve">2025-S23</t>
        </is>
      </c>
      <c r="C290" s="0" t="inlineStr">
        <is>
          <t xml:space="preserve">2025-06</t>
        </is>
      </c>
      <c r="D290" s="0" t="inlineStr">
        <is>
          <t xml:space="preserve">2025</t>
        </is>
      </c>
      <c r="E290" s="6" t="inlineStr">
        <is>
          <t xml:space="preserve">512000</t>
        </is>
      </c>
      <c r="F290" s="6" t="inlineStr">
        <is>
          <t xml:space="preserve">BQ</t>
        </is>
      </c>
      <c r="G290" s="0" t="inlineStr">
        <is>
          <t xml:space="preserve">BQ00085</t>
        </is>
      </c>
      <c r="H290" s="6" t="inlineStr">
        <is>
          <t xml:space="preserve">411000</t>
        </is>
      </c>
      <c r="I290" s="0" t="inlineStr">
        <is>
          <t xml:space="preserve">Reglement client Coworking Atelier 9 FA2025-0018</t>
        </is>
      </c>
      <c r="J290" s="0" t="inlineStr">
        <is>
          <t xml:space="preserve">Coworking Atelier 9</t>
        </is>
      </c>
      <c r="K290" s="8">
        <v>19328.17</v>
      </c>
      <c r="L290" s="0" t="inlineStr">
        <is>
          <t xml:space="preserve">Clients</t>
        </is>
      </c>
      <c r="M290" s="9"/>
      <c r="N290" s="0">
        <f>IF(M290&lt;&gt;"",M290,L290)</f>
      </c>
      <c r="O290" s="0">
        <f>IFERROR(INDEX(Categories!$B$5:$B$35,MATCH(N290,Categories!$A$5:$A$35,0)),"NA")</f>
      </c>
    </row>
    <row r="291">
      <c r="A291" s="7">
        <v>45812</v>
      </c>
      <c r="B291" s="0" t="inlineStr">
        <is>
          <t xml:space="preserve">2025-S23</t>
        </is>
      </c>
      <c r="C291" s="0" t="inlineStr">
        <is>
          <t xml:space="preserve">2025-06</t>
        </is>
      </c>
      <c r="D291" s="0" t="inlineStr">
        <is>
          <t xml:space="preserve">2025</t>
        </is>
      </c>
      <c r="E291" s="6" t="inlineStr">
        <is>
          <t xml:space="preserve">512000</t>
        </is>
      </c>
      <c r="F291" s="6" t="inlineStr">
        <is>
          <t xml:space="preserve">BQ</t>
        </is>
      </c>
      <c r="G291" s="0" t="inlineStr">
        <is>
          <t xml:space="preserve">BQ00149</t>
        </is>
      </c>
      <c r="H291" s="6" t="inlineStr">
        <is>
          <t xml:space="preserve">401000</t>
        </is>
      </c>
      <c r="I291" s="0" t="inlineStr">
        <is>
          <t xml:space="preserve">Reglement fournisseur SCI Les Halles F004-202505</t>
        </is>
      </c>
      <c r="J291" s="0" t="inlineStr">
        <is>
          <t xml:space="preserve">SCI Les Halles</t>
        </is>
      </c>
      <c r="K291" s="8">
        <v>-10200</v>
      </c>
      <c r="L291" s="0" t="inlineStr">
        <is>
          <t xml:space="preserve">Fournisseurs et charges externes</t>
        </is>
      </c>
      <c r="M291" s="9"/>
      <c r="N291" s="0">
        <f>IF(M291&lt;&gt;"",M291,L291)</f>
      </c>
      <c r="O291" s="0">
        <f>IFERROR(INDEX(Categories!$B$5:$B$35,MATCH(N291,Categories!$A$5:$A$35,0)),"NA")</f>
      </c>
    </row>
    <row r="292">
      <c r="A292" s="7">
        <v>45812</v>
      </c>
      <c r="B292" s="0" t="inlineStr">
        <is>
          <t xml:space="preserve">2025-S23</t>
        </is>
      </c>
      <c r="C292" s="0" t="inlineStr">
        <is>
          <t xml:space="preserve">2025-06</t>
        </is>
      </c>
      <c r="D292" s="0" t="inlineStr">
        <is>
          <t xml:space="preserve">2025</t>
        </is>
      </c>
      <c r="E292" s="6" t="inlineStr">
        <is>
          <t xml:space="preserve">512000</t>
        </is>
      </c>
      <c r="F292" s="6" t="inlineStr">
        <is>
          <t xml:space="preserve">BQ</t>
        </is>
      </c>
      <c r="G292" s="0" t="inlineStr">
        <is>
          <t xml:space="preserve">BQ00150</t>
        </is>
      </c>
      <c r="H292" s="6" t="inlineStr">
        <is>
          <t xml:space="preserve">401000</t>
        </is>
      </c>
      <c r="I292" s="0" t="inlineStr">
        <is>
          <t xml:space="preserve">Reglement fournisseur Energie Plus F005-202505</t>
        </is>
      </c>
      <c r="J292" s="0" t="inlineStr">
        <is>
          <t xml:space="preserve">Energie Plus</t>
        </is>
      </c>
      <c r="K292" s="8">
        <v>-3430.6</v>
      </c>
      <c r="L292" s="0" t="inlineStr">
        <is>
          <t xml:space="preserve">Fournisseurs et charges externes</t>
        </is>
      </c>
      <c r="M292" s="9"/>
      <c r="N292" s="0">
        <f>IF(M292&lt;&gt;"",M292,L292)</f>
      </c>
      <c r="O292" s="0">
        <f>IFERROR(INDEX(Categories!$B$5:$B$35,MATCH(N292,Categories!$A$5:$A$35,0)),"NA")</f>
      </c>
    </row>
    <row r="293">
      <c r="A293" s="7">
        <v>45812</v>
      </c>
      <c r="B293" s="0" t="inlineStr">
        <is>
          <t xml:space="preserve">2025-S23</t>
        </is>
      </c>
      <c r="C293" s="0" t="inlineStr">
        <is>
          <t xml:space="preserve">2025-06</t>
        </is>
      </c>
      <c r="D293" s="0" t="inlineStr">
        <is>
          <t xml:space="preserve">2025</t>
        </is>
      </c>
      <c r="E293" s="6" t="inlineStr">
        <is>
          <t xml:space="preserve">512000</t>
        </is>
      </c>
      <c r="F293" s="6" t="inlineStr">
        <is>
          <t xml:space="preserve">BQ</t>
        </is>
      </c>
      <c r="G293" s="0" t="inlineStr">
        <is>
          <t xml:space="preserve">BQ00151</t>
        </is>
      </c>
      <c r="H293" s="6" t="inlineStr">
        <is>
          <t xml:space="preserve">401000</t>
        </is>
      </c>
      <c r="I293" s="0" t="inlineStr">
        <is>
          <t xml:space="preserve">Reglement fournisseur Telecom Pro F008-202505</t>
        </is>
      </c>
      <c r="J293" s="0" t="inlineStr">
        <is>
          <t xml:space="preserve">Telecom Pro</t>
        </is>
      </c>
      <c r="K293" s="8">
        <v>-576</v>
      </c>
      <c r="L293" s="0" t="inlineStr">
        <is>
          <t xml:space="preserve">Fournisseurs et charges externes</t>
        </is>
      </c>
      <c r="M293" s="9"/>
      <c r="N293" s="0">
        <f>IF(M293&lt;&gt;"",M293,L293)</f>
      </c>
      <c r="O293" s="0">
        <f>IFERROR(INDEX(Categories!$B$5:$B$35,MATCH(N293,Categories!$A$5:$A$35,0)),"NA")</f>
      </c>
    </row>
    <row r="294">
      <c r="A294" s="7">
        <v>45818</v>
      </c>
      <c r="B294" s="0" t="inlineStr">
        <is>
          <t xml:space="preserve">2025-S24</t>
        </is>
      </c>
      <c r="C294" s="0" t="inlineStr">
        <is>
          <t xml:space="preserve">2025-06</t>
        </is>
      </c>
      <c r="D294" s="0" t="inlineStr">
        <is>
          <t xml:space="preserve">2025</t>
        </is>
      </c>
      <c r="E294" s="6" t="inlineStr">
        <is>
          <t xml:space="preserve">512000</t>
        </is>
      </c>
      <c r="F294" s="6" t="inlineStr">
        <is>
          <t xml:space="preserve">BQ</t>
        </is>
      </c>
      <c r="G294" s="0" t="inlineStr">
        <is>
          <t xml:space="preserve">BQ00017</t>
        </is>
      </c>
      <c r="H294" s="6" t="inlineStr">
        <is>
          <t xml:space="preserve">164000</t>
        </is>
      </c>
      <c r="I294" s="0" t="inlineStr">
        <is>
          <t xml:space="preserve">Echeance emprunt 06/2025</t>
        </is>
      </c>
      <c r="J294" s="0"/>
      <c r="K294" s="8">
        <v>-2000</v>
      </c>
      <c r="L294" s="0" t="inlineStr">
        <is>
          <t xml:space="preserve">Emprunts - capital</t>
        </is>
      </c>
      <c r="M294" s="9"/>
      <c r="N294" s="0">
        <f>IF(M294&lt;&gt;"",M294,L294)</f>
      </c>
      <c r="O294" s="0">
        <f>IFERROR(INDEX(Categories!$B$5:$B$35,MATCH(N294,Categories!$A$5:$A$35,0)),"NA")</f>
      </c>
    </row>
    <row r="295">
      <c r="A295" s="7">
        <v>45818</v>
      </c>
      <c r="B295" s="0" t="inlineStr">
        <is>
          <t xml:space="preserve">2025-S24</t>
        </is>
      </c>
      <c r="C295" s="0" t="inlineStr">
        <is>
          <t xml:space="preserve">2025-06</t>
        </is>
      </c>
      <c r="D295" s="0" t="inlineStr">
        <is>
          <t xml:space="preserve">2025</t>
        </is>
      </c>
      <c r="E295" s="6" t="inlineStr">
        <is>
          <t xml:space="preserve">512000</t>
        </is>
      </c>
      <c r="F295" s="6" t="inlineStr">
        <is>
          <t xml:space="preserve">BQ</t>
        </is>
      </c>
      <c r="G295" s="0" t="inlineStr">
        <is>
          <t xml:space="preserve">BQ00017</t>
        </is>
      </c>
      <c r="H295" s="6" t="inlineStr">
        <is>
          <t xml:space="preserve">661100</t>
        </is>
      </c>
      <c r="I295" s="0" t="inlineStr">
        <is>
          <t xml:space="preserve">Echeance emprunt 06/2025</t>
        </is>
      </c>
      <c r="J295" s="0"/>
      <c r="K295" s="8">
        <v>-186.67</v>
      </c>
      <c r="L295" s="0" t="inlineStr">
        <is>
          <t xml:space="preserve">Intérêts et charges financières</t>
        </is>
      </c>
      <c r="M295" s="9"/>
      <c r="N295" s="0">
        <f>IF(M295&lt;&gt;"",M295,L295)</f>
      </c>
      <c r="O295" s="0">
        <f>IFERROR(INDEX(Categories!$B$5:$B$35,MATCH(N295,Categories!$A$5:$A$35,0)),"NA")</f>
      </c>
    </row>
    <row r="296">
      <c r="A296" s="7">
        <v>45820</v>
      </c>
      <c r="B296" s="0" t="inlineStr">
        <is>
          <t xml:space="preserve">2025-S24</t>
        </is>
      </c>
      <c r="C296" s="0" t="inlineStr">
        <is>
          <t xml:space="preserve">2025-06</t>
        </is>
      </c>
      <c r="D296" s="0" t="inlineStr">
        <is>
          <t xml:space="preserve">2025</t>
        </is>
      </c>
      <c r="E296" s="6" t="inlineStr">
        <is>
          <t xml:space="preserve">512000</t>
        </is>
      </c>
      <c r="F296" s="6" t="inlineStr">
        <is>
          <t xml:space="preserve">BQ</t>
        </is>
      </c>
      <c r="G296" s="0" t="inlineStr">
        <is>
          <t xml:space="preserve">BQ00059</t>
        </is>
      </c>
      <c r="H296" s="6" t="inlineStr">
        <is>
          <t xml:space="preserve">455100</t>
        </is>
      </c>
      <c r="I296" s="0" t="inlineStr">
        <is>
          <t xml:space="preserve">Apport en compte courant d'associe</t>
        </is>
      </c>
      <c r="J296" s="0"/>
      <c r="K296" s="8">
        <v>80000</v>
      </c>
      <c r="L296" s="0" t="inlineStr">
        <is>
          <t xml:space="preserve">Associés et groupe</t>
        </is>
      </c>
      <c r="M296" s="9"/>
      <c r="N296" s="0">
        <f>IF(M296&lt;&gt;"",M296,L296)</f>
      </c>
      <c r="O296" s="0">
        <f>IFERROR(INDEX(Categories!$B$5:$B$35,MATCH(N296,Categories!$A$5:$A$35,0)),"NA")</f>
      </c>
    </row>
    <row r="297">
      <c r="A297" s="7">
        <v>45823</v>
      </c>
      <c r="B297" s="0" t="inlineStr">
        <is>
          <t xml:space="preserve">2025-S24</t>
        </is>
      </c>
      <c r="C297" s="0" t="inlineStr">
        <is>
          <t xml:space="preserve">2025-06</t>
        </is>
      </c>
      <c r="D297" s="0" t="inlineStr">
        <is>
          <t xml:space="preserve">2025</t>
        </is>
      </c>
      <c r="E297" s="6" t="inlineStr">
        <is>
          <t xml:space="preserve">512000</t>
        </is>
      </c>
      <c r="F297" s="6" t="inlineStr">
        <is>
          <t xml:space="preserve">BQ</t>
        </is>
      </c>
      <c r="G297" s="0" t="inlineStr">
        <is>
          <t xml:space="preserve">BQ00048</t>
        </is>
      </c>
      <c r="H297" s="6" t="inlineStr">
        <is>
          <t xml:space="preserve">431000</t>
        </is>
      </c>
      <c r="I297" s="0" t="inlineStr">
        <is>
          <t xml:space="preserve">Reglement URSSAF 05/2025</t>
        </is>
      </c>
      <c r="J297" s="0"/>
      <c r="K297" s="8">
        <v>-32368.27</v>
      </c>
      <c r="L297" s="0" t="inlineStr">
        <is>
          <t xml:space="preserve">Charges sociales</t>
        </is>
      </c>
      <c r="M297" s="9"/>
      <c r="N297" s="0">
        <f>IF(M297&lt;&gt;"",M297,L297)</f>
      </c>
      <c r="O297" s="0">
        <f>IFERROR(INDEX(Categories!$B$5:$B$35,MATCH(N297,Categories!$A$5:$A$35,0)),"NA")</f>
      </c>
    </row>
    <row r="298">
      <c r="A298" s="7">
        <v>45824</v>
      </c>
      <c r="B298" s="0" t="inlineStr">
        <is>
          <t xml:space="preserve">2025-S25</t>
        </is>
      </c>
      <c r="C298" s="0" t="inlineStr">
        <is>
          <t xml:space="preserve">2025-06</t>
        </is>
      </c>
      <c r="D298" s="0" t="inlineStr">
        <is>
          <t xml:space="preserve">2025</t>
        </is>
      </c>
      <c r="E298" s="6" t="inlineStr">
        <is>
          <t xml:space="preserve">512000</t>
        </is>
      </c>
      <c r="F298" s="6" t="inlineStr">
        <is>
          <t xml:space="preserve">BQ</t>
        </is>
      </c>
      <c r="G298" s="0" t="inlineStr">
        <is>
          <t xml:space="preserve">BQ00142</t>
        </is>
      </c>
      <c r="H298" s="6" t="inlineStr">
        <is>
          <t xml:space="preserve">401000</t>
        </is>
      </c>
      <c r="I298" s="0" t="inlineStr">
        <is>
          <t xml:space="preserve">Reglement fournisseur Scierie du Nord F001-2025043</t>
        </is>
      </c>
      <c r="J298" s="0" t="inlineStr">
        <is>
          <t xml:space="preserve">Scierie du Nord</t>
        </is>
      </c>
      <c r="K298" s="8">
        <v>-17716.94</v>
      </c>
      <c r="L298" s="0" t="inlineStr">
        <is>
          <t xml:space="preserve">Fournisseurs et charges externes</t>
        </is>
      </c>
      <c r="M298" s="9"/>
      <c r="N298" s="0">
        <f>IF(M298&lt;&gt;"",M298,L298)</f>
      </c>
      <c r="O298" s="0">
        <f>IFERROR(INDEX(Categories!$B$5:$B$35,MATCH(N298,Categories!$A$5:$A$35,0)),"NA")</f>
      </c>
    </row>
    <row r="299">
      <c r="A299" s="7">
        <v>45828</v>
      </c>
      <c r="B299" s="0" t="inlineStr">
        <is>
          <t xml:space="preserve">2025-S25</t>
        </is>
      </c>
      <c r="C299" s="0" t="inlineStr">
        <is>
          <t xml:space="preserve">2025-06</t>
        </is>
      </c>
      <c r="D299" s="0" t="inlineStr">
        <is>
          <t xml:space="preserve">2025</t>
        </is>
      </c>
      <c r="E299" s="6" t="inlineStr">
        <is>
          <t xml:space="preserve">512000</t>
        </is>
      </c>
      <c r="F299" s="6" t="inlineStr">
        <is>
          <t xml:space="preserve">BQ</t>
        </is>
      </c>
      <c r="G299" s="0" t="inlineStr">
        <is>
          <t xml:space="preserve">BQ00049</t>
        </is>
      </c>
      <c r="H299" s="6" t="inlineStr">
        <is>
          <t xml:space="preserve">445510</t>
        </is>
      </c>
      <c r="I299" s="0" t="inlineStr">
        <is>
          <t xml:space="preserve">Reglement TVA 05/2025</t>
        </is>
      </c>
      <c r="J299" s="0"/>
      <c r="K299" s="8">
        <v>-10617.23</v>
      </c>
      <c r="L299" s="0" t="inlineStr">
        <is>
          <t xml:space="preserve">TVA</t>
        </is>
      </c>
      <c r="M299" s="9"/>
      <c r="N299" s="0">
        <f>IF(M299&lt;&gt;"",M299,L299)</f>
      </c>
      <c r="O299" s="0">
        <f>IFERROR(INDEX(Categories!$B$5:$B$35,MATCH(N299,Categories!$A$5:$A$35,0)),"NA")</f>
      </c>
    </row>
    <row r="300">
      <c r="A300" s="7">
        <v>45832</v>
      </c>
      <c r="B300" s="0" t="inlineStr">
        <is>
          <t xml:space="preserve">2025-S26</t>
        </is>
      </c>
      <c r="C300" s="0" t="inlineStr">
        <is>
          <t xml:space="preserve">2025-06</t>
        </is>
      </c>
      <c r="D300" s="0" t="inlineStr">
        <is>
          <t xml:space="preserve">2025</t>
        </is>
      </c>
      <c r="E300" s="6" t="inlineStr">
        <is>
          <t xml:space="preserve">512000</t>
        </is>
      </c>
      <c r="F300" s="6" t="inlineStr">
        <is>
          <t xml:space="preserve">BQ</t>
        </is>
      </c>
      <c r="G300" s="0" t="inlineStr">
        <is>
          <t xml:space="preserve">BQ00086</t>
        </is>
      </c>
      <c r="H300" s="6" t="inlineStr">
        <is>
          <t xml:space="preserve">411000</t>
        </is>
      </c>
      <c r="I300" s="0" t="inlineStr">
        <is>
          <t xml:space="preserve">Reglement client Cabinet Varenne Associes FA2025-0019</t>
        </is>
      </c>
      <c r="J300" s="0" t="inlineStr">
        <is>
          <t xml:space="preserve">Cabinet Varenne Associes</t>
        </is>
      </c>
      <c r="K300" s="8">
        <v>20590.09</v>
      </c>
      <c r="L300" s="0" t="inlineStr">
        <is>
          <t xml:space="preserve">Clients</t>
        </is>
      </c>
      <c r="M300" s="9"/>
      <c r="N300" s="0">
        <f>IF(M300&lt;&gt;"",M300,L300)</f>
      </c>
      <c r="O300" s="0">
        <f>IFERROR(INDEX(Categories!$B$5:$B$35,MATCH(N300,Categories!$A$5:$A$35,0)),"NA")</f>
      </c>
    </row>
    <row r="301">
      <c r="A301" s="7">
        <v>45838</v>
      </c>
      <c r="B301" s="0" t="inlineStr">
        <is>
          <t xml:space="preserve">2025-S27</t>
        </is>
      </c>
      <c r="C301" s="0" t="inlineStr">
        <is>
          <t xml:space="preserve">2025-06</t>
        </is>
      </c>
      <c r="D301" s="0" t="inlineStr">
        <is>
          <t xml:space="preserve">2025</t>
        </is>
      </c>
      <c r="E301" s="6" t="inlineStr">
        <is>
          <t xml:space="preserve">512000</t>
        </is>
      </c>
      <c r="F301" s="6" t="inlineStr">
        <is>
          <t xml:space="preserve">BQ</t>
        </is>
      </c>
      <c r="G301" s="0" t="inlineStr">
        <is>
          <t xml:space="preserve">BQ00016</t>
        </is>
      </c>
      <c r="H301" s="6" t="inlineStr">
        <is>
          <t xml:space="preserve">421000</t>
        </is>
      </c>
      <c r="I301" s="0" t="inlineStr">
        <is>
          <t xml:space="preserve">Virement salaires 06/2025</t>
        </is>
      </c>
      <c r="J301" s="0"/>
      <c r="K301" s="8">
        <v>-39725.95</v>
      </c>
      <c r="L301" s="0" t="inlineStr">
        <is>
          <t xml:space="preserve">Salaires et personnel</t>
        </is>
      </c>
      <c r="M301" s="9"/>
      <c r="N301" s="0">
        <f>IF(M301&lt;&gt;"",M301,L301)</f>
      </c>
      <c r="O301" s="0">
        <f>IFERROR(INDEX(Categories!$B$5:$B$35,MATCH(N301,Categories!$A$5:$A$35,0)),"NA")</f>
      </c>
    </row>
    <row r="302">
      <c r="A302" s="7">
        <v>45838</v>
      </c>
      <c r="B302" s="0" t="inlineStr">
        <is>
          <t xml:space="preserve">2025-S27</t>
        </is>
      </c>
      <c r="C302" s="0" t="inlineStr">
        <is>
          <t xml:space="preserve">2025-06</t>
        </is>
      </c>
      <c r="D302" s="0" t="inlineStr">
        <is>
          <t xml:space="preserve">2025</t>
        </is>
      </c>
      <c r="E302" s="6" t="inlineStr">
        <is>
          <t xml:space="preserve">512000</t>
        </is>
      </c>
      <c r="F302" s="6" t="inlineStr">
        <is>
          <t xml:space="preserve">BQ</t>
        </is>
      </c>
      <c r="G302" s="0" t="inlineStr">
        <is>
          <t xml:space="preserve">BQ00018</t>
        </is>
      </c>
      <c r="H302" s="6" t="inlineStr">
        <is>
          <t xml:space="preserve">627000</t>
        </is>
      </c>
      <c r="I302" s="0" t="inlineStr">
        <is>
          <t xml:space="preserve">Frais bancaires 06/2025</t>
        </is>
      </c>
      <c r="J302" s="0"/>
      <c r="K302" s="8">
        <v>-85</v>
      </c>
      <c r="L302" s="0" t="inlineStr">
        <is>
          <t xml:space="preserve">Frais bancaires</t>
        </is>
      </c>
      <c r="M302" s="9"/>
      <c r="N302" s="0">
        <f>IF(M302&lt;&gt;"",M302,L302)</f>
      </c>
      <c r="O302" s="0">
        <f>IFERROR(INDEX(Categories!$B$5:$B$35,MATCH(N302,Categories!$A$5:$A$35,0)),"NA")</f>
      </c>
    </row>
    <row r="303">
      <c r="A303" s="7">
        <v>45841</v>
      </c>
      <c r="B303" s="0" t="inlineStr">
        <is>
          <t xml:space="preserve">2025-S27</t>
        </is>
      </c>
      <c r="C303" s="0" t="inlineStr">
        <is>
          <t xml:space="preserve">2025-07</t>
        </is>
      </c>
      <c r="D303" s="0" t="inlineStr">
        <is>
          <t xml:space="preserve">2025</t>
        </is>
      </c>
      <c r="E303" s="6" t="inlineStr">
        <is>
          <t xml:space="preserve">512000</t>
        </is>
      </c>
      <c r="F303" s="6" t="inlineStr">
        <is>
          <t xml:space="preserve">BQ</t>
        </is>
      </c>
      <c r="G303" s="0" t="inlineStr">
        <is>
          <t xml:space="preserve">BQ00140</t>
        </is>
      </c>
      <c r="H303" s="6" t="inlineStr">
        <is>
          <t xml:space="preserve">401000</t>
        </is>
      </c>
      <c r="I303" s="0" t="inlineStr">
        <is>
          <t xml:space="preserve">Reglement fournisseur Scierie du Nord F001-2025041</t>
        </is>
      </c>
      <c r="J303" s="0" t="inlineStr">
        <is>
          <t xml:space="preserve">Scierie du Nord</t>
        </is>
      </c>
      <c r="K303" s="8">
        <v>-23171.46</v>
      </c>
      <c r="L303" s="0" t="inlineStr">
        <is>
          <t xml:space="preserve">Fournisseurs et charges externes</t>
        </is>
      </c>
      <c r="M303" s="9"/>
      <c r="N303" s="0">
        <f>IF(M303&lt;&gt;"",M303,L303)</f>
      </c>
      <c r="O303" s="0">
        <f>IFERROR(INDEX(Categories!$B$5:$B$35,MATCH(N303,Categories!$A$5:$A$35,0)),"NA")</f>
      </c>
    </row>
    <row r="304">
      <c r="A304" s="7">
        <v>45845</v>
      </c>
      <c r="B304" s="0" t="inlineStr">
        <is>
          <t xml:space="preserve">2025-S28</t>
        </is>
      </c>
      <c r="C304" s="0" t="inlineStr">
        <is>
          <t xml:space="preserve">2025-07</t>
        </is>
      </c>
      <c r="D304" s="0" t="inlineStr">
        <is>
          <t xml:space="preserve">2025</t>
        </is>
      </c>
      <c r="E304" s="6" t="inlineStr">
        <is>
          <t xml:space="preserve">512000</t>
        </is>
      </c>
      <c r="F304" s="6" t="inlineStr">
        <is>
          <t xml:space="preserve">BQ</t>
        </is>
      </c>
      <c r="G304" s="0" t="inlineStr">
        <is>
          <t xml:space="preserve">BQ00087</t>
        </is>
      </c>
      <c r="H304" s="6" t="inlineStr">
        <is>
          <t xml:space="preserve">411000</t>
        </is>
      </c>
      <c r="I304" s="0" t="inlineStr">
        <is>
          <t xml:space="preserve">Reglement client Agence Mobilis FA2025-0020</t>
        </is>
      </c>
      <c r="J304" s="0" t="inlineStr">
        <is>
          <t xml:space="preserve">Agence Mobilis</t>
        </is>
      </c>
      <c r="K304" s="8">
        <v>39405.02</v>
      </c>
      <c r="L304" s="0" t="inlineStr">
        <is>
          <t xml:space="preserve">Clients</t>
        </is>
      </c>
      <c r="M304" s="9"/>
      <c r="N304" s="0">
        <f>IF(M304&lt;&gt;"",M304,L304)</f>
      </c>
      <c r="O304" s="0">
        <f>IFERROR(INDEX(Categories!$B$5:$B$35,MATCH(N304,Categories!$A$5:$A$35,0)),"NA")</f>
      </c>
    </row>
    <row r="305">
      <c r="A305" s="7">
        <v>45845</v>
      </c>
      <c r="B305" s="0" t="inlineStr">
        <is>
          <t xml:space="preserve">2025-S28</t>
        </is>
      </c>
      <c r="C305" s="0" t="inlineStr">
        <is>
          <t xml:space="preserve">2025-07</t>
        </is>
      </c>
      <c r="D305" s="0" t="inlineStr">
        <is>
          <t xml:space="preserve">2025</t>
        </is>
      </c>
      <c r="E305" s="6" t="inlineStr">
        <is>
          <t xml:space="preserve">512000</t>
        </is>
      </c>
      <c r="F305" s="6" t="inlineStr">
        <is>
          <t xml:space="preserve">BQ</t>
        </is>
      </c>
      <c r="G305" s="0" t="inlineStr">
        <is>
          <t xml:space="preserve">BQ00154</t>
        </is>
      </c>
      <c r="H305" s="6" t="inlineStr">
        <is>
          <t xml:space="preserve">401000</t>
        </is>
      </c>
      <c r="I305" s="0" t="inlineStr">
        <is>
          <t xml:space="preserve">Reglement fournisseur SCI Les Halles F004-202506</t>
        </is>
      </c>
      <c r="J305" s="0" t="inlineStr">
        <is>
          <t xml:space="preserve">SCI Les Halles</t>
        </is>
      </c>
      <c r="K305" s="8">
        <v>-10200</v>
      </c>
      <c r="L305" s="0" t="inlineStr">
        <is>
          <t xml:space="preserve">Fournisseurs et charges externes</t>
        </is>
      </c>
      <c r="M305" s="9"/>
      <c r="N305" s="0">
        <f>IF(M305&lt;&gt;"",M305,L305)</f>
      </c>
      <c r="O305" s="0">
        <f>IFERROR(INDEX(Categories!$B$5:$B$35,MATCH(N305,Categories!$A$5:$A$35,0)),"NA")</f>
      </c>
    </row>
    <row r="306">
      <c r="A306" s="7">
        <v>45845</v>
      </c>
      <c r="B306" s="0" t="inlineStr">
        <is>
          <t xml:space="preserve">2025-S28</t>
        </is>
      </c>
      <c r="C306" s="0" t="inlineStr">
        <is>
          <t xml:space="preserve">2025-07</t>
        </is>
      </c>
      <c r="D306" s="0" t="inlineStr">
        <is>
          <t xml:space="preserve">2025</t>
        </is>
      </c>
      <c r="E306" s="6" t="inlineStr">
        <is>
          <t xml:space="preserve">512000</t>
        </is>
      </c>
      <c r="F306" s="6" t="inlineStr">
        <is>
          <t xml:space="preserve">BQ</t>
        </is>
      </c>
      <c r="G306" s="0" t="inlineStr">
        <is>
          <t xml:space="preserve">BQ00155</t>
        </is>
      </c>
      <c r="H306" s="6" t="inlineStr">
        <is>
          <t xml:space="preserve">401000</t>
        </is>
      </c>
      <c r="I306" s="0" t="inlineStr">
        <is>
          <t xml:space="preserve">Reglement fournisseur Energie Plus F005-202506</t>
        </is>
      </c>
      <c r="J306" s="0" t="inlineStr">
        <is>
          <t xml:space="preserve">Energie Plus</t>
        </is>
      </c>
      <c r="K306" s="8">
        <v>-3084.52</v>
      </c>
      <c r="L306" s="0" t="inlineStr">
        <is>
          <t xml:space="preserve">Fournisseurs et charges externes</t>
        </is>
      </c>
      <c r="M306" s="9"/>
      <c r="N306" s="0">
        <f>IF(M306&lt;&gt;"",M306,L306)</f>
      </c>
      <c r="O306" s="0">
        <f>IFERROR(INDEX(Categories!$B$5:$B$35,MATCH(N306,Categories!$A$5:$A$35,0)),"NA")</f>
      </c>
    </row>
    <row r="307">
      <c r="A307" s="7">
        <v>45845</v>
      </c>
      <c r="B307" s="0" t="inlineStr">
        <is>
          <t xml:space="preserve">2025-S28</t>
        </is>
      </c>
      <c r="C307" s="0" t="inlineStr">
        <is>
          <t xml:space="preserve">2025-07</t>
        </is>
      </c>
      <c r="D307" s="0" t="inlineStr">
        <is>
          <t xml:space="preserve">2025</t>
        </is>
      </c>
      <c r="E307" s="6" t="inlineStr">
        <is>
          <t xml:space="preserve">512000</t>
        </is>
      </c>
      <c r="F307" s="6" t="inlineStr">
        <is>
          <t xml:space="preserve">BQ</t>
        </is>
      </c>
      <c r="G307" s="0" t="inlineStr">
        <is>
          <t xml:space="preserve">BQ00156</t>
        </is>
      </c>
      <c r="H307" s="6" t="inlineStr">
        <is>
          <t xml:space="preserve">401000</t>
        </is>
      </c>
      <c r="I307" s="0" t="inlineStr">
        <is>
          <t xml:space="preserve">Reglement fournisseur Telecom Pro F008-202506</t>
        </is>
      </c>
      <c r="J307" s="0" t="inlineStr">
        <is>
          <t xml:space="preserve">Telecom Pro</t>
        </is>
      </c>
      <c r="K307" s="8">
        <v>-576</v>
      </c>
      <c r="L307" s="0" t="inlineStr">
        <is>
          <t xml:space="preserve">Fournisseurs et charges externes</t>
        </is>
      </c>
      <c r="M307" s="9"/>
      <c r="N307" s="0">
        <f>IF(M307&lt;&gt;"",M307,L307)</f>
      </c>
      <c r="O307" s="0">
        <f>IFERROR(INDEX(Categories!$B$5:$B$35,MATCH(N307,Categories!$A$5:$A$35,0)),"NA")</f>
      </c>
    </row>
    <row r="308">
      <c r="A308" s="7">
        <v>45845</v>
      </c>
      <c r="B308" s="0" t="inlineStr">
        <is>
          <t xml:space="preserve">2025-S28</t>
        </is>
      </c>
      <c r="C308" s="0" t="inlineStr">
        <is>
          <t xml:space="preserve">2025-07</t>
        </is>
      </c>
      <c r="D308" s="0" t="inlineStr">
        <is>
          <t xml:space="preserve">2025</t>
        </is>
      </c>
      <c r="E308" s="6" t="inlineStr">
        <is>
          <t xml:space="preserve">512000</t>
        </is>
      </c>
      <c r="F308" s="6" t="inlineStr">
        <is>
          <t xml:space="preserve">BQ</t>
        </is>
      </c>
      <c r="G308" s="0" t="inlineStr">
        <is>
          <t xml:space="preserve">BQ00157</t>
        </is>
      </c>
      <c r="H308" s="6" t="inlineStr">
        <is>
          <t xml:space="preserve">401000</t>
        </is>
      </c>
      <c r="I308" s="0" t="inlineStr">
        <is>
          <t xml:space="preserve">Reglement fournisseur Cabinet Comptable Exemple F007-202506</t>
        </is>
      </c>
      <c r="J308" s="0" t="inlineStr">
        <is>
          <t xml:space="preserve">Cabinet Comptable Exemple</t>
        </is>
      </c>
      <c r="K308" s="8">
        <v>-7200</v>
      </c>
      <c r="L308" s="0" t="inlineStr">
        <is>
          <t xml:space="preserve">Fournisseurs et charges externes</t>
        </is>
      </c>
      <c r="M308" s="9"/>
      <c r="N308" s="0">
        <f>IF(M308&lt;&gt;"",M308,L308)</f>
      </c>
      <c r="O308" s="0">
        <f>IFERROR(INDEX(Categories!$B$5:$B$35,MATCH(N308,Categories!$A$5:$A$35,0)),"NA")</f>
      </c>
    </row>
    <row r="309">
      <c r="A309" s="7">
        <v>45846</v>
      </c>
      <c r="B309" s="0" t="inlineStr">
        <is>
          <t xml:space="preserve">2025-S28</t>
        </is>
      </c>
      <c r="C309" s="0" t="inlineStr">
        <is>
          <t xml:space="preserve">2025-07</t>
        </is>
      </c>
      <c r="D309" s="0" t="inlineStr">
        <is>
          <t xml:space="preserve">2025</t>
        </is>
      </c>
      <c r="E309" s="6" t="inlineStr">
        <is>
          <t xml:space="preserve">512000</t>
        </is>
      </c>
      <c r="F309" s="6" t="inlineStr">
        <is>
          <t xml:space="preserve">BQ</t>
        </is>
      </c>
      <c r="G309" s="0" t="inlineStr">
        <is>
          <t xml:space="preserve">BQ00141</t>
        </is>
      </c>
      <c r="H309" s="6" t="inlineStr">
        <is>
          <t xml:space="preserve">401000</t>
        </is>
      </c>
      <c r="I309" s="0" t="inlineStr">
        <is>
          <t xml:space="preserve">Reglement fournisseur Vernis et Finitions F003-2025042</t>
        </is>
      </c>
      <c r="J309" s="0" t="inlineStr">
        <is>
          <t xml:space="preserve">Vernis et Finitions</t>
        </is>
      </c>
      <c r="K309" s="8">
        <v>-24911.59</v>
      </c>
      <c r="L309" s="0" t="inlineStr">
        <is>
          <t xml:space="preserve">Fournisseurs et charges externes</t>
        </is>
      </c>
      <c r="M309" s="9"/>
      <c r="N309" s="0">
        <f>IF(M309&lt;&gt;"",M309,L309)</f>
      </c>
      <c r="O309" s="0">
        <f>IFERROR(INDEX(Categories!$B$5:$B$35,MATCH(N309,Categories!$A$5:$A$35,0)),"NA")</f>
      </c>
    </row>
    <row r="310">
      <c r="A310" s="7">
        <v>45848</v>
      </c>
      <c r="B310" s="0" t="inlineStr">
        <is>
          <t xml:space="preserve">2025-S28</t>
        </is>
      </c>
      <c r="C310" s="0" t="inlineStr">
        <is>
          <t xml:space="preserve">2025-07</t>
        </is>
      </c>
      <c r="D310" s="0" t="inlineStr">
        <is>
          <t xml:space="preserve">2025</t>
        </is>
      </c>
      <c r="E310" s="6" t="inlineStr">
        <is>
          <t xml:space="preserve">512000</t>
        </is>
      </c>
      <c r="F310" s="6" t="inlineStr">
        <is>
          <t xml:space="preserve">BQ</t>
        </is>
      </c>
      <c r="G310" s="0" t="inlineStr">
        <is>
          <t xml:space="preserve">BQ00020</t>
        </is>
      </c>
      <c r="H310" s="6" t="inlineStr">
        <is>
          <t xml:space="preserve">164000</t>
        </is>
      </c>
      <c r="I310" s="0" t="inlineStr">
        <is>
          <t xml:space="preserve">Echeance emprunt 07/2025</t>
        </is>
      </c>
      <c r="J310" s="0"/>
      <c r="K310" s="8">
        <v>-2000</v>
      </c>
      <c r="L310" s="0" t="inlineStr">
        <is>
          <t xml:space="preserve">Emprunts - capital</t>
        </is>
      </c>
      <c r="M310" s="9"/>
      <c r="N310" s="0">
        <f>IF(M310&lt;&gt;"",M310,L310)</f>
      </c>
      <c r="O310" s="0">
        <f>IFERROR(INDEX(Categories!$B$5:$B$35,MATCH(N310,Categories!$A$5:$A$35,0)),"NA")</f>
      </c>
    </row>
    <row r="311">
      <c r="A311" s="7">
        <v>45848</v>
      </c>
      <c r="B311" s="0" t="inlineStr">
        <is>
          <t xml:space="preserve">2025-S28</t>
        </is>
      </c>
      <c r="C311" s="0" t="inlineStr">
        <is>
          <t xml:space="preserve">2025-07</t>
        </is>
      </c>
      <c r="D311" s="0" t="inlineStr">
        <is>
          <t xml:space="preserve">2025</t>
        </is>
      </c>
      <c r="E311" s="6" t="inlineStr">
        <is>
          <t xml:space="preserve">512000</t>
        </is>
      </c>
      <c r="F311" s="6" t="inlineStr">
        <is>
          <t xml:space="preserve">BQ</t>
        </is>
      </c>
      <c r="G311" s="0" t="inlineStr">
        <is>
          <t xml:space="preserve">BQ00020</t>
        </is>
      </c>
      <c r="H311" s="6" t="inlineStr">
        <is>
          <t xml:space="preserve">661100</t>
        </is>
      </c>
      <c r="I311" s="0" t="inlineStr">
        <is>
          <t xml:space="preserve">Echeance emprunt 07/2025</t>
        </is>
      </c>
      <c r="J311" s="0"/>
      <c r="K311" s="8">
        <v>-180</v>
      </c>
      <c r="L311" s="0" t="inlineStr">
        <is>
          <t xml:space="preserve">Intérêts et charges financières</t>
        </is>
      </c>
      <c r="M311" s="9"/>
      <c r="N311" s="0">
        <f>IF(M311&lt;&gt;"",M311,L311)</f>
      </c>
      <c r="O311" s="0">
        <f>IFERROR(INDEX(Categories!$B$5:$B$35,MATCH(N311,Categories!$A$5:$A$35,0)),"NA")</f>
      </c>
    </row>
    <row r="312">
      <c r="A312" s="7">
        <v>45848</v>
      </c>
      <c r="B312" s="0" t="inlineStr">
        <is>
          <t xml:space="preserve">2025-S28</t>
        </is>
      </c>
      <c r="C312" s="0" t="inlineStr">
        <is>
          <t xml:space="preserve">2025-07</t>
        </is>
      </c>
      <c r="D312" s="0" t="inlineStr">
        <is>
          <t xml:space="preserve">2025</t>
        </is>
      </c>
      <c r="E312" s="6" t="inlineStr">
        <is>
          <t xml:space="preserve">512000</t>
        </is>
      </c>
      <c r="F312" s="6" t="inlineStr">
        <is>
          <t xml:space="preserve">BQ</t>
        </is>
      </c>
      <c r="G312" s="0" t="inlineStr">
        <is>
          <t xml:space="preserve">BQ00084</t>
        </is>
      </c>
      <c r="H312" s="6" t="inlineStr">
        <is>
          <t xml:space="preserve">411000</t>
        </is>
      </c>
      <c r="I312" s="0" t="inlineStr">
        <is>
          <t xml:space="preserve">Reglement client Hotel Les Tilleuls FA2025-0017</t>
        </is>
      </c>
      <c r="J312" s="0" t="inlineStr">
        <is>
          <t xml:space="preserve">Hotel Les Tilleuls</t>
        </is>
      </c>
      <c r="K312" s="8">
        <v>37111.12</v>
      </c>
      <c r="L312" s="0" t="inlineStr">
        <is>
          <t xml:space="preserve">Clients</t>
        </is>
      </c>
      <c r="M312" s="9"/>
      <c r="N312" s="0">
        <f>IF(M312&lt;&gt;"",M312,L312)</f>
      </c>
      <c r="O312" s="0">
        <f>IFERROR(INDEX(Categories!$B$5:$B$35,MATCH(N312,Categories!$A$5:$A$35,0)),"NA")</f>
      </c>
    </row>
    <row r="313">
      <c r="A313" s="7">
        <v>45848</v>
      </c>
      <c r="B313" s="0" t="inlineStr">
        <is>
          <t xml:space="preserve">2025-S28</t>
        </is>
      </c>
      <c r="C313" s="0" t="inlineStr">
        <is>
          <t xml:space="preserve">2025-07</t>
        </is>
      </c>
      <c r="D313" s="0" t="inlineStr">
        <is>
          <t xml:space="preserve">2025</t>
        </is>
      </c>
      <c r="E313" s="6" t="inlineStr">
        <is>
          <t xml:space="preserve">512000</t>
        </is>
      </c>
      <c r="F313" s="6" t="inlineStr">
        <is>
          <t xml:space="preserve">BQ</t>
        </is>
      </c>
      <c r="G313" s="0" t="inlineStr">
        <is>
          <t xml:space="preserve">BQ00186</t>
        </is>
      </c>
      <c r="H313" s="6" t="inlineStr">
        <is>
          <t xml:space="preserve">401000</t>
        </is>
      </c>
      <c r="I313" s="0" t="inlineStr">
        <is>
          <t xml:space="preserve">Reglement fournisseur Vernis et Finitions F003-2291</t>
        </is>
      </c>
      <c r="J313" s="0" t="inlineStr">
        <is>
          <t xml:space="preserve">Vernis et Finitions</t>
        </is>
      </c>
      <c r="K313" s="8">
        <v>-14400</v>
      </c>
      <c r="L313" s="0" t="inlineStr">
        <is>
          <t xml:space="preserve">Fournisseurs et charges externes</t>
        </is>
      </c>
      <c r="M313" s="9"/>
      <c r="N313" s="0">
        <f>IF(M313&lt;&gt;"",M313,L313)</f>
      </c>
      <c r="O313" s="0">
        <f>IFERROR(INDEX(Categories!$B$5:$B$35,MATCH(N313,Categories!$A$5:$A$35,0)),"NA")</f>
      </c>
    </row>
    <row r="314">
      <c r="A314" s="7">
        <v>45852</v>
      </c>
      <c r="B314" s="0" t="inlineStr">
        <is>
          <t xml:space="preserve">2025-S29</t>
        </is>
      </c>
      <c r="C314" s="0" t="inlineStr">
        <is>
          <t xml:space="preserve">2025-07</t>
        </is>
      </c>
      <c r="D314" s="0" t="inlineStr">
        <is>
          <t xml:space="preserve">2025</t>
        </is>
      </c>
      <c r="E314" s="6" t="inlineStr">
        <is>
          <t xml:space="preserve">512000</t>
        </is>
      </c>
      <c r="F314" s="6" t="inlineStr">
        <is>
          <t xml:space="preserve">BQ</t>
        </is>
      </c>
      <c r="G314" s="0" t="inlineStr">
        <is>
          <t xml:space="preserve">BQ00083</t>
        </is>
      </c>
      <c r="H314" s="6" t="inlineStr">
        <is>
          <t xml:space="preserve">411000</t>
        </is>
      </c>
      <c r="I314" s="0" t="inlineStr">
        <is>
          <t xml:space="preserve">Reglement client Boutique Hetre et Chene FA2025-0016</t>
        </is>
      </c>
      <c r="J314" s="0" t="inlineStr">
        <is>
          <t xml:space="preserve">Boutique Hetre et Chene</t>
        </is>
      </c>
      <c r="K314" s="8">
        <v>28265.2</v>
      </c>
      <c r="L314" s="0" t="inlineStr">
        <is>
          <t xml:space="preserve">Clients</t>
        </is>
      </c>
      <c r="M314" s="9"/>
      <c r="N314" s="0">
        <f>IF(M314&lt;&gt;"",M314,L314)</f>
      </c>
      <c r="O314" s="0">
        <f>IFERROR(INDEX(Categories!$B$5:$B$35,MATCH(N314,Categories!$A$5:$A$35,0)),"NA")</f>
      </c>
    </row>
    <row r="315">
      <c r="A315" s="7">
        <v>45853</v>
      </c>
      <c r="B315" s="0" t="inlineStr">
        <is>
          <t xml:space="preserve">2025-S29</t>
        </is>
      </c>
      <c r="C315" s="0" t="inlineStr">
        <is>
          <t xml:space="preserve">2025-07</t>
        </is>
      </c>
      <c r="D315" s="0" t="inlineStr">
        <is>
          <t xml:space="preserve">2025</t>
        </is>
      </c>
      <c r="E315" s="6" t="inlineStr">
        <is>
          <t xml:space="preserve">512000</t>
        </is>
      </c>
      <c r="F315" s="6" t="inlineStr">
        <is>
          <t xml:space="preserve">BQ</t>
        </is>
      </c>
      <c r="G315" s="0" t="inlineStr">
        <is>
          <t xml:space="preserve">BQ00050</t>
        </is>
      </c>
      <c r="H315" s="6" t="inlineStr">
        <is>
          <t xml:space="preserve">431000</t>
        </is>
      </c>
      <c r="I315" s="0" t="inlineStr">
        <is>
          <t xml:space="preserve">Reglement URSSAF 06/2025</t>
        </is>
      </c>
      <c r="J315" s="0"/>
      <c r="K315" s="8">
        <v>-32595.66</v>
      </c>
      <c r="L315" s="0" t="inlineStr">
        <is>
          <t xml:space="preserve">Charges sociales</t>
        </is>
      </c>
      <c r="M315" s="9"/>
      <c r="N315" s="0">
        <f>IF(M315&lt;&gt;"",M315,L315)</f>
      </c>
      <c r="O315" s="0">
        <f>IFERROR(INDEX(Categories!$B$5:$B$35,MATCH(N315,Categories!$A$5:$A$35,0)),"NA")</f>
      </c>
    </row>
    <row r="316">
      <c r="A316" s="7">
        <v>45856</v>
      </c>
      <c r="B316" s="0" t="inlineStr">
        <is>
          <t xml:space="preserve">2025-S29</t>
        </is>
      </c>
      <c r="C316" s="0" t="inlineStr">
        <is>
          <t xml:space="preserve">2025-07</t>
        </is>
      </c>
      <c r="D316" s="0" t="inlineStr">
        <is>
          <t xml:space="preserve">2025</t>
        </is>
      </c>
      <c r="E316" s="6" t="inlineStr">
        <is>
          <t xml:space="preserve">512000</t>
        </is>
      </c>
      <c r="F316" s="6" t="inlineStr">
        <is>
          <t xml:space="preserve">BQ</t>
        </is>
      </c>
      <c r="G316" s="0" t="inlineStr">
        <is>
          <t xml:space="preserve">BQ00088</t>
        </is>
      </c>
      <c r="H316" s="6" t="inlineStr">
        <is>
          <t xml:space="preserve">411000</t>
        </is>
      </c>
      <c r="I316" s="0" t="inlineStr">
        <is>
          <t xml:space="preserve">Reglement client Residence Bel Air FA2025-0021</t>
        </is>
      </c>
      <c r="J316" s="0" t="inlineStr">
        <is>
          <t xml:space="preserve">Residence Bel Air</t>
        </is>
      </c>
      <c r="K316" s="8">
        <v>28369.19</v>
      </c>
      <c r="L316" s="0" t="inlineStr">
        <is>
          <t xml:space="preserve">Clients</t>
        </is>
      </c>
      <c r="M316" s="9"/>
      <c r="N316" s="0">
        <f>IF(M316&lt;&gt;"",M316,L316)</f>
      </c>
      <c r="O316" s="0">
        <f>IFERROR(INDEX(Categories!$B$5:$B$35,MATCH(N316,Categories!$A$5:$A$35,0)),"NA")</f>
      </c>
    </row>
    <row r="317">
      <c r="A317" s="7">
        <v>45858</v>
      </c>
      <c r="B317" s="0" t="inlineStr">
        <is>
          <t xml:space="preserve">2025-S29</t>
        </is>
      </c>
      <c r="C317" s="0" t="inlineStr">
        <is>
          <t xml:space="preserve">2025-07</t>
        </is>
      </c>
      <c r="D317" s="0" t="inlineStr">
        <is>
          <t xml:space="preserve">2025</t>
        </is>
      </c>
      <c r="E317" s="6" t="inlineStr">
        <is>
          <t xml:space="preserve">512000</t>
        </is>
      </c>
      <c r="F317" s="6" t="inlineStr">
        <is>
          <t xml:space="preserve">BQ</t>
        </is>
      </c>
      <c r="G317" s="0" t="inlineStr">
        <is>
          <t xml:space="preserve">BQ00051</t>
        </is>
      </c>
      <c r="H317" s="6" t="inlineStr">
        <is>
          <t xml:space="preserve">445510</t>
        </is>
      </c>
      <c r="I317" s="0" t="inlineStr">
        <is>
          <t xml:space="preserve">Reglement TVA 06/2025</t>
        </is>
      </c>
      <c r="J317" s="0"/>
      <c r="K317" s="8">
        <v>-9474.92</v>
      </c>
      <c r="L317" s="0" t="inlineStr">
        <is>
          <t xml:space="preserve">TVA</t>
        </is>
      </c>
      <c r="M317" s="9"/>
      <c r="N317" s="0">
        <f>IF(M317&lt;&gt;"",M317,L317)</f>
      </c>
      <c r="O317" s="0">
        <f>IFERROR(INDEX(Categories!$B$5:$B$35,MATCH(N317,Categories!$A$5:$A$35,0)),"NA")</f>
      </c>
    </row>
    <row r="318">
      <c r="A318" s="7">
        <v>45859</v>
      </c>
      <c r="B318" s="0" t="inlineStr">
        <is>
          <t xml:space="preserve">2025-S30</t>
        </is>
      </c>
      <c r="C318" s="0" t="inlineStr">
        <is>
          <t xml:space="preserve">2025-07</t>
        </is>
      </c>
      <c r="D318" s="0" t="inlineStr">
        <is>
          <t xml:space="preserve">2025</t>
        </is>
      </c>
      <c r="E318" s="6" t="inlineStr">
        <is>
          <t xml:space="preserve">512000</t>
        </is>
      </c>
      <c r="F318" s="6" t="inlineStr">
        <is>
          <t xml:space="preserve">BQ</t>
        </is>
      </c>
      <c r="G318" s="0" t="inlineStr">
        <is>
          <t xml:space="preserve">BQ00090</t>
        </is>
      </c>
      <c r="H318" s="6" t="inlineStr">
        <is>
          <t xml:space="preserve">411000</t>
        </is>
      </c>
      <c r="I318" s="0" t="inlineStr">
        <is>
          <t xml:space="preserve">Reglement client Coworking Atelier 9 FA2025-0023</t>
        </is>
      </c>
      <c r="J318" s="0" t="inlineStr">
        <is>
          <t xml:space="preserve">Coworking Atelier 9</t>
        </is>
      </c>
      <c r="K318" s="8">
        <v>36208.44</v>
      </c>
      <c r="L318" s="0" t="inlineStr">
        <is>
          <t xml:space="preserve">Clients</t>
        </is>
      </c>
      <c r="M318" s="9"/>
      <c r="N318" s="0">
        <f>IF(M318&lt;&gt;"",M318,L318)</f>
      </c>
      <c r="O318" s="0">
        <f>IFERROR(INDEX(Categories!$B$5:$B$35,MATCH(N318,Categories!$A$5:$A$35,0)),"NA")</f>
      </c>
    </row>
    <row r="319">
      <c r="A319" s="7">
        <v>45862</v>
      </c>
      <c r="B319" s="0" t="inlineStr">
        <is>
          <t xml:space="preserve">2025-S30</t>
        </is>
      </c>
      <c r="C319" s="0" t="inlineStr">
        <is>
          <t xml:space="preserve">2025-07</t>
        </is>
      </c>
      <c r="D319" s="0" t="inlineStr">
        <is>
          <t xml:space="preserve">2025</t>
        </is>
      </c>
      <c r="E319" s="6" t="inlineStr">
        <is>
          <t xml:space="preserve">512000</t>
        </is>
      </c>
      <c r="F319" s="6" t="inlineStr">
        <is>
          <t xml:space="preserve">BQ</t>
        </is>
      </c>
      <c r="G319" s="0" t="inlineStr">
        <is>
          <t xml:space="preserve">BQ00147</t>
        </is>
      </c>
      <c r="H319" s="6" t="inlineStr">
        <is>
          <t xml:space="preserve">401000</t>
        </is>
      </c>
      <c r="I319" s="0" t="inlineStr">
        <is>
          <t xml:space="preserve">Reglement fournisseur Scierie du Nord F001-2025051</t>
        </is>
      </c>
      <c r="J319" s="0" t="inlineStr">
        <is>
          <t xml:space="preserve">Scierie du Nord</t>
        </is>
      </c>
      <c r="K319" s="8">
        <v>-29434.79</v>
      </c>
      <c r="L319" s="0" t="inlineStr">
        <is>
          <t xml:space="preserve">Fournisseurs et charges externes</t>
        </is>
      </c>
      <c r="M319" s="9"/>
      <c r="N319" s="0">
        <f>IF(M319&lt;&gt;"",M319,L319)</f>
      </c>
      <c r="O319" s="0">
        <f>IFERROR(INDEX(Categories!$B$5:$B$35,MATCH(N319,Categories!$A$5:$A$35,0)),"NA")</f>
      </c>
    </row>
    <row r="320">
      <c r="A320" s="7">
        <v>45866</v>
      </c>
      <c r="B320" s="0" t="inlineStr">
        <is>
          <t xml:space="preserve">2025-S31</t>
        </is>
      </c>
      <c r="C320" s="0" t="inlineStr">
        <is>
          <t xml:space="preserve">2025-07</t>
        </is>
      </c>
      <c r="D320" s="0" t="inlineStr">
        <is>
          <t xml:space="preserve">2025</t>
        </is>
      </c>
      <c r="E320" s="6" t="inlineStr">
        <is>
          <t xml:space="preserve">512000</t>
        </is>
      </c>
      <c r="F320" s="6" t="inlineStr">
        <is>
          <t xml:space="preserve">BQ</t>
        </is>
      </c>
      <c r="G320" s="0" t="inlineStr">
        <is>
          <t xml:space="preserve">BQ00089</t>
        </is>
      </c>
      <c r="H320" s="6" t="inlineStr">
        <is>
          <t xml:space="preserve">411000</t>
        </is>
      </c>
      <c r="I320" s="0" t="inlineStr">
        <is>
          <t xml:space="preserve">Reglement client Restaurant Le Comptoir FA2025-0022</t>
        </is>
      </c>
      <c r="J320" s="0" t="inlineStr">
        <is>
          <t xml:space="preserve">Restaurant Le Comptoir</t>
        </is>
      </c>
      <c r="K320" s="8">
        <v>43017.35</v>
      </c>
      <c r="L320" s="0" t="inlineStr">
        <is>
          <t xml:space="preserve">Clients</t>
        </is>
      </c>
      <c r="M320" s="9"/>
      <c r="N320" s="0">
        <f>IF(M320&lt;&gt;"",M320,L320)</f>
      </c>
      <c r="O320" s="0">
        <f>IFERROR(INDEX(Categories!$B$5:$B$35,MATCH(N320,Categories!$A$5:$A$35,0)),"NA")</f>
      </c>
    </row>
    <row r="321">
      <c r="A321" s="7">
        <v>45869</v>
      </c>
      <c r="B321" s="0" t="inlineStr">
        <is>
          <t xml:space="preserve">2025-S31</t>
        </is>
      </c>
      <c r="C321" s="0" t="inlineStr">
        <is>
          <t xml:space="preserve">2025-07</t>
        </is>
      </c>
      <c r="D321" s="0" t="inlineStr">
        <is>
          <t xml:space="preserve">2025</t>
        </is>
      </c>
      <c r="E321" s="6" t="inlineStr">
        <is>
          <t xml:space="preserve">512000</t>
        </is>
      </c>
      <c r="F321" s="6" t="inlineStr">
        <is>
          <t xml:space="preserve">BQ</t>
        </is>
      </c>
      <c r="G321" s="0" t="inlineStr">
        <is>
          <t xml:space="preserve">BQ00019</t>
        </is>
      </c>
      <c r="H321" s="6" t="inlineStr">
        <is>
          <t xml:space="preserve">421000</t>
        </is>
      </c>
      <c r="I321" s="0" t="inlineStr">
        <is>
          <t xml:space="preserve">Virement salaires 07/2025</t>
        </is>
      </c>
      <c r="J321" s="0"/>
      <c r="K321" s="8">
        <v>-39629.34</v>
      </c>
      <c r="L321" s="0" t="inlineStr">
        <is>
          <t xml:space="preserve">Salaires et personnel</t>
        </is>
      </c>
      <c r="M321" s="9"/>
      <c r="N321" s="0">
        <f>IF(M321&lt;&gt;"",M321,L321)</f>
      </c>
      <c r="O321" s="0">
        <f>IFERROR(INDEX(Categories!$B$5:$B$35,MATCH(N321,Categories!$A$5:$A$35,0)),"NA")</f>
      </c>
    </row>
    <row r="322">
      <c r="A322" s="7">
        <v>45869</v>
      </c>
      <c r="B322" s="0" t="inlineStr">
        <is>
          <t xml:space="preserve">2025-S31</t>
        </is>
      </c>
      <c r="C322" s="0" t="inlineStr">
        <is>
          <t xml:space="preserve">2025-07</t>
        </is>
      </c>
      <c r="D322" s="0" t="inlineStr">
        <is>
          <t xml:space="preserve">2025</t>
        </is>
      </c>
      <c r="E322" s="6" t="inlineStr">
        <is>
          <t xml:space="preserve">512000</t>
        </is>
      </c>
      <c r="F322" s="6" t="inlineStr">
        <is>
          <t xml:space="preserve">BQ</t>
        </is>
      </c>
      <c r="G322" s="0" t="inlineStr">
        <is>
          <t xml:space="preserve">BQ00021</t>
        </is>
      </c>
      <c r="H322" s="6" t="inlineStr">
        <is>
          <t xml:space="preserve">627000</t>
        </is>
      </c>
      <c r="I322" s="0" t="inlineStr">
        <is>
          <t xml:space="preserve">Frais bancaires 07/2025</t>
        </is>
      </c>
      <c r="J322" s="0"/>
      <c r="K322" s="8">
        <v>-85</v>
      </c>
      <c r="L322" s="0" t="inlineStr">
        <is>
          <t xml:space="preserve">Frais bancaires</t>
        </is>
      </c>
      <c r="M322" s="9"/>
      <c r="N322" s="0">
        <f>IF(M322&lt;&gt;"",M322,L322)</f>
      </c>
      <c r="O322" s="0">
        <f>IFERROR(INDEX(Categories!$B$5:$B$35,MATCH(N322,Categories!$A$5:$A$35,0)),"NA")</f>
      </c>
    </row>
    <row r="323">
      <c r="A323" s="7">
        <v>45873</v>
      </c>
      <c r="B323" s="0" t="inlineStr">
        <is>
          <t xml:space="preserve">2025-S32</t>
        </is>
      </c>
      <c r="C323" s="0" t="inlineStr">
        <is>
          <t xml:space="preserve">2025-08</t>
        </is>
      </c>
      <c r="D323" s="0" t="inlineStr">
        <is>
          <t xml:space="preserve">2025</t>
        </is>
      </c>
      <c r="E323" s="6" t="inlineStr">
        <is>
          <t xml:space="preserve">512000</t>
        </is>
      </c>
      <c r="F323" s="6" t="inlineStr">
        <is>
          <t xml:space="preserve">BQ</t>
        </is>
      </c>
      <c r="G323" s="0" t="inlineStr">
        <is>
          <t xml:space="preserve">BQ00148</t>
        </is>
      </c>
      <c r="H323" s="6" t="inlineStr">
        <is>
          <t xml:space="preserve">401000</t>
        </is>
      </c>
      <c r="I323" s="0" t="inlineStr">
        <is>
          <t xml:space="preserve">Reglement fournisseur Quincaillerie Pro Est F002-2025052</t>
        </is>
      </c>
      <c r="J323" s="0" t="inlineStr">
        <is>
          <t xml:space="preserve">Quincaillerie Pro Est</t>
        </is>
      </c>
      <c r="K323" s="8">
        <v>-39655.21</v>
      </c>
      <c r="L323" s="0" t="inlineStr">
        <is>
          <t xml:space="preserve">Fournisseurs et charges externes</t>
        </is>
      </c>
      <c r="M323" s="9"/>
      <c r="N323" s="0">
        <f>IF(M323&lt;&gt;"",M323,L323)</f>
      </c>
      <c r="O323" s="0">
        <f>IFERROR(INDEX(Categories!$B$5:$B$35,MATCH(N323,Categories!$A$5:$A$35,0)),"NA")</f>
      </c>
    </row>
    <row r="324">
      <c r="A324" s="7">
        <v>45873</v>
      </c>
      <c r="B324" s="0" t="inlineStr">
        <is>
          <t xml:space="preserve">2025-S32</t>
        </is>
      </c>
      <c r="C324" s="0" t="inlineStr">
        <is>
          <t xml:space="preserve">2025-08</t>
        </is>
      </c>
      <c r="D324" s="0" t="inlineStr">
        <is>
          <t xml:space="preserve">2025</t>
        </is>
      </c>
      <c r="E324" s="6" t="inlineStr">
        <is>
          <t xml:space="preserve">512000</t>
        </is>
      </c>
      <c r="F324" s="6" t="inlineStr">
        <is>
          <t xml:space="preserve">BQ</t>
        </is>
      </c>
      <c r="G324" s="0" t="inlineStr">
        <is>
          <t xml:space="preserve">BQ00161</t>
        </is>
      </c>
      <c r="H324" s="6" t="inlineStr">
        <is>
          <t xml:space="preserve">401000</t>
        </is>
      </c>
      <c r="I324" s="0" t="inlineStr">
        <is>
          <t xml:space="preserve">Reglement fournisseur SCI Les Halles F004-202507</t>
        </is>
      </c>
      <c r="J324" s="0" t="inlineStr">
        <is>
          <t xml:space="preserve">SCI Les Halles</t>
        </is>
      </c>
      <c r="K324" s="8">
        <v>-10200</v>
      </c>
      <c r="L324" s="0" t="inlineStr">
        <is>
          <t xml:space="preserve">Fournisseurs et charges externes</t>
        </is>
      </c>
      <c r="M324" s="9"/>
      <c r="N324" s="0">
        <f>IF(M324&lt;&gt;"",M324,L324)</f>
      </c>
      <c r="O324" s="0">
        <f>IFERROR(INDEX(Categories!$B$5:$B$35,MATCH(N324,Categories!$A$5:$A$35,0)),"NA")</f>
      </c>
    </row>
    <row r="325">
      <c r="A325" s="7">
        <v>45873</v>
      </c>
      <c r="B325" s="0" t="inlineStr">
        <is>
          <t xml:space="preserve">2025-S32</t>
        </is>
      </c>
      <c r="C325" s="0" t="inlineStr">
        <is>
          <t xml:space="preserve">2025-08</t>
        </is>
      </c>
      <c r="D325" s="0" t="inlineStr">
        <is>
          <t xml:space="preserve">2025</t>
        </is>
      </c>
      <c r="E325" s="6" t="inlineStr">
        <is>
          <t xml:space="preserve">512000</t>
        </is>
      </c>
      <c r="F325" s="6" t="inlineStr">
        <is>
          <t xml:space="preserve">BQ</t>
        </is>
      </c>
      <c r="G325" s="0" t="inlineStr">
        <is>
          <t xml:space="preserve">BQ00162</t>
        </is>
      </c>
      <c r="H325" s="6" t="inlineStr">
        <is>
          <t xml:space="preserve">401000</t>
        </is>
      </c>
      <c r="I325" s="0" t="inlineStr">
        <is>
          <t xml:space="preserve">Reglement fournisseur Energie Plus F005-202507</t>
        </is>
      </c>
      <c r="J325" s="0" t="inlineStr">
        <is>
          <t xml:space="preserve">Energie Plus</t>
        </is>
      </c>
      <c r="K325" s="8">
        <v>-4004.28</v>
      </c>
      <c r="L325" s="0" t="inlineStr">
        <is>
          <t xml:space="preserve">Fournisseurs et charges externes</t>
        </is>
      </c>
      <c r="M325" s="9"/>
      <c r="N325" s="0">
        <f>IF(M325&lt;&gt;"",M325,L325)</f>
      </c>
      <c r="O325" s="0">
        <f>IFERROR(INDEX(Categories!$B$5:$B$35,MATCH(N325,Categories!$A$5:$A$35,0)),"NA")</f>
      </c>
    </row>
    <row r="326">
      <c r="A326" s="7">
        <v>45873</v>
      </c>
      <c r="B326" s="0" t="inlineStr">
        <is>
          <t xml:space="preserve">2025-S32</t>
        </is>
      </c>
      <c r="C326" s="0" t="inlineStr">
        <is>
          <t xml:space="preserve">2025-08</t>
        </is>
      </c>
      <c r="D326" s="0" t="inlineStr">
        <is>
          <t xml:space="preserve">2025</t>
        </is>
      </c>
      <c r="E326" s="6" t="inlineStr">
        <is>
          <t xml:space="preserve">512000</t>
        </is>
      </c>
      <c r="F326" s="6" t="inlineStr">
        <is>
          <t xml:space="preserve">BQ</t>
        </is>
      </c>
      <c r="G326" s="0" t="inlineStr">
        <is>
          <t xml:space="preserve">BQ00163</t>
        </is>
      </c>
      <c r="H326" s="6" t="inlineStr">
        <is>
          <t xml:space="preserve">401000</t>
        </is>
      </c>
      <c r="I326" s="0" t="inlineStr">
        <is>
          <t xml:space="preserve">Reglement fournisseur Telecom Pro F008-202507</t>
        </is>
      </c>
      <c r="J326" s="0" t="inlineStr">
        <is>
          <t xml:space="preserve">Telecom Pro</t>
        </is>
      </c>
      <c r="K326" s="8">
        <v>-576</v>
      </c>
      <c r="L326" s="0" t="inlineStr">
        <is>
          <t xml:space="preserve">Fournisseurs et charges externes</t>
        </is>
      </c>
      <c r="M326" s="9"/>
      <c r="N326" s="0">
        <f>IF(M326&lt;&gt;"",M326,L326)</f>
      </c>
      <c r="O326" s="0">
        <f>IFERROR(INDEX(Categories!$B$5:$B$35,MATCH(N326,Categories!$A$5:$A$35,0)),"NA")</f>
      </c>
    </row>
    <row r="327">
      <c r="A327" s="7">
        <v>45873</v>
      </c>
      <c r="B327" s="0" t="inlineStr">
        <is>
          <t xml:space="preserve">2025-S32</t>
        </is>
      </c>
      <c r="C327" s="0" t="inlineStr">
        <is>
          <t xml:space="preserve">2025-08</t>
        </is>
      </c>
      <c r="D327" s="0" t="inlineStr">
        <is>
          <t xml:space="preserve">2025</t>
        </is>
      </c>
      <c r="E327" s="6" t="inlineStr">
        <is>
          <t xml:space="preserve">512000</t>
        </is>
      </c>
      <c r="F327" s="6" t="inlineStr">
        <is>
          <t xml:space="preserve">BQ</t>
        </is>
      </c>
      <c r="G327" s="0" t="inlineStr">
        <is>
          <t xml:space="preserve">BQ00164</t>
        </is>
      </c>
      <c r="H327" s="6" t="inlineStr">
        <is>
          <t xml:space="preserve">401000</t>
        </is>
      </c>
      <c r="I327" s="0" t="inlineStr">
        <is>
          <t xml:space="preserve">Reglement fournisseur Assurances Mutuelles Exemple F006-202507</t>
        </is>
      </c>
      <c r="J327" s="0" t="inlineStr">
        <is>
          <t xml:space="preserve">Assurances Mutuelles Exemple</t>
        </is>
      </c>
      <c r="K327" s="8">
        <v>-3000</v>
      </c>
      <c r="L327" s="0" t="inlineStr">
        <is>
          <t xml:space="preserve">Fournisseurs et charges externes</t>
        </is>
      </c>
      <c r="M327" s="9"/>
      <c r="N327" s="0">
        <f>IF(M327&lt;&gt;"",M327,L327)</f>
      </c>
      <c r="O327" s="0">
        <f>IFERROR(INDEX(Categories!$B$5:$B$35,MATCH(N327,Categories!$A$5:$A$35,0)),"NA")</f>
      </c>
    </row>
    <row r="328">
      <c r="A328" s="7">
        <v>45879</v>
      </c>
      <c r="B328" s="0" t="inlineStr">
        <is>
          <t xml:space="preserve">2025-S32</t>
        </is>
      </c>
      <c r="C328" s="0" t="inlineStr">
        <is>
          <t xml:space="preserve">2025-08</t>
        </is>
      </c>
      <c r="D328" s="0" t="inlineStr">
        <is>
          <t xml:space="preserve">2025</t>
        </is>
      </c>
      <c r="E328" s="6" t="inlineStr">
        <is>
          <t xml:space="preserve">512000</t>
        </is>
      </c>
      <c r="F328" s="6" t="inlineStr">
        <is>
          <t xml:space="preserve">BQ</t>
        </is>
      </c>
      <c r="G328" s="0" t="inlineStr">
        <is>
          <t xml:space="preserve">BQ00023</t>
        </is>
      </c>
      <c r="H328" s="6" t="inlineStr">
        <is>
          <t xml:space="preserve">164000</t>
        </is>
      </c>
      <c r="I328" s="0" t="inlineStr">
        <is>
          <t xml:space="preserve">Echeance emprunt 08/2025</t>
        </is>
      </c>
      <c r="J328" s="0"/>
      <c r="K328" s="8">
        <v>-2000</v>
      </c>
      <c r="L328" s="0" t="inlineStr">
        <is>
          <t xml:space="preserve">Emprunts - capital</t>
        </is>
      </c>
      <c r="M328" s="9"/>
      <c r="N328" s="0">
        <f>IF(M328&lt;&gt;"",M328,L328)</f>
      </c>
      <c r="O328" s="0">
        <f>IFERROR(INDEX(Categories!$B$5:$B$35,MATCH(N328,Categories!$A$5:$A$35,0)),"NA")</f>
      </c>
    </row>
    <row r="329">
      <c r="A329" s="7">
        <v>45879</v>
      </c>
      <c r="B329" s="0" t="inlineStr">
        <is>
          <t xml:space="preserve">2025-S32</t>
        </is>
      </c>
      <c r="C329" s="0" t="inlineStr">
        <is>
          <t xml:space="preserve">2025-08</t>
        </is>
      </c>
      <c r="D329" s="0" t="inlineStr">
        <is>
          <t xml:space="preserve">2025</t>
        </is>
      </c>
      <c r="E329" s="6" t="inlineStr">
        <is>
          <t xml:space="preserve">512000</t>
        </is>
      </c>
      <c r="F329" s="6" t="inlineStr">
        <is>
          <t xml:space="preserve">BQ</t>
        </is>
      </c>
      <c r="G329" s="0" t="inlineStr">
        <is>
          <t xml:space="preserve">BQ00023</t>
        </is>
      </c>
      <c r="H329" s="6" t="inlineStr">
        <is>
          <t xml:space="preserve">661100</t>
        </is>
      </c>
      <c r="I329" s="0" t="inlineStr">
        <is>
          <t xml:space="preserve">Echeance emprunt 08/2025</t>
        </is>
      </c>
      <c r="J329" s="0"/>
      <c r="K329" s="8">
        <v>-173.33</v>
      </c>
      <c r="L329" s="0" t="inlineStr">
        <is>
          <t xml:space="preserve">Intérêts et charges financières</t>
        </is>
      </c>
      <c r="M329" s="9"/>
      <c r="N329" s="0">
        <f>IF(M329&lt;&gt;"",M329,L329)</f>
      </c>
      <c r="O329" s="0">
        <f>IFERROR(INDEX(Categories!$B$5:$B$35,MATCH(N329,Categories!$A$5:$A$35,0)),"NA")</f>
      </c>
    </row>
    <row r="330">
      <c r="A330" s="7">
        <v>45880</v>
      </c>
      <c r="B330" s="0" t="inlineStr">
        <is>
          <t xml:space="preserve">2025-S33</t>
        </is>
      </c>
      <c r="C330" s="0" t="inlineStr">
        <is>
          <t xml:space="preserve">2025-08</t>
        </is>
      </c>
      <c r="D330" s="0" t="inlineStr">
        <is>
          <t xml:space="preserve">2025</t>
        </is>
      </c>
      <c r="E330" s="6" t="inlineStr">
        <is>
          <t xml:space="preserve">512000</t>
        </is>
      </c>
      <c r="F330" s="6" t="inlineStr">
        <is>
          <t xml:space="preserve">BQ</t>
        </is>
      </c>
      <c r="G330" s="0" t="inlineStr">
        <is>
          <t xml:space="preserve">BQ00153</t>
        </is>
      </c>
      <c r="H330" s="6" t="inlineStr">
        <is>
          <t xml:space="preserve">401000</t>
        </is>
      </c>
      <c r="I330" s="0" t="inlineStr">
        <is>
          <t xml:space="preserve">Reglement fournisseur Scierie du Nord F001-2025062</t>
        </is>
      </c>
      <c r="J330" s="0" t="inlineStr">
        <is>
          <t xml:space="preserve">Scierie du Nord</t>
        </is>
      </c>
      <c r="K330" s="8">
        <v>-36256.5</v>
      </c>
      <c r="L330" s="0" t="inlineStr">
        <is>
          <t xml:space="preserve">Fournisseurs et charges externes</t>
        </is>
      </c>
      <c r="M330" s="9"/>
      <c r="N330" s="0">
        <f>IF(M330&lt;&gt;"",M330,L330)</f>
      </c>
      <c r="O330" s="0">
        <f>IFERROR(INDEX(Categories!$B$5:$B$35,MATCH(N330,Categories!$A$5:$A$35,0)),"NA")</f>
      </c>
    </row>
    <row r="331">
      <c r="A331" s="7">
        <v>45884</v>
      </c>
      <c r="B331" s="0" t="inlineStr">
        <is>
          <t xml:space="preserve">2025-S33</t>
        </is>
      </c>
      <c r="C331" s="0" t="inlineStr">
        <is>
          <t xml:space="preserve">2025-08</t>
        </is>
      </c>
      <c r="D331" s="0" t="inlineStr">
        <is>
          <t xml:space="preserve">2025</t>
        </is>
      </c>
      <c r="E331" s="6" t="inlineStr">
        <is>
          <t xml:space="preserve">512000</t>
        </is>
      </c>
      <c r="F331" s="6" t="inlineStr">
        <is>
          <t xml:space="preserve">BQ</t>
        </is>
      </c>
      <c r="G331" s="0" t="inlineStr">
        <is>
          <t xml:space="preserve">BQ00052</t>
        </is>
      </c>
      <c r="H331" s="6" t="inlineStr">
        <is>
          <t xml:space="preserve">431000</t>
        </is>
      </c>
      <c r="I331" s="0" t="inlineStr">
        <is>
          <t xml:space="preserve">Reglement URSSAF 07/2025</t>
        </is>
      </c>
      <c r="J331" s="0"/>
      <c r="K331" s="8">
        <v>-32516.39</v>
      </c>
      <c r="L331" s="0" t="inlineStr">
        <is>
          <t xml:space="preserve">Charges sociales</t>
        </is>
      </c>
      <c r="M331" s="9"/>
      <c r="N331" s="0">
        <f>IF(M331&lt;&gt;"",M331,L331)</f>
      </c>
      <c r="O331" s="0">
        <f>IFERROR(INDEX(Categories!$B$5:$B$35,MATCH(N331,Categories!$A$5:$A$35,0)),"NA")</f>
      </c>
    </row>
    <row r="332">
      <c r="A332" s="7">
        <v>45887</v>
      </c>
      <c r="B332" s="0" t="inlineStr">
        <is>
          <t xml:space="preserve">2025-S34</t>
        </is>
      </c>
      <c r="C332" s="0" t="inlineStr">
        <is>
          <t xml:space="preserve">2025-08</t>
        </is>
      </c>
      <c r="D332" s="0" t="inlineStr">
        <is>
          <t xml:space="preserve">2025</t>
        </is>
      </c>
      <c r="E332" s="6" t="inlineStr">
        <is>
          <t xml:space="preserve">512000</t>
        </is>
      </c>
      <c r="F332" s="6" t="inlineStr">
        <is>
          <t xml:space="preserve">BQ</t>
        </is>
      </c>
      <c r="G332" s="0" t="inlineStr">
        <is>
          <t xml:space="preserve">BQ00091</t>
        </is>
      </c>
      <c r="H332" s="6" t="inlineStr">
        <is>
          <t xml:space="preserve">411000</t>
        </is>
      </c>
      <c r="I332" s="0" t="inlineStr">
        <is>
          <t xml:space="preserve">Reglement client Coworking Atelier 9 FA2025-0024</t>
        </is>
      </c>
      <c r="J332" s="0" t="inlineStr">
        <is>
          <t xml:space="preserve">Coworking Atelier 9</t>
        </is>
      </c>
      <c r="K332" s="8">
        <v>34265.09</v>
      </c>
      <c r="L332" s="0" t="inlineStr">
        <is>
          <t xml:space="preserve">Clients</t>
        </is>
      </c>
      <c r="M332" s="9"/>
      <c r="N332" s="0">
        <f>IF(M332&lt;&gt;"",M332,L332)</f>
      </c>
      <c r="O332" s="0">
        <f>IFERROR(INDEX(Categories!$B$5:$B$35,MATCH(N332,Categories!$A$5:$A$35,0)),"NA")</f>
      </c>
    </row>
    <row r="333">
      <c r="A333" s="7">
        <v>45887</v>
      </c>
      <c r="B333" s="0" t="inlineStr">
        <is>
          <t xml:space="preserve">2025-S34</t>
        </is>
      </c>
      <c r="C333" s="0" t="inlineStr">
        <is>
          <t xml:space="preserve">2025-08</t>
        </is>
      </c>
      <c r="D333" s="0" t="inlineStr">
        <is>
          <t xml:space="preserve">2025</t>
        </is>
      </c>
      <c r="E333" s="6" t="inlineStr">
        <is>
          <t xml:space="preserve">512000</t>
        </is>
      </c>
      <c r="F333" s="6" t="inlineStr">
        <is>
          <t xml:space="preserve">BQ</t>
        </is>
      </c>
      <c r="G333" s="0" t="inlineStr">
        <is>
          <t xml:space="preserve">BQ00092</t>
        </is>
      </c>
      <c r="H333" s="6" t="inlineStr">
        <is>
          <t xml:space="preserve">411000</t>
        </is>
      </c>
      <c r="I333" s="0" t="inlineStr">
        <is>
          <t xml:space="preserve">Reglement client Coworking Atelier 9 FA2025-0025</t>
        </is>
      </c>
      <c r="J333" s="0" t="inlineStr">
        <is>
          <t xml:space="preserve">Coworking Atelier 9</t>
        </is>
      </c>
      <c r="K333" s="8">
        <v>22533.72</v>
      </c>
      <c r="L333" s="0" t="inlineStr">
        <is>
          <t xml:space="preserve">Clients</t>
        </is>
      </c>
      <c r="M333" s="9"/>
      <c r="N333" s="0">
        <f>IF(M333&lt;&gt;"",M333,L333)</f>
      </c>
      <c r="O333" s="0">
        <f>IFERROR(INDEX(Categories!$B$5:$B$35,MATCH(N333,Categories!$A$5:$A$35,0)),"NA")</f>
      </c>
    </row>
    <row r="334">
      <c r="A334" s="7">
        <v>45889</v>
      </c>
      <c r="B334" s="0" t="inlineStr">
        <is>
          <t xml:space="preserve">2025-S34</t>
        </is>
      </c>
      <c r="C334" s="0" t="inlineStr">
        <is>
          <t xml:space="preserve">2025-08</t>
        </is>
      </c>
      <c r="D334" s="0" t="inlineStr">
        <is>
          <t xml:space="preserve">2025</t>
        </is>
      </c>
      <c r="E334" s="6" t="inlineStr">
        <is>
          <t xml:space="preserve">512000</t>
        </is>
      </c>
      <c r="F334" s="6" t="inlineStr">
        <is>
          <t xml:space="preserve">BQ</t>
        </is>
      </c>
      <c r="G334" s="0" t="inlineStr">
        <is>
          <t xml:space="preserve">BQ00053</t>
        </is>
      </c>
      <c r="H334" s="6" t="inlineStr">
        <is>
          <t xml:space="preserve">445510</t>
        </is>
      </c>
      <c r="I334" s="0" t="inlineStr">
        <is>
          <t xml:space="preserve">Reglement TVA 07/2025</t>
        </is>
      </c>
      <c r="J334" s="0"/>
      <c r="K334" s="8">
        <v>-9284.96</v>
      </c>
      <c r="L334" s="0" t="inlineStr">
        <is>
          <t xml:space="preserve">TVA</t>
        </is>
      </c>
      <c r="M334" s="9"/>
      <c r="N334" s="0">
        <f>IF(M334&lt;&gt;"",M334,L334)</f>
      </c>
      <c r="O334" s="0">
        <f>IFERROR(INDEX(Categories!$B$5:$B$35,MATCH(N334,Categories!$A$5:$A$35,0)),"NA")</f>
      </c>
    </row>
    <row r="335">
      <c r="A335" s="7">
        <v>45891</v>
      </c>
      <c r="B335" s="0" t="inlineStr">
        <is>
          <t xml:space="preserve">2025-S34</t>
        </is>
      </c>
      <c r="C335" s="0" t="inlineStr">
        <is>
          <t xml:space="preserve">2025-08</t>
        </is>
      </c>
      <c r="D335" s="0" t="inlineStr">
        <is>
          <t xml:space="preserve">2025</t>
        </is>
      </c>
      <c r="E335" s="6" t="inlineStr">
        <is>
          <t xml:space="preserve">512000</t>
        </is>
      </c>
      <c r="F335" s="6" t="inlineStr">
        <is>
          <t xml:space="preserve">BQ</t>
        </is>
      </c>
      <c r="G335" s="0" t="inlineStr">
        <is>
          <t xml:space="preserve">BQ00094</t>
        </is>
      </c>
      <c r="H335" s="6" t="inlineStr">
        <is>
          <t xml:space="preserve">411000</t>
        </is>
      </c>
      <c r="I335" s="0" t="inlineStr">
        <is>
          <t xml:space="preserve">Reglement client Cabinet Varenne Associes FA2025-0027</t>
        </is>
      </c>
      <c r="J335" s="0" t="inlineStr">
        <is>
          <t xml:space="preserve">Cabinet Varenne Associes</t>
        </is>
      </c>
      <c r="K335" s="8">
        <v>29168.32</v>
      </c>
      <c r="L335" s="0" t="inlineStr">
        <is>
          <t xml:space="preserve">Clients</t>
        </is>
      </c>
      <c r="M335" s="9"/>
      <c r="N335" s="0">
        <f>IF(M335&lt;&gt;"",M335,L335)</f>
      </c>
      <c r="O335" s="0">
        <f>IFERROR(INDEX(Categories!$B$5:$B$35,MATCH(N335,Categories!$A$5:$A$35,0)),"NA")</f>
      </c>
    </row>
    <row r="336">
      <c r="A336" s="7">
        <v>45896</v>
      </c>
      <c r="B336" s="0" t="inlineStr">
        <is>
          <t xml:space="preserve">2025-S35</t>
        </is>
      </c>
      <c r="C336" s="0" t="inlineStr">
        <is>
          <t xml:space="preserve">2025-08</t>
        </is>
      </c>
      <c r="D336" s="0" t="inlineStr">
        <is>
          <t xml:space="preserve">2025</t>
        </is>
      </c>
      <c r="E336" s="6" t="inlineStr">
        <is>
          <t xml:space="preserve">512000</t>
        </is>
      </c>
      <c r="F336" s="6" t="inlineStr">
        <is>
          <t xml:space="preserve">BQ</t>
        </is>
      </c>
      <c r="G336" s="0" t="inlineStr">
        <is>
          <t xml:space="preserve">BQ00152</t>
        </is>
      </c>
      <c r="H336" s="6" t="inlineStr">
        <is>
          <t xml:space="preserve">401000</t>
        </is>
      </c>
      <c r="I336" s="0" t="inlineStr">
        <is>
          <t xml:space="preserve">Reglement fournisseur Vernis et Finitions F003-2025061</t>
        </is>
      </c>
      <c r="J336" s="0" t="inlineStr">
        <is>
          <t xml:space="preserve">Vernis et Finitions</t>
        </is>
      </c>
      <c r="K336" s="8">
        <v>-32833.5</v>
      </c>
      <c r="L336" s="0" t="inlineStr">
        <is>
          <t xml:space="preserve">Fournisseurs et charges externes</t>
        </is>
      </c>
      <c r="M336" s="9"/>
      <c r="N336" s="0">
        <f>IF(M336&lt;&gt;"",M336,L336)</f>
      </c>
      <c r="O336" s="0">
        <f>IFERROR(INDEX(Categories!$B$5:$B$35,MATCH(N336,Categories!$A$5:$A$35,0)),"NA")</f>
      </c>
    </row>
    <row r="337">
      <c r="A337" s="7">
        <v>45900</v>
      </c>
      <c r="B337" s="0" t="inlineStr">
        <is>
          <t xml:space="preserve">2025-S35</t>
        </is>
      </c>
      <c r="C337" s="0" t="inlineStr">
        <is>
          <t xml:space="preserve">2025-08</t>
        </is>
      </c>
      <c r="D337" s="0" t="inlineStr">
        <is>
          <t xml:space="preserve">2025</t>
        </is>
      </c>
      <c r="E337" s="6" t="inlineStr">
        <is>
          <t xml:space="preserve">512000</t>
        </is>
      </c>
      <c r="F337" s="6" t="inlineStr">
        <is>
          <t xml:space="preserve">BQ</t>
        </is>
      </c>
      <c r="G337" s="0" t="inlineStr">
        <is>
          <t xml:space="preserve">BQ00022</t>
        </is>
      </c>
      <c r="H337" s="6" t="inlineStr">
        <is>
          <t xml:space="preserve">421000</t>
        </is>
      </c>
      <c r="I337" s="0" t="inlineStr">
        <is>
          <t xml:space="preserve">Virement salaires 08/2025</t>
        </is>
      </c>
      <c r="J337" s="0"/>
      <c r="K337" s="8">
        <v>-38466.44</v>
      </c>
      <c r="L337" s="0" t="inlineStr">
        <is>
          <t xml:space="preserve">Salaires et personnel</t>
        </is>
      </c>
      <c r="M337" s="9"/>
      <c r="N337" s="0">
        <f>IF(M337&lt;&gt;"",M337,L337)</f>
      </c>
      <c r="O337" s="0">
        <f>IFERROR(INDEX(Categories!$B$5:$B$35,MATCH(N337,Categories!$A$5:$A$35,0)),"NA")</f>
      </c>
    </row>
    <row r="338">
      <c r="A338" s="7">
        <v>45900</v>
      </c>
      <c r="B338" s="0" t="inlineStr">
        <is>
          <t xml:space="preserve">2025-S35</t>
        </is>
      </c>
      <c r="C338" s="0" t="inlineStr">
        <is>
          <t xml:space="preserve">2025-08</t>
        </is>
      </c>
      <c r="D338" s="0" t="inlineStr">
        <is>
          <t xml:space="preserve">2025</t>
        </is>
      </c>
      <c r="E338" s="6" t="inlineStr">
        <is>
          <t xml:space="preserve">512000</t>
        </is>
      </c>
      <c r="F338" s="6" t="inlineStr">
        <is>
          <t xml:space="preserve">BQ</t>
        </is>
      </c>
      <c r="G338" s="0" t="inlineStr">
        <is>
          <t xml:space="preserve">BQ00024</t>
        </is>
      </c>
      <c r="H338" s="6" t="inlineStr">
        <is>
          <t xml:space="preserve">627000</t>
        </is>
      </c>
      <c r="I338" s="0" t="inlineStr">
        <is>
          <t xml:space="preserve">Frais bancaires 08/2025</t>
        </is>
      </c>
      <c r="J338" s="0"/>
      <c r="K338" s="8">
        <v>-85</v>
      </c>
      <c r="L338" s="0" t="inlineStr">
        <is>
          <t xml:space="preserve">Frais bancaires</t>
        </is>
      </c>
      <c r="M338" s="9"/>
      <c r="N338" s="0">
        <f>IF(M338&lt;&gt;"",M338,L338)</f>
      </c>
      <c r="O338" s="0">
        <f>IFERROR(INDEX(Categories!$B$5:$B$35,MATCH(N338,Categories!$A$5:$A$35,0)),"NA")</f>
      </c>
    </row>
    <row r="339">
      <c r="A339" s="7">
        <v>45903</v>
      </c>
      <c r="B339" s="0" t="inlineStr">
        <is>
          <t xml:space="preserve">2025-S36</t>
        </is>
      </c>
      <c r="C339" s="0" t="inlineStr">
        <is>
          <t xml:space="preserve">2025-09</t>
        </is>
      </c>
      <c r="D339" s="0" t="inlineStr">
        <is>
          <t xml:space="preserve">2025</t>
        </is>
      </c>
      <c r="E339" s="6" t="inlineStr">
        <is>
          <t xml:space="preserve">512000</t>
        </is>
      </c>
      <c r="F339" s="6" t="inlineStr">
        <is>
          <t xml:space="preserve">BQ</t>
        </is>
      </c>
      <c r="G339" s="0" t="inlineStr">
        <is>
          <t xml:space="preserve">BQ00093</t>
        </is>
      </c>
      <c r="H339" s="6" t="inlineStr">
        <is>
          <t xml:space="preserve">411000</t>
        </is>
      </c>
      <c r="I339" s="0" t="inlineStr">
        <is>
          <t xml:space="preserve">Reglement client Boutique Hetre et Chene FA2025-0026</t>
        </is>
      </c>
      <c r="J339" s="0" t="inlineStr">
        <is>
          <t xml:space="preserve">Boutique Hetre et Chene</t>
        </is>
      </c>
      <c r="K339" s="8">
        <v>22876.62</v>
      </c>
      <c r="L339" s="0" t="inlineStr">
        <is>
          <t xml:space="preserve">Clients</t>
        </is>
      </c>
      <c r="M339" s="9"/>
      <c r="N339" s="0">
        <f>IF(M339&lt;&gt;"",M339,L339)</f>
      </c>
      <c r="O339" s="0">
        <f>IFERROR(INDEX(Categories!$B$5:$B$35,MATCH(N339,Categories!$A$5:$A$35,0)),"NA")</f>
      </c>
    </row>
    <row r="340">
      <c r="A340" s="7">
        <v>45903</v>
      </c>
      <c r="B340" s="0" t="inlineStr">
        <is>
          <t xml:space="preserve">2025-S36</t>
        </is>
      </c>
      <c r="C340" s="0" t="inlineStr">
        <is>
          <t xml:space="preserve">2025-09</t>
        </is>
      </c>
      <c r="D340" s="0" t="inlineStr">
        <is>
          <t xml:space="preserve">2025</t>
        </is>
      </c>
      <c r="E340" s="6" t="inlineStr">
        <is>
          <t xml:space="preserve">512000</t>
        </is>
      </c>
      <c r="F340" s="6" t="inlineStr">
        <is>
          <t xml:space="preserve">BQ</t>
        </is>
      </c>
      <c r="G340" s="0" t="inlineStr">
        <is>
          <t xml:space="preserve">BQ00158</t>
        </is>
      </c>
      <c r="H340" s="6" t="inlineStr">
        <is>
          <t xml:space="preserve">401000</t>
        </is>
      </c>
      <c r="I340" s="0" t="inlineStr">
        <is>
          <t xml:space="preserve">Reglement fournisseur Quincaillerie Pro Est F002-2025071</t>
        </is>
      </c>
      <c r="J340" s="0" t="inlineStr">
        <is>
          <t xml:space="preserve">Quincaillerie Pro Est</t>
        </is>
      </c>
      <c r="K340" s="8">
        <v>-28472.06</v>
      </c>
      <c r="L340" s="0" t="inlineStr">
        <is>
          <t xml:space="preserve">Fournisseurs et charges externes</t>
        </is>
      </c>
      <c r="M340" s="9"/>
      <c r="N340" s="0">
        <f>IF(M340&lt;&gt;"",M340,L340)</f>
      </c>
      <c r="O340" s="0">
        <f>IFERROR(INDEX(Categories!$B$5:$B$35,MATCH(N340,Categories!$A$5:$A$35,0)),"NA")</f>
      </c>
    </row>
    <row r="341">
      <c r="A341" s="7">
        <v>45904</v>
      </c>
      <c r="B341" s="0" t="inlineStr">
        <is>
          <t xml:space="preserve">2025-S36</t>
        </is>
      </c>
      <c r="C341" s="0" t="inlineStr">
        <is>
          <t xml:space="preserve">2025-09</t>
        </is>
      </c>
      <c r="D341" s="0" t="inlineStr">
        <is>
          <t xml:space="preserve">2025</t>
        </is>
      </c>
      <c r="E341" s="6" t="inlineStr">
        <is>
          <t xml:space="preserve">512000</t>
        </is>
      </c>
      <c r="F341" s="6" t="inlineStr">
        <is>
          <t xml:space="preserve">BQ</t>
        </is>
      </c>
      <c r="G341" s="0" t="inlineStr">
        <is>
          <t xml:space="preserve">BQ00095</t>
        </is>
      </c>
      <c r="H341" s="6" t="inlineStr">
        <is>
          <t xml:space="preserve">411000</t>
        </is>
      </c>
      <c r="I341" s="0" t="inlineStr">
        <is>
          <t xml:space="preserve">Reglement client Boutique Hetre et Chene FA2025-0028</t>
        </is>
      </c>
      <c r="J341" s="0" t="inlineStr">
        <is>
          <t xml:space="preserve">Boutique Hetre et Chene</t>
        </is>
      </c>
      <c r="K341" s="8">
        <v>38156.26</v>
      </c>
      <c r="L341" s="0" t="inlineStr">
        <is>
          <t xml:space="preserve">Clients</t>
        </is>
      </c>
      <c r="M341" s="9"/>
      <c r="N341" s="0">
        <f>IF(M341&lt;&gt;"",M341,L341)</f>
      </c>
      <c r="O341" s="0">
        <f>IFERROR(INDEX(Categories!$B$5:$B$35,MATCH(N341,Categories!$A$5:$A$35,0)),"NA")</f>
      </c>
    </row>
    <row r="342">
      <c r="A342" s="7">
        <v>45904</v>
      </c>
      <c r="B342" s="0" t="inlineStr">
        <is>
          <t xml:space="preserve">2025-S36</t>
        </is>
      </c>
      <c r="C342" s="0" t="inlineStr">
        <is>
          <t xml:space="preserve">2025-09</t>
        </is>
      </c>
      <c r="D342" s="0" t="inlineStr">
        <is>
          <t xml:space="preserve">2025</t>
        </is>
      </c>
      <c r="E342" s="6" t="inlineStr">
        <is>
          <t xml:space="preserve">512000</t>
        </is>
      </c>
      <c r="F342" s="6" t="inlineStr">
        <is>
          <t xml:space="preserve">BQ</t>
        </is>
      </c>
      <c r="G342" s="0" t="inlineStr">
        <is>
          <t xml:space="preserve">BQ00167</t>
        </is>
      </c>
      <c r="H342" s="6" t="inlineStr">
        <is>
          <t xml:space="preserve">401000</t>
        </is>
      </c>
      <c r="I342" s="0" t="inlineStr">
        <is>
          <t xml:space="preserve">Reglement fournisseur SCI Les Halles F004-202508</t>
        </is>
      </c>
      <c r="J342" s="0" t="inlineStr">
        <is>
          <t xml:space="preserve">SCI Les Halles</t>
        </is>
      </c>
      <c r="K342" s="8">
        <v>-10200</v>
      </c>
      <c r="L342" s="0" t="inlineStr">
        <is>
          <t xml:space="preserve">Fournisseurs et charges externes</t>
        </is>
      </c>
      <c r="M342" s="9"/>
      <c r="N342" s="0">
        <f>IF(M342&lt;&gt;"",M342,L342)</f>
      </c>
      <c r="O342" s="0">
        <f>IFERROR(INDEX(Categories!$B$5:$B$35,MATCH(N342,Categories!$A$5:$A$35,0)),"NA")</f>
      </c>
    </row>
    <row r="343">
      <c r="A343" s="7">
        <v>45904</v>
      </c>
      <c r="B343" s="0" t="inlineStr">
        <is>
          <t xml:space="preserve">2025-S36</t>
        </is>
      </c>
      <c r="C343" s="0" t="inlineStr">
        <is>
          <t xml:space="preserve">2025-09</t>
        </is>
      </c>
      <c r="D343" s="0" t="inlineStr">
        <is>
          <t xml:space="preserve">2025</t>
        </is>
      </c>
      <c r="E343" s="6" t="inlineStr">
        <is>
          <t xml:space="preserve">512000</t>
        </is>
      </c>
      <c r="F343" s="6" t="inlineStr">
        <is>
          <t xml:space="preserve">BQ</t>
        </is>
      </c>
      <c r="G343" s="0" t="inlineStr">
        <is>
          <t xml:space="preserve">BQ00168</t>
        </is>
      </c>
      <c r="H343" s="6" t="inlineStr">
        <is>
          <t xml:space="preserve">401000</t>
        </is>
      </c>
      <c r="I343" s="0" t="inlineStr">
        <is>
          <t xml:space="preserve">Reglement fournisseur Energie Plus F005-202508</t>
        </is>
      </c>
      <c r="J343" s="0" t="inlineStr">
        <is>
          <t xml:space="preserve">Energie Plus</t>
        </is>
      </c>
      <c r="K343" s="8">
        <v>-3977.72</v>
      </c>
      <c r="L343" s="0" t="inlineStr">
        <is>
          <t xml:space="preserve">Fournisseurs et charges externes</t>
        </is>
      </c>
      <c r="M343" s="9"/>
      <c r="N343" s="0">
        <f>IF(M343&lt;&gt;"",M343,L343)</f>
      </c>
      <c r="O343" s="0">
        <f>IFERROR(INDEX(Categories!$B$5:$B$35,MATCH(N343,Categories!$A$5:$A$35,0)),"NA")</f>
      </c>
    </row>
    <row r="344">
      <c r="A344" s="7">
        <v>45904</v>
      </c>
      <c r="B344" s="0" t="inlineStr">
        <is>
          <t xml:space="preserve">2025-S36</t>
        </is>
      </c>
      <c r="C344" s="0" t="inlineStr">
        <is>
          <t xml:space="preserve">2025-09</t>
        </is>
      </c>
      <c r="D344" s="0" t="inlineStr">
        <is>
          <t xml:space="preserve">2025</t>
        </is>
      </c>
      <c r="E344" s="6" t="inlineStr">
        <is>
          <t xml:space="preserve">512000</t>
        </is>
      </c>
      <c r="F344" s="6" t="inlineStr">
        <is>
          <t xml:space="preserve">BQ</t>
        </is>
      </c>
      <c r="G344" s="0" t="inlineStr">
        <is>
          <t xml:space="preserve">BQ00169</t>
        </is>
      </c>
      <c r="H344" s="6" t="inlineStr">
        <is>
          <t xml:space="preserve">401000</t>
        </is>
      </c>
      <c r="I344" s="0" t="inlineStr">
        <is>
          <t xml:space="preserve">Reglement fournisseur Telecom Pro F008-202508</t>
        </is>
      </c>
      <c r="J344" s="0" t="inlineStr">
        <is>
          <t xml:space="preserve">Telecom Pro</t>
        </is>
      </c>
      <c r="K344" s="8">
        <v>-576</v>
      </c>
      <c r="L344" s="0" t="inlineStr">
        <is>
          <t xml:space="preserve">Fournisseurs et charges externes</t>
        </is>
      </c>
      <c r="M344" s="9"/>
      <c r="N344" s="0">
        <f>IF(M344&lt;&gt;"",M344,L344)</f>
      </c>
      <c r="O344" s="0">
        <f>IFERROR(INDEX(Categories!$B$5:$B$35,MATCH(N344,Categories!$A$5:$A$35,0)),"NA")</f>
      </c>
    </row>
    <row r="345">
      <c r="A345" s="7">
        <v>45908</v>
      </c>
      <c r="B345" s="0" t="inlineStr">
        <is>
          <t xml:space="preserve">2025-S37</t>
        </is>
      </c>
      <c r="C345" s="0" t="inlineStr">
        <is>
          <t xml:space="preserve">2025-09</t>
        </is>
      </c>
      <c r="D345" s="0" t="inlineStr">
        <is>
          <t xml:space="preserve">2025</t>
        </is>
      </c>
      <c r="E345" s="6" t="inlineStr">
        <is>
          <t xml:space="preserve">512000</t>
        </is>
      </c>
      <c r="F345" s="6" t="inlineStr">
        <is>
          <t xml:space="preserve">BQ</t>
        </is>
      </c>
      <c r="G345" s="0" t="inlineStr">
        <is>
          <t xml:space="preserve">BQ00096</t>
        </is>
      </c>
      <c r="H345" s="6" t="inlineStr">
        <is>
          <t xml:space="preserve">411000</t>
        </is>
      </c>
      <c r="I345" s="0" t="inlineStr">
        <is>
          <t xml:space="preserve">Reglement client Residence Bel Air FA2025-0029</t>
        </is>
      </c>
      <c r="J345" s="0" t="inlineStr">
        <is>
          <t xml:space="preserve">Residence Bel Air</t>
        </is>
      </c>
      <c r="K345" s="8">
        <v>31143.24</v>
      </c>
      <c r="L345" s="0" t="inlineStr">
        <is>
          <t xml:space="preserve">Clients</t>
        </is>
      </c>
      <c r="M345" s="9"/>
      <c r="N345" s="0">
        <f>IF(M345&lt;&gt;"",M345,L345)</f>
      </c>
      <c r="O345" s="0">
        <f>IFERROR(INDEX(Categories!$B$5:$B$35,MATCH(N345,Categories!$A$5:$A$35,0)),"NA")</f>
      </c>
    </row>
    <row r="346">
      <c r="A346" s="7">
        <v>45910</v>
      </c>
      <c r="B346" s="0" t="inlineStr">
        <is>
          <t xml:space="preserve">2025-S37</t>
        </is>
      </c>
      <c r="C346" s="0" t="inlineStr">
        <is>
          <t xml:space="preserve">2025-09</t>
        </is>
      </c>
      <c r="D346" s="0" t="inlineStr">
        <is>
          <t xml:space="preserve">2025</t>
        </is>
      </c>
      <c r="E346" s="6" t="inlineStr">
        <is>
          <t xml:space="preserve">512000</t>
        </is>
      </c>
      <c r="F346" s="6" t="inlineStr">
        <is>
          <t xml:space="preserve">BQ</t>
        </is>
      </c>
      <c r="G346" s="0" t="inlineStr">
        <is>
          <t xml:space="preserve">BQ00026</t>
        </is>
      </c>
      <c r="H346" s="6" t="inlineStr">
        <is>
          <t xml:space="preserve">164000</t>
        </is>
      </c>
      <c r="I346" s="0" t="inlineStr">
        <is>
          <t xml:space="preserve">Echeance emprunt 09/2025</t>
        </is>
      </c>
      <c r="J346" s="0"/>
      <c r="K346" s="8">
        <v>-2000</v>
      </c>
      <c r="L346" s="0" t="inlineStr">
        <is>
          <t xml:space="preserve">Emprunts - capital</t>
        </is>
      </c>
      <c r="M346" s="9"/>
      <c r="N346" s="0">
        <f>IF(M346&lt;&gt;"",M346,L346)</f>
      </c>
      <c r="O346" s="0">
        <f>IFERROR(INDEX(Categories!$B$5:$B$35,MATCH(N346,Categories!$A$5:$A$35,0)),"NA")</f>
      </c>
    </row>
    <row r="347">
      <c r="A347" s="7">
        <v>45910</v>
      </c>
      <c r="B347" s="0" t="inlineStr">
        <is>
          <t xml:space="preserve">2025-S37</t>
        </is>
      </c>
      <c r="C347" s="0" t="inlineStr">
        <is>
          <t xml:space="preserve">2025-09</t>
        </is>
      </c>
      <c r="D347" s="0" t="inlineStr">
        <is>
          <t xml:space="preserve">2025</t>
        </is>
      </c>
      <c r="E347" s="6" t="inlineStr">
        <is>
          <t xml:space="preserve">512000</t>
        </is>
      </c>
      <c r="F347" s="6" t="inlineStr">
        <is>
          <t xml:space="preserve">BQ</t>
        </is>
      </c>
      <c r="G347" s="0" t="inlineStr">
        <is>
          <t xml:space="preserve">BQ00026</t>
        </is>
      </c>
      <c r="H347" s="6" t="inlineStr">
        <is>
          <t xml:space="preserve">661100</t>
        </is>
      </c>
      <c r="I347" s="0" t="inlineStr">
        <is>
          <t xml:space="preserve">Echeance emprunt 09/2025</t>
        </is>
      </c>
      <c r="J347" s="0"/>
      <c r="K347" s="8">
        <v>-166.67</v>
      </c>
      <c r="L347" s="0" t="inlineStr">
        <is>
          <t xml:space="preserve">Intérêts et charges financières</t>
        </is>
      </c>
      <c r="M347" s="9"/>
      <c r="N347" s="0">
        <f>IF(M347&lt;&gt;"",M347,L347)</f>
      </c>
      <c r="O347" s="0">
        <f>IFERROR(INDEX(Categories!$B$5:$B$35,MATCH(N347,Categories!$A$5:$A$35,0)),"NA")</f>
      </c>
    </row>
    <row r="348">
      <c r="A348" s="7">
        <v>45915</v>
      </c>
      <c r="B348" s="0" t="inlineStr">
        <is>
          <t xml:space="preserve">2025-S38</t>
        </is>
      </c>
      <c r="C348" s="0" t="inlineStr">
        <is>
          <t xml:space="preserve">2025-09</t>
        </is>
      </c>
      <c r="D348" s="0" t="inlineStr">
        <is>
          <t xml:space="preserve">2025</t>
        </is>
      </c>
      <c r="E348" s="6" t="inlineStr">
        <is>
          <t xml:space="preserve">512000</t>
        </is>
      </c>
      <c r="F348" s="6" t="inlineStr">
        <is>
          <t xml:space="preserve">BQ</t>
        </is>
      </c>
      <c r="G348" s="0" t="inlineStr">
        <is>
          <t xml:space="preserve">BQ00054</t>
        </is>
      </c>
      <c r="H348" s="6" t="inlineStr">
        <is>
          <t xml:space="preserve">431000</t>
        </is>
      </c>
      <c r="I348" s="0" t="inlineStr">
        <is>
          <t xml:space="preserve">Reglement URSSAF 08/2025</t>
        </is>
      </c>
      <c r="J348" s="0"/>
      <c r="K348" s="8">
        <v>-31562.21</v>
      </c>
      <c r="L348" s="0" t="inlineStr">
        <is>
          <t xml:space="preserve">Charges sociales</t>
        </is>
      </c>
      <c r="M348" s="9"/>
      <c r="N348" s="0">
        <f>IF(M348&lt;&gt;"",M348,L348)</f>
      </c>
      <c r="O348" s="0">
        <f>IFERROR(INDEX(Categories!$B$5:$B$35,MATCH(N348,Categories!$A$5:$A$35,0)),"NA")</f>
      </c>
    </row>
    <row r="349">
      <c r="A349" s="7">
        <v>45915</v>
      </c>
      <c r="B349" s="0" t="inlineStr">
        <is>
          <t xml:space="preserve">2025-S38</t>
        </is>
      </c>
      <c r="C349" s="0" t="inlineStr">
        <is>
          <t xml:space="preserve">2025-09</t>
        </is>
      </c>
      <c r="D349" s="0" t="inlineStr">
        <is>
          <t xml:space="preserve">2025</t>
        </is>
      </c>
      <c r="E349" s="6" t="inlineStr">
        <is>
          <t xml:space="preserve">512000</t>
        </is>
      </c>
      <c r="F349" s="6" t="inlineStr">
        <is>
          <t xml:space="preserve">BQ</t>
        </is>
      </c>
      <c r="G349" s="0" t="inlineStr">
        <is>
          <t xml:space="preserve">BQ00097</t>
        </is>
      </c>
      <c r="H349" s="6" t="inlineStr">
        <is>
          <t xml:space="preserve">411000</t>
        </is>
      </c>
      <c r="I349" s="0" t="inlineStr">
        <is>
          <t xml:space="preserve">Reglement client Agence Mobilis FA2025-0030</t>
        </is>
      </c>
      <c r="J349" s="0" t="inlineStr">
        <is>
          <t xml:space="preserve">Agence Mobilis</t>
        </is>
      </c>
      <c r="K349" s="8">
        <v>31229.57</v>
      </c>
      <c r="L349" s="0" t="inlineStr">
        <is>
          <t xml:space="preserve">Clients</t>
        </is>
      </c>
      <c r="M349" s="9"/>
      <c r="N349" s="0">
        <f>IF(M349&lt;&gt;"",M349,L349)</f>
      </c>
      <c r="O349" s="0">
        <f>IFERROR(INDEX(Categories!$B$5:$B$35,MATCH(N349,Categories!$A$5:$A$35,0)),"NA")</f>
      </c>
    </row>
    <row r="350">
      <c r="A350" s="7">
        <v>45915</v>
      </c>
      <c r="B350" s="0" t="inlineStr">
        <is>
          <t xml:space="preserve">2025-S38</t>
        </is>
      </c>
      <c r="C350" s="0" t="inlineStr">
        <is>
          <t xml:space="preserve">2025-09</t>
        </is>
      </c>
      <c r="D350" s="0" t="inlineStr">
        <is>
          <t xml:space="preserve">2025</t>
        </is>
      </c>
      <c r="E350" s="6" t="inlineStr">
        <is>
          <t xml:space="preserve">512000</t>
        </is>
      </c>
      <c r="F350" s="6" t="inlineStr">
        <is>
          <t xml:space="preserve">BQ</t>
        </is>
      </c>
      <c r="G350" s="0" t="inlineStr">
        <is>
          <t xml:space="preserve">BQ00160</t>
        </is>
      </c>
      <c r="H350" s="6" t="inlineStr">
        <is>
          <t xml:space="preserve">401000</t>
        </is>
      </c>
      <c r="I350" s="0" t="inlineStr">
        <is>
          <t xml:space="preserve">Reglement fournisseur Scierie du Nord F001-2025073</t>
        </is>
      </c>
      <c r="J350" s="0" t="inlineStr">
        <is>
          <t xml:space="preserve">Scierie du Nord</t>
        </is>
      </c>
      <c r="K350" s="8">
        <v>-17246.02</v>
      </c>
      <c r="L350" s="0" t="inlineStr">
        <is>
          <t xml:space="preserve">Fournisseurs et charges externes</t>
        </is>
      </c>
      <c r="M350" s="9"/>
      <c r="N350" s="0">
        <f>IF(M350&lt;&gt;"",M350,L350)</f>
      </c>
      <c r="O350" s="0">
        <f>IFERROR(INDEX(Categories!$B$5:$B$35,MATCH(N350,Categories!$A$5:$A$35,0)),"NA")</f>
      </c>
    </row>
    <row r="351">
      <c r="A351" s="7">
        <v>45917</v>
      </c>
      <c r="B351" s="0" t="inlineStr">
        <is>
          <t xml:space="preserve">2025-S38</t>
        </is>
      </c>
      <c r="C351" s="0" t="inlineStr">
        <is>
          <t xml:space="preserve">2025-09</t>
        </is>
      </c>
      <c r="D351" s="0" t="inlineStr">
        <is>
          <t xml:space="preserve">2025</t>
        </is>
      </c>
      <c r="E351" s="6" t="inlineStr">
        <is>
          <t xml:space="preserve">512000</t>
        </is>
      </c>
      <c r="F351" s="6" t="inlineStr">
        <is>
          <t xml:space="preserve">BQ</t>
        </is>
      </c>
      <c r="G351" s="0" t="inlineStr">
        <is>
          <t xml:space="preserve">BQ00159</t>
        </is>
      </c>
      <c r="H351" s="6" t="inlineStr">
        <is>
          <t xml:space="preserve">401000</t>
        </is>
      </c>
      <c r="I351" s="0" t="inlineStr">
        <is>
          <t xml:space="preserve">Reglement fournisseur Vernis et Finitions F003-2025072</t>
        </is>
      </c>
      <c r="J351" s="0" t="inlineStr">
        <is>
          <t xml:space="preserve">Vernis et Finitions</t>
        </is>
      </c>
      <c r="K351" s="8">
        <v>-16791.91</v>
      </c>
      <c r="L351" s="0" t="inlineStr">
        <is>
          <t xml:space="preserve">Fournisseurs et charges externes</t>
        </is>
      </c>
      <c r="M351" s="9"/>
      <c r="N351" s="0">
        <f>IF(M351&lt;&gt;"",M351,L351)</f>
      </c>
      <c r="O351" s="0">
        <f>IFERROR(INDEX(Categories!$B$5:$B$35,MATCH(N351,Categories!$A$5:$A$35,0)),"NA")</f>
      </c>
    </row>
    <row r="352">
      <c r="A352" s="7">
        <v>45920</v>
      </c>
      <c r="B352" s="0" t="inlineStr">
        <is>
          <t xml:space="preserve">2025-S38</t>
        </is>
      </c>
      <c r="C352" s="0" t="inlineStr">
        <is>
          <t xml:space="preserve">2025-09</t>
        </is>
      </c>
      <c r="D352" s="0" t="inlineStr">
        <is>
          <t xml:space="preserve">2025</t>
        </is>
      </c>
      <c r="E352" s="6" t="inlineStr">
        <is>
          <t xml:space="preserve">512000</t>
        </is>
      </c>
      <c r="F352" s="6" t="inlineStr">
        <is>
          <t xml:space="preserve">BQ</t>
        </is>
      </c>
      <c r="G352" s="0" t="inlineStr">
        <is>
          <t xml:space="preserve">BQ00055</t>
        </is>
      </c>
      <c r="H352" s="6" t="inlineStr">
        <is>
          <t xml:space="preserve">445510</t>
        </is>
      </c>
      <c r="I352" s="0" t="inlineStr">
        <is>
          <t xml:space="preserve">Reglement TVA 08/2025</t>
        </is>
      </c>
      <c r="J352" s="0"/>
      <c r="K352" s="8">
        <v>-6197.71</v>
      </c>
      <c r="L352" s="0" t="inlineStr">
        <is>
          <t xml:space="preserve">TVA</t>
        </is>
      </c>
      <c r="M352" s="9"/>
      <c r="N352" s="0">
        <f>IF(M352&lt;&gt;"",M352,L352)</f>
      </c>
      <c r="O352" s="0">
        <f>IFERROR(INDEX(Categories!$B$5:$B$35,MATCH(N352,Categories!$A$5:$A$35,0)),"NA")</f>
      </c>
    </row>
    <row r="353">
      <c r="A353" s="7">
        <v>45925</v>
      </c>
      <c r="B353" s="0" t="inlineStr">
        <is>
          <t xml:space="preserve">2025-S39</t>
        </is>
      </c>
      <c r="C353" s="0" t="inlineStr">
        <is>
          <t xml:space="preserve">2025-09</t>
        </is>
      </c>
      <c r="D353" s="0" t="inlineStr">
        <is>
          <t xml:space="preserve">2025</t>
        </is>
      </c>
      <c r="E353" s="6" t="inlineStr">
        <is>
          <t xml:space="preserve">512000</t>
        </is>
      </c>
      <c r="F353" s="6" t="inlineStr">
        <is>
          <t xml:space="preserve">BQ</t>
        </is>
      </c>
      <c r="G353" s="0" t="inlineStr">
        <is>
          <t xml:space="preserve">BQ00102</t>
        </is>
      </c>
      <c r="H353" s="6" t="inlineStr">
        <is>
          <t xml:space="preserve">411000</t>
        </is>
      </c>
      <c r="I353" s="0" t="inlineStr">
        <is>
          <t xml:space="preserve">Reglement client Residence Bel Air FA2025-0035</t>
        </is>
      </c>
      <c r="J353" s="0" t="inlineStr">
        <is>
          <t xml:space="preserve">Residence Bel Air</t>
        </is>
      </c>
      <c r="K353" s="8">
        <v>18946.39</v>
      </c>
      <c r="L353" s="0" t="inlineStr">
        <is>
          <t xml:space="preserve">Clients</t>
        </is>
      </c>
      <c r="M353" s="9"/>
      <c r="N353" s="0">
        <f>IF(M353&lt;&gt;"",M353,L353)</f>
      </c>
      <c r="O353" s="0">
        <f>IFERROR(INDEX(Categories!$B$5:$B$35,MATCH(N353,Categories!$A$5:$A$35,0)),"NA")</f>
      </c>
    </row>
    <row r="354">
      <c r="A354" s="7">
        <v>45930</v>
      </c>
      <c r="B354" s="0" t="inlineStr">
        <is>
          <t xml:space="preserve">2025-S40</t>
        </is>
      </c>
      <c r="C354" s="0" t="inlineStr">
        <is>
          <t xml:space="preserve">2025-09</t>
        </is>
      </c>
      <c r="D354" s="0" t="inlineStr">
        <is>
          <t xml:space="preserve">2025</t>
        </is>
      </c>
      <c r="E354" s="6" t="inlineStr">
        <is>
          <t xml:space="preserve">512000</t>
        </is>
      </c>
      <c r="F354" s="6" t="inlineStr">
        <is>
          <t xml:space="preserve">BQ</t>
        </is>
      </c>
      <c r="G354" s="0" t="inlineStr">
        <is>
          <t xml:space="preserve">BQ00025</t>
        </is>
      </c>
      <c r="H354" s="6" t="inlineStr">
        <is>
          <t xml:space="preserve">421000</t>
        </is>
      </c>
      <c r="I354" s="0" t="inlineStr">
        <is>
          <t xml:space="preserve">Virement salaires 09/2025</t>
        </is>
      </c>
      <c r="J354" s="0"/>
      <c r="K354" s="8">
        <v>-38516.6</v>
      </c>
      <c r="L354" s="0" t="inlineStr">
        <is>
          <t xml:space="preserve">Salaires et personnel</t>
        </is>
      </c>
      <c r="M354" s="9"/>
      <c r="N354" s="0">
        <f>IF(M354&lt;&gt;"",M354,L354)</f>
      </c>
      <c r="O354" s="0">
        <f>IFERROR(INDEX(Categories!$B$5:$B$35,MATCH(N354,Categories!$A$5:$A$35,0)),"NA")</f>
      </c>
    </row>
    <row r="355">
      <c r="A355" s="7">
        <v>45930</v>
      </c>
      <c r="B355" s="0" t="inlineStr">
        <is>
          <t xml:space="preserve">2025-S40</t>
        </is>
      </c>
      <c r="C355" s="0" t="inlineStr">
        <is>
          <t xml:space="preserve">2025-09</t>
        </is>
      </c>
      <c r="D355" s="0" t="inlineStr">
        <is>
          <t xml:space="preserve">2025</t>
        </is>
      </c>
      <c r="E355" s="6" t="inlineStr">
        <is>
          <t xml:space="preserve">512000</t>
        </is>
      </c>
      <c r="F355" s="6" t="inlineStr">
        <is>
          <t xml:space="preserve">BQ</t>
        </is>
      </c>
      <c r="G355" s="0" t="inlineStr">
        <is>
          <t xml:space="preserve">BQ00027</t>
        </is>
      </c>
      <c r="H355" s="6" t="inlineStr">
        <is>
          <t xml:space="preserve">627000</t>
        </is>
      </c>
      <c r="I355" s="0" t="inlineStr">
        <is>
          <t xml:space="preserve">Frais bancaires 09/2025</t>
        </is>
      </c>
      <c r="J355" s="0"/>
      <c r="K355" s="8">
        <v>-85</v>
      </c>
      <c r="L355" s="0" t="inlineStr">
        <is>
          <t xml:space="preserve">Frais bancaires</t>
        </is>
      </c>
      <c r="M355" s="9"/>
      <c r="N355" s="0">
        <f>IF(M355&lt;&gt;"",M355,L355)</f>
      </c>
      <c r="O355" s="0">
        <f>IFERROR(INDEX(Categories!$B$5:$B$35,MATCH(N355,Categories!$A$5:$A$35,0)),"NA")</f>
      </c>
    </row>
    <row r="356">
      <c r="A356" s="7">
        <v>45931</v>
      </c>
      <c r="B356" s="0" t="inlineStr">
        <is>
          <t xml:space="preserve">2025-S40</t>
        </is>
      </c>
      <c r="C356" s="0" t="inlineStr">
        <is>
          <t xml:space="preserve">2025-10</t>
        </is>
      </c>
      <c r="D356" s="0" t="inlineStr">
        <is>
          <t xml:space="preserve">2025</t>
        </is>
      </c>
      <c r="E356" s="6" t="inlineStr">
        <is>
          <t xml:space="preserve">512000</t>
        </is>
      </c>
      <c r="F356" s="6" t="inlineStr">
        <is>
          <t xml:space="preserve">BQ</t>
        </is>
      </c>
      <c r="G356" s="0" t="inlineStr">
        <is>
          <t xml:space="preserve">BQ00098</t>
        </is>
      </c>
      <c r="H356" s="6" t="inlineStr">
        <is>
          <t xml:space="preserve">411000</t>
        </is>
      </c>
      <c r="I356" s="0" t="inlineStr">
        <is>
          <t xml:space="preserve">Reglement client Clinique du Parc FA2025-0031</t>
        </is>
      </c>
      <c r="J356" s="0" t="inlineStr">
        <is>
          <t xml:space="preserve">Clinique du Parc</t>
        </is>
      </c>
      <c r="K356" s="8">
        <v>22886.94</v>
      </c>
      <c r="L356" s="0" t="inlineStr">
        <is>
          <t xml:space="preserve">Clients</t>
        </is>
      </c>
      <c r="M356" s="9"/>
      <c r="N356" s="0">
        <f>IF(M356&lt;&gt;"",M356,L356)</f>
      </c>
      <c r="O356" s="0">
        <f>IFERROR(INDEX(Categories!$B$5:$B$35,MATCH(N356,Categories!$A$5:$A$35,0)),"NA")</f>
      </c>
    </row>
    <row r="357">
      <c r="A357" s="7">
        <v>45932</v>
      </c>
      <c r="B357" s="0" t="inlineStr">
        <is>
          <t xml:space="preserve">2025-S40</t>
        </is>
      </c>
      <c r="C357" s="0" t="inlineStr">
        <is>
          <t xml:space="preserve">2025-10</t>
        </is>
      </c>
      <c r="D357" s="0" t="inlineStr">
        <is>
          <t xml:space="preserve">2025</t>
        </is>
      </c>
      <c r="E357" s="6" t="inlineStr">
        <is>
          <t xml:space="preserve">512000</t>
        </is>
      </c>
      <c r="F357" s="6" t="inlineStr">
        <is>
          <t xml:space="preserve">BQ</t>
        </is>
      </c>
      <c r="G357" s="0" t="inlineStr">
        <is>
          <t xml:space="preserve">BQ00099</t>
        </is>
      </c>
      <c r="H357" s="6" t="inlineStr">
        <is>
          <t xml:space="preserve">411000</t>
        </is>
      </c>
      <c r="I357" s="0" t="inlineStr">
        <is>
          <t xml:space="preserve">Reglement client Agence Mobilis FA2025-0032</t>
        </is>
      </c>
      <c r="J357" s="0" t="inlineStr">
        <is>
          <t xml:space="preserve">Agence Mobilis</t>
        </is>
      </c>
      <c r="K357" s="8">
        <v>24533.7</v>
      </c>
      <c r="L357" s="0" t="inlineStr">
        <is>
          <t xml:space="preserve">Clients</t>
        </is>
      </c>
      <c r="M357" s="9"/>
      <c r="N357" s="0">
        <f>IF(M357&lt;&gt;"",M357,L357)</f>
      </c>
      <c r="O357" s="0">
        <f>IFERROR(INDEX(Categories!$B$5:$B$35,MATCH(N357,Categories!$A$5:$A$35,0)),"NA")</f>
      </c>
    </row>
    <row r="358">
      <c r="A358" s="7">
        <v>45936</v>
      </c>
      <c r="B358" s="0" t="inlineStr">
        <is>
          <t xml:space="preserve">2025-S41</t>
        </is>
      </c>
      <c r="C358" s="0" t="inlineStr">
        <is>
          <t xml:space="preserve">2025-10</t>
        </is>
      </c>
      <c r="D358" s="0" t="inlineStr">
        <is>
          <t xml:space="preserve">2025</t>
        </is>
      </c>
      <c r="E358" s="6" t="inlineStr">
        <is>
          <t xml:space="preserve">512000</t>
        </is>
      </c>
      <c r="F358" s="6" t="inlineStr">
        <is>
          <t xml:space="preserve">BQ</t>
        </is>
      </c>
      <c r="G358" s="0" t="inlineStr">
        <is>
          <t xml:space="preserve">BQ00100</t>
        </is>
      </c>
      <c r="H358" s="6" t="inlineStr">
        <is>
          <t xml:space="preserve">411000</t>
        </is>
      </c>
      <c r="I358" s="0" t="inlineStr">
        <is>
          <t xml:space="preserve">Reglement client Boutique Hetre et Chene FA2025-0033</t>
        </is>
      </c>
      <c r="J358" s="0" t="inlineStr">
        <is>
          <t xml:space="preserve">Boutique Hetre et Chene</t>
        </is>
      </c>
      <c r="K358" s="8">
        <v>23206.55</v>
      </c>
      <c r="L358" s="0" t="inlineStr">
        <is>
          <t xml:space="preserve">Clients</t>
        </is>
      </c>
      <c r="M358" s="9"/>
      <c r="N358" s="0">
        <f>IF(M358&lt;&gt;"",M358,L358)</f>
      </c>
      <c r="O358" s="0">
        <f>IFERROR(INDEX(Categories!$B$5:$B$35,MATCH(N358,Categories!$A$5:$A$35,0)),"NA")</f>
      </c>
    </row>
    <row r="359">
      <c r="A359" s="7">
        <v>45936</v>
      </c>
      <c r="B359" s="0" t="inlineStr">
        <is>
          <t xml:space="preserve">2025-S41</t>
        </is>
      </c>
      <c r="C359" s="0" t="inlineStr">
        <is>
          <t xml:space="preserve">2025-10</t>
        </is>
      </c>
      <c r="D359" s="0" t="inlineStr">
        <is>
          <t xml:space="preserve">2025</t>
        </is>
      </c>
      <c r="E359" s="6" t="inlineStr">
        <is>
          <t xml:space="preserve">512000</t>
        </is>
      </c>
      <c r="F359" s="6" t="inlineStr">
        <is>
          <t xml:space="preserve">BQ</t>
        </is>
      </c>
      <c r="G359" s="0" t="inlineStr">
        <is>
          <t xml:space="preserve">BQ00173</t>
        </is>
      </c>
      <c r="H359" s="6" t="inlineStr">
        <is>
          <t xml:space="preserve">401000</t>
        </is>
      </c>
      <c r="I359" s="0" t="inlineStr">
        <is>
          <t xml:space="preserve">Reglement fournisseur SCI Les Halles F004-202509</t>
        </is>
      </c>
      <c r="J359" s="0" t="inlineStr">
        <is>
          <t xml:space="preserve">SCI Les Halles</t>
        </is>
      </c>
      <c r="K359" s="8">
        <v>-10200</v>
      </c>
      <c r="L359" s="0" t="inlineStr">
        <is>
          <t xml:space="preserve">Fournisseurs et charges externes</t>
        </is>
      </c>
      <c r="M359" s="9"/>
      <c r="N359" s="0">
        <f>IF(M359&lt;&gt;"",M359,L359)</f>
      </c>
      <c r="O359" s="0">
        <f>IFERROR(INDEX(Categories!$B$5:$B$35,MATCH(N359,Categories!$A$5:$A$35,0)),"NA")</f>
      </c>
    </row>
    <row r="360">
      <c r="A360" s="7">
        <v>45936</v>
      </c>
      <c r="B360" s="0" t="inlineStr">
        <is>
          <t xml:space="preserve">2025-S41</t>
        </is>
      </c>
      <c r="C360" s="0" t="inlineStr">
        <is>
          <t xml:space="preserve">2025-10</t>
        </is>
      </c>
      <c r="D360" s="0" t="inlineStr">
        <is>
          <t xml:space="preserve">2025</t>
        </is>
      </c>
      <c r="E360" s="6" t="inlineStr">
        <is>
          <t xml:space="preserve">512000</t>
        </is>
      </c>
      <c r="F360" s="6" t="inlineStr">
        <is>
          <t xml:space="preserve">BQ</t>
        </is>
      </c>
      <c r="G360" s="0" t="inlineStr">
        <is>
          <t xml:space="preserve">BQ00174</t>
        </is>
      </c>
      <c r="H360" s="6" t="inlineStr">
        <is>
          <t xml:space="preserve">401000</t>
        </is>
      </c>
      <c r="I360" s="0" t="inlineStr">
        <is>
          <t xml:space="preserve">Reglement fournisseur Energie Plus F005-202509</t>
        </is>
      </c>
      <c r="J360" s="0" t="inlineStr">
        <is>
          <t xml:space="preserve">Energie Plus</t>
        </is>
      </c>
      <c r="K360" s="8">
        <v>-3234.79</v>
      </c>
      <c r="L360" s="0" t="inlineStr">
        <is>
          <t xml:space="preserve">Fournisseurs et charges externes</t>
        </is>
      </c>
      <c r="M360" s="9"/>
      <c r="N360" s="0">
        <f>IF(M360&lt;&gt;"",M360,L360)</f>
      </c>
      <c r="O360" s="0">
        <f>IFERROR(INDEX(Categories!$B$5:$B$35,MATCH(N360,Categories!$A$5:$A$35,0)),"NA")</f>
      </c>
    </row>
    <row r="361">
      <c r="A361" s="7">
        <v>45936</v>
      </c>
      <c r="B361" s="0" t="inlineStr">
        <is>
          <t xml:space="preserve">2025-S41</t>
        </is>
      </c>
      <c r="C361" s="0" t="inlineStr">
        <is>
          <t xml:space="preserve">2025-10</t>
        </is>
      </c>
      <c r="D361" s="0" t="inlineStr">
        <is>
          <t xml:space="preserve">2025</t>
        </is>
      </c>
      <c r="E361" s="6" t="inlineStr">
        <is>
          <t xml:space="preserve">512000</t>
        </is>
      </c>
      <c r="F361" s="6" t="inlineStr">
        <is>
          <t xml:space="preserve">BQ</t>
        </is>
      </c>
      <c r="G361" s="0" t="inlineStr">
        <is>
          <t xml:space="preserve">BQ00175</t>
        </is>
      </c>
      <c r="H361" s="6" t="inlineStr">
        <is>
          <t xml:space="preserve">401000</t>
        </is>
      </c>
      <c r="I361" s="0" t="inlineStr">
        <is>
          <t xml:space="preserve">Reglement fournisseur Telecom Pro F008-202509</t>
        </is>
      </c>
      <c r="J361" s="0" t="inlineStr">
        <is>
          <t xml:space="preserve">Telecom Pro</t>
        </is>
      </c>
      <c r="K361" s="8">
        <v>-576</v>
      </c>
      <c r="L361" s="0" t="inlineStr">
        <is>
          <t xml:space="preserve">Fournisseurs et charges externes</t>
        </is>
      </c>
      <c r="M361" s="9"/>
      <c r="N361" s="0">
        <f>IF(M361&lt;&gt;"",M361,L361)</f>
      </c>
      <c r="O361" s="0">
        <f>IFERROR(INDEX(Categories!$B$5:$B$35,MATCH(N361,Categories!$A$5:$A$35,0)),"NA")</f>
      </c>
    </row>
    <row r="362">
      <c r="A362" s="7">
        <v>45936</v>
      </c>
      <c r="B362" s="0" t="inlineStr">
        <is>
          <t xml:space="preserve">2025-S41</t>
        </is>
      </c>
      <c r="C362" s="0" t="inlineStr">
        <is>
          <t xml:space="preserve">2025-10</t>
        </is>
      </c>
      <c r="D362" s="0" t="inlineStr">
        <is>
          <t xml:space="preserve">2025</t>
        </is>
      </c>
      <c r="E362" s="6" t="inlineStr">
        <is>
          <t xml:space="preserve">512000</t>
        </is>
      </c>
      <c r="F362" s="6" t="inlineStr">
        <is>
          <t xml:space="preserve">BQ</t>
        </is>
      </c>
      <c r="G362" s="0" t="inlineStr">
        <is>
          <t xml:space="preserve">BQ00176</t>
        </is>
      </c>
      <c r="H362" s="6" t="inlineStr">
        <is>
          <t xml:space="preserve">401000</t>
        </is>
      </c>
      <c r="I362" s="0" t="inlineStr">
        <is>
          <t xml:space="preserve">Reglement fournisseur Cabinet Comptable Exemple F007-202509</t>
        </is>
      </c>
      <c r="J362" s="0" t="inlineStr">
        <is>
          <t xml:space="preserve">Cabinet Comptable Exemple</t>
        </is>
      </c>
      <c r="K362" s="8">
        <v>-7200</v>
      </c>
      <c r="L362" s="0" t="inlineStr">
        <is>
          <t xml:space="preserve">Fournisseurs et charges externes</t>
        </is>
      </c>
      <c r="M362" s="9"/>
      <c r="N362" s="0">
        <f>IF(M362&lt;&gt;"",M362,L362)</f>
      </c>
      <c r="O362" s="0">
        <f>IFERROR(INDEX(Categories!$B$5:$B$35,MATCH(N362,Categories!$A$5:$A$35,0)),"NA")</f>
      </c>
    </row>
    <row r="363">
      <c r="A363" s="7">
        <v>45939</v>
      </c>
      <c r="B363" s="0" t="inlineStr">
        <is>
          <t xml:space="preserve">2025-S41</t>
        </is>
      </c>
      <c r="C363" s="0" t="inlineStr">
        <is>
          <t xml:space="preserve">2025-10</t>
        </is>
      </c>
      <c r="D363" s="0" t="inlineStr">
        <is>
          <t xml:space="preserve">2025</t>
        </is>
      </c>
      <c r="E363" s="6" t="inlineStr">
        <is>
          <t xml:space="preserve">512000</t>
        </is>
      </c>
      <c r="F363" s="6" t="inlineStr">
        <is>
          <t xml:space="preserve">BQ</t>
        </is>
      </c>
      <c r="G363" s="0" t="inlineStr">
        <is>
          <t xml:space="preserve">BQ00101</t>
        </is>
      </c>
      <c r="H363" s="6" t="inlineStr">
        <is>
          <t xml:space="preserve">411000</t>
        </is>
      </c>
      <c r="I363" s="0" t="inlineStr">
        <is>
          <t xml:space="preserve">Reglement client Cabinet Varenne Associes FA2025-0034</t>
        </is>
      </c>
      <c r="J363" s="0" t="inlineStr">
        <is>
          <t xml:space="preserve">Cabinet Varenne Associes</t>
        </is>
      </c>
      <c r="K363" s="8">
        <v>25251.25</v>
      </c>
      <c r="L363" s="0" t="inlineStr">
        <is>
          <t xml:space="preserve">Clients</t>
        </is>
      </c>
      <c r="M363" s="9"/>
      <c r="N363" s="0">
        <f>IF(M363&lt;&gt;"",M363,L363)</f>
      </c>
      <c r="O363" s="0">
        <f>IFERROR(INDEX(Categories!$B$5:$B$35,MATCH(N363,Categories!$A$5:$A$35,0)),"NA")</f>
      </c>
    </row>
    <row r="364">
      <c r="A364" s="7">
        <v>45940</v>
      </c>
      <c r="B364" s="0" t="inlineStr">
        <is>
          <t xml:space="preserve">2025-S41</t>
        </is>
      </c>
      <c r="C364" s="0" t="inlineStr">
        <is>
          <t xml:space="preserve">2025-10</t>
        </is>
      </c>
      <c r="D364" s="0" t="inlineStr">
        <is>
          <t xml:space="preserve">2025</t>
        </is>
      </c>
      <c r="E364" s="6" t="inlineStr">
        <is>
          <t xml:space="preserve">512000</t>
        </is>
      </c>
      <c r="F364" s="6" t="inlineStr">
        <is>
          <t xml:space="preserve">BQ</t>
        </is>
      </c>
      <c r="G364" s="0" t="inlineStr">
        <is>
          <t xml:space="preserve">BQ00029</t>
        </is>
      </c>
      <c r="H364" s="6" t="inlineStr">
        <is>
          <t xml:space="preserve">164000</t>
        </is>
      </c>
      <c r="I364" s="0" t="inlineStr">
        <is>
          <t xml:space="preserve">Echeance emprunt 10/2025</t>
        </is>
      </c>
      <c r="J364" s="0"/>
      <c r="K364" s="8">
        <v>-2000</v>
      </c>
      <c r="L364" s="0" t="inlineStr">
        <is>
          <t xml:space="preserve">Emprunts - capital</t>
        </is>
      </c>
      <c r="M364" s="9"/>
      <c r="N364" s="0">
        <f>IF(M364&lt;&gt;"",M364,L364)</f>
      </c>
      <c r="O364" s="0">
        <f>IFERROR(INDEX(Categories!$B$5:$B$35,MATCH(N364,Categories!$A$5:$A$35,0)),"NA")</f>
      </c>
    </row>
    <row r="365">
      <c r="A365" s="7">
        <v>45940</v>
      </c>
      <c r="B365" s="0" t="inlineStr">
        <is>
          <t xml:space="preserve">2025-S41</t>
        </is>
      </c>
      <c r="C365" s="0" t="inlineStr">
        <is>
          <t xml:space="preserve">2025-10</t>
        </is>
      </c>
      <c r="D365" s="0" t="inlineStr">
        <is>
          <t xml:space="preserve">2025</t>
        </is>
      </c>
      <c r="E365" s="6" t="inlineStr">
        <is>
          <t xml:space="preserve">512000</t>
        </is>
      </c>
      <c r="F365" s="6" t="inlineStr">
        <is>
          <t xml:space="preserve">BQ</t>
        </is>
      </c>
      <c r="G365" s="0" t="inlineStr">
        <is>
          <t xml:space="preserve">BQ00029</t>
        </is>
      </c>
      <c r="H365" s="6" t="inlineStr">
        <is>
          <t xml:space="preserve">661100</t>
        </is>
      </c>
      <c r="I365" s="0" t="inlineStr">
        <is>
          <t xml:space="preserve">Echeance emprunt 10/2025</t>
        </is>
      </c>
      <c r="J365" s="0"/>
      <c r="K365" s="8">
        <v>-160</v>
      </c>
      <c r="L365" s="0" t="inlineStr">
        <is>
          <t xml:space="preserve">Intérêts et charges financières</t>
        </is>
      </c>
      <c r="M365" s="9"/>
      <c r="N365" s="0">
        <f>IF(M365&lt;&gt;"",M365,L365)</f>
      </c>
      <c r="O365" s="0">
        <f>IFERROR(INDEX(Categories!$B$5:$B$35,MATCH(N365,Categories!$A$5:$A$35,0)),"NA")</f>
      </c>
    </row>
    <row r="366">
      <c r="A366" s="7">
        <v>45943</v>
      </c>
      <c r="B366" s="0" t="inlineStr">
        <is>
          <t xml:space="preserve">2025-S42</t>
        </is>
      </c>
      <c r="C366" s="0" t="inlineStr">
        <is>
          <t xml:space="preserve">2025-10</t>
        </is>
      </c>
      <c r="D366" s="0" t="inlineStr">
        <is>
          <t xml:space="preserve">2025</t>
        </is>
      </c>
      <c r="E366" s="6" t="inlineStr">
        <is>
          <t xml:space="preserve">512000</t>
        </is>
      </c>
      <c r="F366" s="6" t="inlineStr">
        <is>
          <t xml:space="preserve">BQ</t>
        </is>
      </c>
      <c r="G366" s="0" t="inlineStr">
        <is>
          <t xml:space="preserve">BQ00104</t>
        </is>
      </c>
      <c r="H366" s="6" t="inlineStr">
        <is>
          <t xml:space="preserve">411000</t>
        </is>
      </c>
      <c r="I366" s="0" t="inlineStr">
        <is>
          <t xml:space="preserve">Reglement client Coworking Atelier 9 FA2025-0037</t>
        </is>
      </c>
      <c r="J366" s="0" t="inlineStr">
        <is>
          <t xml:space="preserve">Coworking Atelier 9</t>
        </is>
      </c>
      <c r="K366" s="8">
        <v>27749.93</v>
      </c>
      <c r="L366" s="0" t="inlineStr">
        <is>
          <t xml:space="preserve">Clients</t>
        </is>
      </c>
      <c r="M366" s="9"/>
      <c r="N366" s="0">
        <f>IF(M366&lt;&gt;"",M366,L366)</f>
      </c>
      <c r="O366" s="0">
        <f>IFERROR(INDEX(Categories!$B$5:$B$35,MATCH(N366,Categories!$A$5:$A$35,0)),"NA")</f>
      </c>
    </row>
    <row r="367">
      <c r="A367" s="7">
        <v>45946</v>
      </c>
      <c r="B367" s="0" t="inlineStr">
        <is>
          <t xml:space="preserve">2025-S42</t>
        </is>
      </c>
      <c r="C367" s="0" t="inlineStr">
        <is>
          <t xml:space="preserve">2025-10</t>
        </is>
      </c>
      <c r="D367" s="0" t="inlineStr">
        <is>
          <t xml:space="preserve">2025</t>
        </is>
      </c>
      <c r="E367" s="6" t="inlineStr">
        <is>
          <t xml:space="preserve">512000</t>
        </is>
      </c>
      <c r="F367" s="6" t="inlineStr">
        <is>
          <t xml:space="preserve">BQ</t>
        </is>
      </c>
      <c r="G367" s="0" t="inlineStr">
        <is>
          <t xml:space="preserve">BQ00165</t>
        </is>
      </c>
      <c r="H367" s="6" t="inlineStr">
        <is>
          <t xml:space="preserve">401000</t>
        </is>
      </c>
      <c r="I367" s="0" t="inlineStr">
        <is>
          <t xml:space="preserve">Reglement fournisseur Quincaillerie Pro Est F002-2025081</t>
        </is>
      </c>
      <c r="J367" s="0" t="inlineStr">
        <is>
          <t xml:space="preserve">Quincaillerie Pro Est</t>
        </is>
      </c>
      <c r="K367" s="8">
        <v>-24595.12</v>
      </c>
      <c r="L367" s="0" t="inlineStr">
        <is>
          <t xml:space="preserve">Fournisseurs et charges externes</t>
        </is>
      </c>
      <c r="M367" s="9"/>
      <c r="N367" s="0">
        <f>IF(M367&lt;&gt;"",M367,L367)</f>
      </c>
      <c r="O367" s="0">
        <f>IFERROR(INDEX(Categories!$B$5:$B$35,MATCH(N367,Categories!$A$5:$A$35,0)),"NA")</f>
      </c>
    </row>
    <row r="368">
      <c r="A368" s="7">
        <v>45950</v>
      </c>
      <c r="B368" s="0" t="inlineStr">
        <is>
          <t xml:space="preserve">2025-S43</t>
        </is>
      </c>
      <c r="C368" s="0" t="inlineStr">
        <is>
          <t xml:space="preserve">2025-10</t>
        </is>
      </c>
      <c r="D368" s="0" t="inlineStr">
        <is>
          <t xml:space="preserve">2025</t>
        </is>
      </c>
      <c r="E368" s="6" t="inlineStr">
        <is>
          <t xml:space="preserve">512000</t>
        </is>
      </c>
      <c r="F368" s="6" t="inlineStr">
        <is>
          <t xml:space="preserve">BQ</t>
        </is>
      </c>
      <c r="G368" s="0" t="inlineStr">
        <is>
          <t xml:space="preserve">BQ00056</t>
        </is>
      </c>
      <c r="H368" s="6" t="inlineStr">
        <is>
          <t xml:space="preserve">445510</t>
        </is>
      </c>
      <c r="I368" s="0" t="inlineStr">
        <is>
          <t xml:space="preserve">Reglement TVA 09/2025</t>
        </is>
      </c>
      <c r="J368" s="0"/>
      <c r="K368" s="8">
        <v>-8831.53</v>
      </c>
      <c r="L368" s="0" t="inlineStr">
        <is>
          <t xml:space="preserve">TVA</t>
        </is>
      </c>
      <c r="M368" s="9"/>
      <c r="N368" s="0">
        <f>IF(M368&lt;&gt;"",M368,L368)</f>
      </c>
      <c r="O368" s="0">
        <f>IFERROR(INDEX(Categories!$B$5:$B$35,MATCH(N368,Categories!$A$5:$A$35,0)),"NA")</f>
      </c>
    </row>
    <row r="369">
      <c r="A369" s="7">
        <v>45950</v>
      </c>
      <c r="B369" s="0" t="inlineStr">
        <is>
          <t xml:space="preserve">2025-S43</t>
        </is>
      </c>
      <c r="C369" s="0" t="inlineStr">
        <is>
          <t xml:space="preserve">2025-10</t>
        </is>
      </c>
      <c r="D369" s="0" t="inlineStr">
        <is>
          <t xml:space="preserve">2025</t>
        </is>
      </c>
      <c r="E369" s="6" t="inlineStr">
        <is>
          <t xml:space="preserve">512000</t>
        </is>
      </c>
      <c r="F369" s="6" t="inlineStr">
        <is>
          <t xml:space="preserve">BQ</t>
        </is>
      </c>
      <c r="G369" s="0" t="inlineStr">
        <is>
          <t xml:space="preserve">BQ00103</t>
        </is>
      </c>
      <c r="H369" s="6" t="inlineStr">
        <is>
          <t xml:space="preserve">411000</t>
        </is>
      </c>
      <c r="I369" s="0" t="inlineStr">
        <is>
          <t xml:space="preserve">Reglement client Boutique Hetre et Chene FA2025-0036</t>
        </is>
      </c>
      <c r="J369" s="0" t="inlineStr">
        <is>
          <t xml:space="preserve">Boutique Hetre et Chene</t>
        </is>
      </c>
      <c r="K369" s="8">
        <v>26052.44</v>
      </c>
      <c r="L369" s="0" t="inlineStr">
        <is>
          <t xml:space="preserve">Clients</t>
        </is>
      </c>
      <c r="M369" s="9"/>
      <c r="N369" s="0">
        <f>IF(M369&lt;&gt;"",M369,L369)</f>
      </c>
      <c r="O369" s="0">
        <f>IFERROR(INDEX(Categories!$B$5:$B$35,MATCH(N369,Categories!$A$5:$A$35,0)),"NA")</f>
      </c>
    </row>
    <row r="370">
      <c r="A370" s="7">
        <v>45961</v>
      </c>
      <c r="B370" s="0" t="inlineStr">
        <is>
          <t xml:space="preserve">2025-S44</t>
        </is>
      </c>
      <c r="C370" s="0" t="inlineStr">
        <is>
          <t xml:space="preserve">2025-10</t>
        </is>
      </c>
      <c r="D370" s="0" t="inlineStr">
        <is>
          <t xml:space="preserve">2025</t>
        </is>
      </c>
      <c r="E370" s="6" t="inlineStr">
        <is>
          <t xml:space="preserve">512000</t>
        </is>
      </c>
      <c r="F370" s="6" t="inlineStr">
        <is>
          <t xml:space="preserve">BQ</t>
        </is>
      </c>
      <c r="G370" s="0" t="inlineStr">
        <is>
          <t xml:space="preserve">BQ00028</t>
        </is>
      </c>
      <c r="H370" s="6" t="inlineStr">
        <is>
          <t xml:space="preserve">421000</t>
        </is>
      </c>
      <c r="I370" s="0" t="inlineStr">
        <is>
          <t xml:space="preserve">Virement salaires 10/2025</t>
        </is>
      </c>
      <c r="J370" s="0"/>
      <c r="K370" s="8">
        <v>-39727.74</v>
      </c>
      <c r="L370" s="0" t="inlineStr">
        <is>
          <t xml:space="preserve">Salaires et personnel</t>
        </is>
      </c>
      <c r="M370" s="9"/>
      <c r="N370" s="0">
        <f>IF(M370&lt;&gt;"",M370,L370)</f>
      </c>
      <c r="O370" s="0">
        <f>IFERROR(INDEX(Categories!$B$5:$B$35,MATCH(N370,Categories!$A$5:$A$35,0)),"NA")</f>
      </c>
    </row>
    <row r="371">
      <c r="A371" s="7">
        <v>45961</v>
      </c>
      <c r="B371" s="0" t="inlineStr">
        <is>
          <t xml:space="preserve">2025-S44</t>
        </is>
      </c>
      <c r="C371" s="0" t="inlineStr">
        <is>
          <t xml:space="preserve">2025-10</t>
        </is>
      </c>
      <c r="D371" s="0" t="inlineStr">
        <is>
          <t xml:space="preserve">2025</t>
        </is>
      </c>
      <c r="E371" s="6" t="inlineStr">
        <is>
          <t xml:space="preserve">512000</t>
        </is>
      </c>
      <c r="F371" s="6" t="inlineStr">
        <is>
          <t xml:space="preserve">BQ</t>
        </is>
      </c>
      <c r="G371" s="0" t="inlineStr">
        <is>
          <t xml:space="preserve">BQ00030</t>
        </is>
      </c>
      <c r="H371" s="6" t="inlineStr">
        <is>
          <t xml:space="preserve">627000</t>
        </is>
      </c>
      <c r="I371" s="0" t="inlineStr">
        <is>
          <t xml:space="preserve">Frais bancaires 10/2025</t>
        </is>
      </c>
      <c r="J371" s="0"/>
      <c r="K371" s="8">
        <v>-85</v>
      </c>
      <c r="L371" s="0" t="inlineStr">
        <is>
          <t xml:space="preserve">Frais bancaires</t>
        </is>
      </c>
      <c r="M371" s="9"/>
      <c r="N371" s="0">
        <f>IF(M371&lt;&gt;"",M371,L371)</f>
      </c>
      <c r="O371" s="0">
        <f>IFERROR(INDEX(Categories!$B$5:$B$35,MATCH(N371,Categories!$A$5:$A$35,0)),"NA")</f>
      </c>
    </row>
    <row r="372">
      <c r="A372" s="7">
        <v>45964</v>
      </c>
      <c r="B372" s="0" t="inlineStr">
        <is>
          <t xml:space="preserve">2025-S45</t>
        </is>
      </c>
      <c r="C372" s="0" t="inlineStr">
        <is>
          <t xml:space="preserve">2025-11</t>
        </is>
      </c>
      <c r="D372" s="0" t="inlineStr">
        <is>
          <t xml:space="preserve">2025</t>
        </is>
      </c>
      <c r="E372" s="6" t="inlineStr">
        <is>
          <t xml:space="preserve">512000</t>
        </is>
      </c>
      <c r="F372" s="6" t="inlineStr">
        <is>
          <t xml:space="preserve">BQ</t>
        </is>
      </c>
      <c r="G372" s="0" t="inlineStr">
        <is>
          <t xml:space="preserve">BQ00166</t>
        </is>
      </c>
      <c r="H372" s="6" t="inlineStr">
        <is>
          <t xml:space="preserve">401000</t>
        </is>
      </c>
      <c r="I372" s="0" t="inlineStr">
        <is>
          <t xml:space="preserve">Reglement fournisseur Vernis et Finitions F003-2025082</t>
        </is>
      </c>
      <c r="J372" s="0" t="inlineStr">
        <is>
          <t xml:space="preserve">Vernis et Finitions</t>
        </is>
      </c>
      <c r="K372" s="8">
        <v>-21464.89</v>
      </c>
      <c r="L372" s="0" t="inlineStr">
        <is>
          <t xml:space="preserve">Fournisseurs et charges externes</t>
        </is>
      </c>
      <c r="M372" s="9"/>
      <c r="N372" s="0">
        <f>IF(M372&lt;&gt;"",M372,L372)</f>
      </c>
      <c r="O372" s="0">
        <f>IFERROR(INDEX(Categories!$B$5:$B$35,MATCH(N372,Categories!$A$5:$A$35,0)),"NA")</f>
      </c>
    </row>
    <row r="373">
      <c r="A373" s="7">
        <v>45965</v>
      </c>
      <c r="B373" s="0" t="inlineStr">
        <is>
          <t xml:space="preserve">2025-S45</t>
        </is>
      </c>
      <c r="C373" s="0" t="inlineStr">
        <is>
          <t xml:space="preserve">2025-11</t>
        </is>
      </c>
      <c r="D373" s="0" t="inlineStr">
        <is>
          <t xml:space="preserve">2025</t>
        </is>
      </c>
      <c r="E373" s="6" t="inlineStr">
        <is>
          <t xml:space="preserve">512000</t>
        </is>
      </c>
      <c r="F373" s="6" t="inlineStr">
        <is>
          <t xml:space="preserve">BQ</t>
        </is>
      </c>
      <c r="G373" s="0" t="inlineStr">
        <is>
          <t xml:space="preserve">BQ00179</t>
        </is>
      </c>
      <c r="H373" s="6" t="inlineStr">
        <is>
          <t xml:space="preserve">401000</t>
        </is>
      </c>
      <c r="I373" s="0" t="inlineStr">
        <is>
          <t xml:space="preserve">Reglement fournisseur SCI Les Halles F004-202510</t>
        </is>
      </c>
      <c r="J373" s="0" t="inlineStr">
        <is>
          <t xml:space="preserve">SCI Les Halles</t>
        </is>
      </c>
      <c r="K373" s="8">
        <v>-10200</v>
      </c>
      <c r="L373" s="0" t="inlineStr">
        <is>
          <t xml:space="preserve">Fournisseurs et charges externes</t>
        </is>
      </c>
      <c r="M373" s="9"/>
      <c r="N373" s="0">
        <f>IF(M373&lt;&gt;"",M373,L373)</f>
      </c>
      <c r="O373" s="0">
        <f>IFERROR(INDEX(Categories!$B$5:$B$35,MATCH(N373,Categories!$A$5:$A$35,0)),"NA")</f>
      </c>
    </row>
    <row r="374">
      <c r="A374" s="7">
        <v>45965</v>
      </c>
      <c r="B374" s="0" t="inlineStr">
        <is>
          <t xml:space="preserve">2025-S45</t>
        </is>
      </c>
      <c r="C374" s="0" t="inlineStr">
        <is>
          <t xml:space="preserve">2025-11</t>
        </is>
      </c>
      <c r="D374" s="0" t="inlineStr">
        <is>
          <t xml:space="preserve">2025</t>
        </is>
      </c>
      <c r="E374" s="6" t="inlineStr">
        <is>
          <t xml:space="preserve">512000</t>
        </is>
      </c>
      <c r="F374" s="6" t="inlineStr">
        <is>
          <t xml:space="preserve">BQ</t>
        </is>
      </c>
      <c r="G374" s="0" t="inlineStr">
        <is>
          <t xml:space="preserve">BQ00180</t>
        </is>
      </c>
      <c r="H374" s="6" t="inlineStr">
        <is>
          <t xml:space="preserve">401000</t>
        </is>
      </c>
      <c r="I374" s="0" t="inlineStr">
        <is>
          <t xml:space="preserve">Reglement fournisseur Energie Plus F005-202510</t>
        </is>
      </c>
      <c r="J374" s="0" t="inlineStr">
        <is>
          <t xml:space="preserve">Energie Plus</t>
        </is>
      </c>
      <c r="K374" s="8">
        <v>-3108.02</v>
      </c>
      <c r="L374" s="0" t="inlineStr">
        <is>
          <t xml:space="preserve">Fournisseurs et charges externes</t>
        </is>
      </c>
      <c r="M374" s="9"/>
      <c r="N374" s="0">
        <f>IF(M374&lt;&gt;"",M374,L374)</f>
      </c>
      <c r="O374" s="0">
        <f>IFERROR(INDEX(Categories!$B$5:$B$35,MATCH(N374,Categories!$A$5:$A$35,0)),"NA")</f>
      </c>
    </row>
    <row r="375">
      <c r="A375" s="7">
        <v>45965</v>
      </c>
      <c r="B375" s="0" t="inlineStr">
        <is>
          <t xml:space="preserve">2025-S45</t>
        </is>
      </c>
      <c r="C375" s="0" t="inlineStr">
        <is>
          <t xml:space="preserve">2025-11</t>
        </is>
      </c>
      <c r="D375" s="0" t="inlineStr">
        <is>
          <t xml:space="preserve">2025</t>
        </is>
      </c>
      <c r="E375" s="6" t="inlineStr">
        <is>
          <t xml:space="preserve">512000</t>
        </is>
      </c>
      <c r="F375" s="6" t="inlineStr">
        <is>
          <t xml:space="preserve">BQ</t>
        </is>
      </c>
      <c r="G375" s="0" t="inlineStr">
        <is>
          <t xml:space="preserve">BQ00181</t>
        </is>
      </c>
      <c r="H375" s="6" t="inlineStr">
        <is>
          <t xml:space="preserve">401000</t>
        </is>
      </c>
      <c r="I375" s="0" t="inlineStr">
        <is>
          <t xml:space="preserve">Reglement fournisseur Telecom Pro F008-202510</t>
        </is>
      </c>
      <c r="J375" s="0" t="inlineStr">
        <is>
          <t xml:space="preserve">Telecom Pro</t>
        </is>
      </c>
      <c r="K375" s="8">
        <v>-576</v>
      </c>
      <c r="L375" s="0" t="inlineStr">
        <is>
          <t xml:space="preserve">Fournisseurs et charges externes</t>
        </is>
      </c>
      <c r="M375" s="9"/>
      <c r="N375" s="0">
        <f>IF(M375&lt;&gt;"",M375,L375)</f>
      </c>
      <c r="O375" s="0">
        <f>IFERROR(INDEX(Categories!$B$5:$B$35,MATCH(N375,Categories!$A$5:$A$35,0)),"NA")</f>
      </c>
    </row>
    <row r="376">
      <c r="A376" s="7">
        <v>45965</v>
      </c>
      <c r="B376" s="0" t="inlineStr">
        <is>
          <t xml:space="preserve">2025-S45</t>
        </is>
      </c>
      <c r="C376" s="0" t="inlineStr">
        <is>
          <t xml:space="preserve">2025-11</t>
        </is>
      </c>
      <c r="D376" s="0" t="inlineStr">
        <is>
          <t xml:space="preserve">2025</t>
        </is>
      </c>
      <c r="E376" s="6" t="inlineStr">
        <is>
          <t xml:space="preserve">512000</t>
        </is>
      </c>
      <c r="F376" s="6" t="inlineStr">
        <is>
          <t xml:space="preserve">BQ</t>
        </is>
      </c>
      <c r="G376" s="0" t="inlineStr">
        <is>
          <t xml:space="preserve">BQ00182</t>
        </is>
      </c>
      <c r="H376" s="6" t="inlineStr">
        <is>
          <t xml:space="preserve">401000</t>
        </is>
      </c>
      <c r="I376" s="0" t="inlineStr">
        <is>
          <t xml:space="preserve">Reglement fournisseur Assurances Mutuelles Exemple F006-202510</t>
        </is>
      </c>
      <c r="J376" s="0" t="inlineStr">
        <is>
          <t xml:space="preserve">Assurances Mutuelles Exemple</t>
        </is>
      </c>
      <c r="K376" s="8">
        <v>-3000</v>
      </c>
      <c r="L376" s="0" t="inlineStr">
        <is>
          <t xml:space="preserve">Fournisseurs et charges externes</t>
        </is>
      </c>
      <c r="M376" s="9"/>
      <c r="N376" s="0">
        <f>IF(M376&lt;&gt;"",M376,L376)</f>
      </c>
      <c r="O376" s="0">
        <f>IFERROR(INDEX(Categories!$B$5:$B$35,MATCH(N376,Categories!$A$5:$A$35,0)),"NA")</f>
      </c>
    </row>
    <row r="377">
      <c r="A377" s="7">
        <v>45967</v>
      </c>
      <c r="B377" s="0" t="inlineStr">
        <is>
          <t xml:space="preserve">2025-S45</t>
        </is>
      </c>
      <c r="C377" s="0" t="inlineStr">
        <is>
          <t xml:space="preserve">2025-11</t>
        </is>
      </c>
      <c r="D377" s="0" t="inlineStr">
        <is>
          <t xml:space="preserve">2025</t>
        </is>
      </c>
      <c r="E377" s="6" t="inlineStr">
        <is>
          <t xml:space="preserve">512000</t>
        </is>
      </c>
      <c r="F377" s="6" t="inlineStr">
        <is>
          <t xml:space="preserve">BQ</t>
        </is>
      </c>
      <c r="G377" s="0" t="inlineStr">
        <is>
          <t xml:space="preserve">BQ00105</t>
        </is>
      </c>
      <c r="H377" s="6" t="inlineStr">
        <is>
          <t xml:space="preserve">411000</t>
        </is>
      </c>
      <c r="I377" s="0" t="inlineStr">
        <is>
          <t xml:space="preserve">Reglement client Coworking Atelier 9 FA2025-0038</t>
        </is>
      </c>
      <c r="J377" s="0" t="inlineStr">
        <is>
          <t xml:space="preserve">Coworking Atelier 9</t>
        </is>
      </c>
      <c r="K377" s="8">
        <v>31087.38</v>
      </c>
      <c r="L377" s="0" t="inlineStr">
        <is>
          <t xml:space="preserve">Clients</t>
        </is>
      </c>
      <c r="M377" s="9"/>
      <c r="N377" s="0">
        <f>IF(M377&lt;&gt;"",M377,L377)</f>
      </c>
      <c r="O377" s="0">
        <f>IFERROR(INDEX(Categories!$B$5:$B$35,MATCH(N377,Categories!$A$5:$A$35,0)),"NA")</f>
      </c>
    </row>
    <row r="378">
      <c r="A378" s="7">
        <v>45967</v>
      </c>
      <c r="B378" s="0" t="inlineStr">
        <is>
          <t xml:space="preserve">2025-S45</t>
        </is>
      </c>
      <c r="C378" s="0" t="inlineStr">
        <is>
          <t xml:space="preserve">2025-11</t>
        </is>
      </c>
      <c r="D378" s="0" t="inlineStr">
        <is>
          <t xml:space="preserve">2025</t>
        </is>
      </c>
      <c r="E378" s="6" t="inlineStr">
        <is>
          <t xml:space="preserve">512000</t>
        </is>
      </c>
      <c r="F378" s="6" t="inlineStr">
        <is>
          <t xml:space="preserve">BQ</t>
        </is>
      </c>
      <c r="G378" s="0" t="inlineStr">
        <is>
          <t xml:space="preserve">BQ00106</t>
        </is>
      </c>
      <c r="H378" s="6" t="inlineStr">
        <is>
          <t xml:space="preserve">411000</t>
        </is>
      </c>
      <c r="I378" s="0" t="inlineStr">
        <is>
          <t xml:space="preserve">Reglement client Boutique Hetre et Chene FA2025-0039</t>
        </is>
      </c>
      <c r="J378" s="0" t="inlineStr">
        <is>
          <t xml:space="preserve">Boutique Hetre et Chene</t>
        </is>
      </c>
      <c r="K378" s="8">
        <v>31865.21</v>
      </c>
      <c r="L378" s="0" t="inlineStr">
        <is>
          <t xml:space="preserve">Clients</t>
        </is>
      </c>
      <c r="M378" s="9"/>
      <c r="N378" s="0">
        <f>IF(M378&lt;&gt;"",M378,L378)</f>
      </c>
      <c r="O378" s="0">
        <f>IFERROR(INDEX(Categories!$B$5:$B$35,MATCH(N378,Categories!$A$5:$A$35,0)),"NA")</f>
      </c>
    </row>
    <row r="379">
      <c r="A379" s="7">
        <v>45971</v>
      </c>
      <c r="B379" s="0" t="inlineStr">
        <is>
          <t xml:space="preserve">2025-S46</t>
        </is>
      </c>
      <c r="C379" s="0" t="inlineStr">
        <is>
          <t xml:space="preserve">2025-11</t>
        </is>
      </c>
      <c r="D379" s="0" t="inlineStr">
        <is>
          <t xml:space="preserve">2025</t>
        </is>
      </c>
      <c r="E379" s="6" t="inlineStr">
        <is>
          <t xml:space="preserve">512000</t>
        </is>
      </c>
      <c r="F379" s="6" t="inlineStr">
        <is>
          <t xml:space="preserve">BQ</t>
        </is>
      </c>
      <c r="G379" s="0" t="inlineStr">
        <is>
          <t xml:space="preserve">BQ00032</t>
        </is>
      </c>
      <c r="H379" s="6" t="inlineStr">
        <is>
          <t xml:space="preserve">164000</t>
        </is>
      </c>
      <c r="I379" s="0" t="inlineStr">
        <is>
          <t xml:space="preserve">Echeance emprunt 11/2025</t>
        </is>
      </c>
      <c r="J379" s="0"/>
      <c r="K379" s="8">
        <v>-2000</v>
      </c>
      <c r="L379" s="0" t="inlineStr">
        <is>
          <t xml:space="preserve">Emprunts - capital</t>
        </is>
      </c>
      <c r="M379" s="9"/>
      <c r="N379" s="0">
        <f>IF(M379&lt;&gt;"",M379,L379)</f>
      </c>
      <c r="O379" s="0">
        <f>IFERROR(INDEX(Categories!$B$5:$B$35,MATCH(N379,Categories!$A$5:$A$35,0)),"NA")</f>
      </c>
    </row>
    <row r="380">
      <c r="A380" s="7">
        <v>45971</v>
      </c>
      <c r="B380" s="0" t="inlineStr">
        <is>
          <t xml:space="preserve">2025-S46</t>
        </is>
      </c>
      <c r="C380" s="0" t="inlineStr">
        <is>
          <t xml:space="preserve">2025-11</t>
        </is>
      </c>
      <c r="D380" s="0" t="inlineStr">
        <is>
          <t xml:space="preserve">2025</t>
        </is>
      </c>
      <c r="E380" s="6" t="inlineStr">
        <is>
          <t xml:space="preserve">512000</t>
        </is>
      </c>
      <c r="F380" s="6" t="inlineStr">
        <is>
          <t xml:space="preserve">BQ</t>
        </is>
      </c>
      <c r="G380" s="0" t="inlineStr">
        <is>
          <t xml:space="preserve">BQ00032</t>
        </is>
      </c>
      <c r="H380" s="6" t="inlineStr">
        <is>
          <t xml:space="preserve">661100</t>
        </is>
      </c>
      <c r="I380" s="0" t="inlineStr">
        <is>
          <t xml:space="preserve">Echeance emprunt 11/2025</t>
        </is>
      </c>
      <c r="J380" s="0"/>
      <c r="K380" s="8">
        <v>-153.33</v>
      </c>
      <c r="L380" s="0" t="inlineStr">
        <is>
          <t xml:space="preserve">Intérêts et charges financières</t>
        </is>
      </c>
      <c r="M380" s="9"/>
      <c r="N380" s="0">
        <f>IF(M380&lt;&gt;"",M380,L380)</f>
      </c>
      <c r="O380" s="0">
        <f>IFERROR(INDEX(Categories!$B$5:$B$35,MATCH(N380,Categories!$A$5:$A$35,0)),"NA")</f>
      </c>
    </row>
    <row r="381">
      <c r="A381" s="7">
        <v>45981</v>
      </c>
      <c r="B381" s="0" t="inlineStr">
        <is>
          <t xml:space="preserve">2025-S47</t>
        </is>
      </c>
      <c r="C381" s="0" t="inlineStr">
        <is>
          <t xml:space="preserve">2025-11</t>
        </is>
      </c>
      <c r="D381" s="0" t="inlineStr">
        <is>
          <t xml:space="preserve">2025</t>
        </is>
      </c>
      <c r="E381" s="6" t="inlineStr">
        <is>
          <t xml:space="preserve">512000</t>
        </is>
      </c>
      <c r="F381" s="6" t="inlineStr">
        <is>
          <t xml:space="preserve">BQ</t>
        </is>
      </c>
      <c r="G381" s="0" t="inlineStr">
        <is>
          <t xml:space="preserve">BQ00057</t>
        </is>
      </c>
      <c r="H381" s="6" t="inlineStr">
        <is>
          <t xml:space="preserve">445510</t>
        </is>
      </c>
      <c r="I381" s="0" t="inlineStr">
        <is>
          <t xml:space="preserve">Reglement TVA 10/2025</t>
        </is>
      </c>
      <c r="J381" s="0"/>
      <c r="K381" s="8">
        <v>-11289.34</v>
      </c>
      <c r="L381" s="0" t="inlineStr">
        <is>
          <t xml:space="preserve">TVA</t>
        </is>
      </c>
      <c r="M381" s="9"/>
      <c r="N381" s="0">
        <f>IF(M381&lt;&gt;"",M381,L381)</f>
      </c>
      <c r="O381" s="0">
        <f>IFERROR(INDEX(Categories!$B$5:$B$35,MATCH(N381,Categories!$A$5:$A$35,0)),"NA")</f>
      </c>
    </row>
    <row r="382">
      <c r="A382" s="7">
        <v>45986</v>
      </c>
      <c r="B382" s="0" t="inlineStr">
        <is>
          <t xml:space="preserve">2025-S48</t>
        </is>
      </c>
      <c r="C382" s="0" t="inlineStr">
        <is>
          <t xml:space="preserve">2025-11</t>
        </is>
      </c>
      <c r="D382" s="0" t="inlineStr">
        <is>
          <t xml:space="preserve">2025</t>
        </is>
      </c>
      <c r="E382" s="6" t="inlineStr">
        <is>
          <t xml:space="preserve">512000</t>
        </is>
      </c>
      <c r="F382" s="6" t="inlineStr">
        <is>
          <t xml:space="preserve">BQ</t>
        </is>
      </c>
      <c r="G382" s="0" t="inlineStr">
        <is>
          <t xml:space="preserve">BQ00107</t>
        </is>
      </c>
      <c r="H382" s="6" t="inlineStr">
        <is>
          <t xml:space="preserve">411000</t>
        </is>
      </c>
      <c r="I382" s="0" t="inlineStr">
        <is>
          <t xml:space="preserve">Reglement client Cabinet Varenne Associes FA2025-0040</t>
        </is>
      </c>
      <c r="J382" s="0" t="inlineStr">
        <is>
          <t xml:space="preserve">Cabinet Varenne Associes</t>
        </is>
      </c>
      <c r="K382" s="8">
        <v>19239.48</v>
      </c>
      <c r="L382" s="0" t="inlineStr">
        <is>
          <t xml:space="preserve">Clients</t>
        </is>
      </c>
      <c r="M382" s="9"/>
      <c r="N382" s="0">
        <f>IF(M382&lt;&gt;"",M382,L382)</f>
      </c>
      <c r="O382" s="0">
        <f>IFERROR(INDEX(Categories!$B$5:$B$35,MATCH(N382,Categories!$A$5:$A$35,0)),"NA")</f>
      </c>
    </row>
    <row r="383">
      <c r="A383" s="7">
        <v>45986</v>
      </c>
      <c r="B383" s="0" t="inlineStr">
        <is>
          <t xml:space="preserve">2025-S48</t>
        </is>
      </c>
      <c r="C383" s="0" t="inlineStr">
        <is>
          <t xml:space="preserve">2025-11</t>
        </is>
      </c>
      <c r="D383" s="0" t="inlineStr">
        <is>
          <t xml:space="preserve">2025</t>
        </is>
      </c>
      <c r="E383" s="6" t="inlineStr">
        <is>
          <t xml:space="preserve">512000</t>
        </is>
      </c>
      <c r="F383" s="6" t="inlineStr">
        <is>
          <t xml:space="preserve">BQ</t>
        </is>
      </c>
      <c r="G383" s="0" t="inlineStr">
        <is>
          <t xml:space="preserve">BQ00108</t>
        </is>
      </c>
      <c r="H383" s="6" t="inlineStr">
        <is>
          <t xml:space="preserve">411000</t>
        </is>
      </c>
      <c r="I383" s="0" t="inlineStr">
        <is>
          <t xml:space="preserve">Reglement client Restaurant Le Comptoir FA2025-0041</t>
        </is>
      </c>
      <c r="J383" s="0" t="inlineStr">
        <is>
          <t xml:space="preserve">Restaurant Le Comptoir</t>
        </is>
      </c>
      <c r="K383" s="8">
        <v>31395.34</v>
      </c>
      <c r="L383" s="0" t="inlineStr">
        <is>
          <t xml:space="preserve">Clients</t>
        </is>
      </c>
      <c r="M383" s="9"/>
      <c r="N383" s="0">
        <f>IF(M383&lt;&gt;"",M383,L383)</f>
      </c>
      <c r="O383" s="0">
        <f>IFERROR(INDEX(Categories!$B$5:$B$35,MATCH(N383,Categories!$A$5:$A$35,0)),"NA")</f>
      </c>
    </row>
    <row r="384">
      <c r="A384" s="7">
        <v>45991</v>
      </c>
      <c r="B384" s="0" t="inlineStr">
        <is>
          <t xml:space="preserve">2025-S48</t>
        </is>
      </c>
      <c r="C384" s="0" t="inlineStr">
        <is>
          <t xml:space="preserve">2025-11</t>
        </is>
      </c>
      <c r="D384" s="0" t="inlineStr">
        <is>
          <t xml:space="preserve">2025</t>
        </is>
      </c>
      <c r="E384" s="6" t="inlineStr">
        <is>
          <t xml:space="preserve">512000</t>
        </is>
      </c>
      <c r="F384" s="6" t="inlineStr">
        <is>
          <t xml:space="preserve">BQ</t>
        </is>
      </c>
      <c r="G384" s="0" t="inlineStr">
        <is>
          <t xml:space="preserve">BQ00031</t>
        </is>
      </c>
      <c r="H384" s="6" t="inlineStr">
        <is>
          <t xml:space="preserve">421000</t>
        </is>
      </c>
      <c r="I384" s="0" t="inlineStr">
        <is>
          <t xml:space="preserve">Virement salaires 11/2025</t>
        </is>
      </c>
      <c r="J384" s="0"/>
      <c r="K384" s="8">
        <v>-39701.03</v>
      </c>
      <c r="L384" s="0" t="inlineStr">
        <is>
          <t xml:space="preserve">Salaires et personnel</t>
        </is>
      </c>
      <c r="M384" s="9"/>
      <c r="N384" s="0">
        <f>IF(M384&lt;&gt;"",M384,L384)</f>
      </c>
      <c r="O384" s="0">
        <f>IFERROR(INDEX(Categories!$B$5:$B$35,MATCH(N384,Categories!$A$5:$A$35,0)),"NA")</f>
      </c>
    </row>
    <row r="385">
      <c r="A385" s="7">
        <v>45991</v>
      </c>
      <c r="B385" s="0" t="inlineStr">
        <is>
          <t xml:space="preserve">2025-S48</t>
        </is>
      </c>
      <c r="C385" s="0" t="inlineStr">
        <is>
          <t xml:space="preserve">2025-11</t>
        </is>
      </c>
      <c r="D385" s="0" t="inlineStr">
        <is>
          <t xml:space="preserve">2025</t>
        </is>
      </c>
      <c r="E385" s="6" t="inlineStr">
        <is>
          <t xml:space="preserve">512000</t>
        </is>
      </c>
      <c r="F385" s="6" t="inlineStr">
        <is>
          <t xml:space="preserve">BQ</t>
        </is>
      </c>
      <c r="G385" s="0" t="inlineStr">
        <is>
          <t xml:space="preserve">BQ00033</t>
        </is>
      </c>
      <c r="H385" s="6" t="inlineStr">
        <is>
          <t xml:space="preserve">627000</t>
        </is>
      </c>
      <c r="I385" s="0" t="inlineStr">
        <is>
          <t xml:space="preserve">Frais bancaires 11/2025</t>
        </is>
      </c>
      <c r="J385" s="0"/>
      <c r="K385" s="8">
        <v>-85</v>
      </c>
      <c r="L385" s="0" t="inlineStr">
        <is>
          <t xml:space="preserve">Frais bancaires</t>
        </is>
      </c>
      <c r="M385" s="9"/>
      <c r="N385" s="0">
        <f>IF(M385&lt;&gt;"",M385,L385)</f>
      </c>
      <c r="O385" s="0">
        <f>IFERROR(INDEX(Categories!$B$5:$B$35,MATCH(N385,Categories!$A$5:$A$35,0)),"NA")</f>
      </c>
    </row>
    <row r="386">
      <c r="A386" s="7">
        <v>45992</v>
      </c>
      <c r="B386" s="0" t="inlineStr">
        <is>
          <t xml:space="preserve">2025-S49</t>
        </is>
      </c>
      <c r="C386" s="0" t="inlineStr">
        <is>
          <t xml:space="preserve">2025-12</t>
        </is>
      </c>
      <c r="D386" s="0" t="inlineStr">
        <is>
          <t xml:space="preserve">2025</t>
        </is>
      </c>
      <c r="E386" s="6" t="inlineStr">
        <is>
          <t xml:space="preserve">512000</t>
        </is>
      </c>
      <c r="F386" s="6" t="inlineStr">
        <is>
          <t xml:space="preserve">BQ</t>
        </is>
      </c>
      <c r="G386" s="0" t="inlineStr">
        <is>
          <t xml:space="preserve">BQ00109</t>
        </is>
      </c>
      <c r="H386" s="6" t="inlineStr">
        <is>
          <t xml:space="preserve">411000</t>
        </is>
      </c>
      <c r="I386" s="0" t="inlineStr">
        <is>
          <t xml:space="preserve">Reglement client Hotel Les Tilleuls FA2025-0042</t>
        </is>
      </c>
      <c r="J386" s="0" t="inlineStr">
        <is>
          <t xml:space="preserve">Hotel Les Tilleuls</t>
        </is>
      </c>
      <c r="K386" s="8">
        <v>26412.6</v>
      </c>
      <c r="L386" s="0" t="inlineStr">
        <is>
          <t xml:space="preserve">Clients</t>
        </is>
      </c>
      <c r="M386" s="9"/>
      <c r="N386" s="0">
        <f>IF(M386&lt;&gt;"",M386,L386)</f>
      </c>
      <c r="O386" s="0">
        <f>IFERROR(INDEX(Categories!$B$5:$B$35,MATCH(N386,Categories!$A$5:$A$35,0)),"NA")</f>
      </c>
    </row>
    <row r="387">
      <c r="A387" s="7">
        <v>45992</v>
      </c>
      <c r="B387" s="0" t="inlineStr">
        <is>
          <t xml:space="preserve">2025-S49</t>
        </is>
      </c>
      <c r="C387" s="0" t="inlineStr">
        <is>
          <t xml:space="preserve">2025-12</t>
        </is>
      </c>
      <c r="D387" s="0" t="inlineStr">
        <is>
          <t xml:space="preserve">2025</t>
        </is>
      </c>
      <c r="E387" s="6" t="inlineStr">
        <is>
          <t xml:space="preserve">512000</t>
        </is>
      </c>
      <c r="F387" s="6" t="inlineStr">
        <is>
          <t xml:space="preserve">BQ</t>
        </is>
      </c>
      <c r="G387" s="0" t="inlineStr">
        <is>
          <t xml:space="preserve">BQ00112</t>
        </is>
      </c>
      <c r="H387" s="6" t="inlineStr">
        <is>
          <t xml:space="preserve">411000</t>
        </is>
      </c>
      <c r="I387" s="0" t="inlineStr">
        <is>
          <t xml:space="preserve">Reglement client Residence Bel Air FA2025-0047</t>
        </is>
      </c>
      <c r="J387" s="0" t="inlineStr">
        <is>
          <t xml:space="preserve">Residence Bel Air</t>
        </is>
      </c>
      <c r="K387" s="8">
        <v>29177.45</v>
      </c>
      <c r="L387" s="0" t="inlineStr">
        <is>
          <t xml:space="preserve">Clients</t>
        </is>
      </c>
      <c r="M387" s="9"/>
      <c r="N387" s="0">
        <f>IF(M387&lt;&gt;"",M387,L387)</f>
      </c>
      <c r="O387" s="0">
        <f>IFERROR(INDEX(Categories!$B$5:$B$35,MATCH(N387,Categories!$A$5:$A$35,0)),"NA")</f>
      </c>
    </row>
    <row r="388">
      <c r="A388" s="7">
        <v>45992</v>
      </c>
      <c r="B388" s="0" t="inlineStr">
        <is>
          <t xml:space="preserve">2025-S49</t>
        </is>
      </c>
      <c r="C388" s="0" t="inlineStr">
        <is>
          <t xml:space="preserve">2025-12</t>
        </is>
      </c>
      <c r="D388" s="0" t="inlineStr">
        <is>
          <t xml:space="preserve">2025</t>
        </is>
      </c>
      <c r="E388" s="6" t="inlineStr">
        <is>
          <t xml:space="preserve">512000</t>
        </is>
      </c>
      <c r="F388" s="6" t="inlineStr">
        <is>
          <t xml:space="preserve">BQ</t>
        </is>
      </c>
      <c r="G388" s="0" t="inlineStr">
        <is>
          <t xml:space="preserve">BQ00172</t>
        </is>
      </c>
      <c r="H388" s="6" t="inlineStr">
        <is>
          <t xml:space="preserve">401000</t>
        </is>
      </c>
      <c r="I388" s="0" t="inlineStr">
        <is>
          <t xml:space="preserve">Reglement fournisseur Scierie du Nord F001-2025093</t>
        </is>
      </c>
      <c r="J388" s="0" t="inlineStr">
        <is>
          <t xml:space="preserve">Scierie du Nord</t>
        </is>
      </c>
      <c r="K388" s="8">
        <v>-24843.28</v>
      </c>
      <c r="L388" s="0" t="inlineStr">
        <is>
          <t xml:space="preserve">Fournisseurs et charges externes</t>
        </is>
      </c>
      <c r="M388" s="9"/>
      <c r="N388" s="0">
        <f>IF(M388&lt;&gt;"",M388,L388)</f>
      </c>
      <c r="O388" s="0">
        <f>IFERROR(INDEX(Categories!$B$5:$B$35,MATCH(N388,Categories!$A$5:$A$35,0)),"NA")</f>
      </c>
    </row>
    <row r="389">
      <c r="A389" s="7">
        <v>45993</v>
      </c>
      <c r="B389" s="0" t="inlineStr">
        <is>
          <t xml:space="preserve">2025-S49</t>
        </is>
      </c>
      <c r="C389" s="0" t="inlineStr">
        <is>
          <t xml:space="preserve">2025-12</t>
        </is>
      </c>
      <c r="D389" s="0" t="inlineStr">
        <is>
          <t xml:space="preserve">2025</t>
        </is>
      </c>
      <c r="E389" s="6" t="inlineStr">
        <is>
          <t xml:space="preserve">512000</t>
        </is>
      </c>
      <c r="F389" s="6" t="inlineStr">
        <is>
          <t xml:space="preserve">BQ</t>
        </is>
      </c>
      <c r="G389" s="0" t="inlineStr">
        <is>
          <t xml:space="preserve">BQ00171</t>
        </is>
      </c>
      <c r="H389" s="6" t="inlineStr">
        <is>
          <t xml:space="preserve">401000</t>
        </is>
      </c>
      <c r="I389" s="0" t="inlineStr">
        <is>
          <t xml:space="preserve">Reglement fournisseur Vernis et Finitions F003-2025092</t>
        </is>
      </c>
      <c r="J389" s="0" t="inlineStr">
        <is>
          <t xml:space="preserve">Vernis et Finitions</t>
        </is>
      </c>
      <c r="K389" s="8">
        <v>-25951.42</v>
      </c>
      <c r="L389" s="0" t="inlineStr">
        <is>
          <t xml:space="preserve">Fournisseurs et charges externes</t>
        </is>
      </c>
      <c r="M389" s="9"/>
      <c r="N389" s="0">
        <f>IF(M389&lt;&gt;"",M389,L389)</f>
      </c>
      <c r="O389" s="0">
        <f>IFERROR(INDEX(Categories!$B$5:$B$35,MATCH(N389,Categories!$A$5:$A$35,0)),"NA")</f>
      </c>
    </row>
    <row r="390">
      <c r="A390" s="7">
        <v>45996</v>
      </c>
      <c r="B390" s="0" t="inlineStr">
        <is>
          <t xml:space="preserve">2025-S49</t>
        </is>
      </c>
      <c r="C390" s="0" t="inlineStr">
        <is>
          <t xml:space="preserve">2025-12</t>
        </is>
      </c>
      <c r="D390" s="0" t="inlineStr">
        <is>
          <t xml:space="preserve">2025</t>
        </is>
      </c>
      <c r="E390" s="6" t="inlineStr">
        <is>
          <t xml:space="preserve">512000</t>
        </is>
      </c>
      <c r="F390" s="6" t="inlineStr">
        <is>
          <t xml:space="preserve">BQ</t>
        </is>
      </c>
      <c r="G390" s="0" t="inlineStr">
        <is>
          <t xml:space="preserve">BQ00183</t>
        </is>
      </c>
      <c r="H390" s="6" t="inlineStr">
        <is>
          <t xml:space="preserve">401000</t>
        </is>
      </c>
      <c r="I390" s="0" t="inlineStr">
        <is>
          <t xml:space="preserve">Reglement fournisseur SCI Les Halles F004-202511</t>
        </is>
      </c>
      <c r="J390" s="0" t="inlineStr">
        <is>
          <t xml:space="preserve">SCI Les Halles</t>
        </is>
      </c>
      <c r="K390" s="8">
        <v>-10200</v>
      </c>
      <c r="L390" s="0" t="inlineStr">
        <is>
          <t xml:space="preserve">Fournisseurs et charges externes</t>
        </is>
      </c>
      <c r="M390" s="9"/>
      <c r="N390" s="0">
        <f>IF(M390&lt;&gt;"",M390,L390)</f>
      </c>
      <c r="O390" s="0">
        <f>IFERROR(INDEX(Categories!$B$5:$B$35,MATCH(N390,Categories!$A$5:$A$35,0)),"NA")</f>
      </c>
    </row>
    <row r="391">
      <c r="A391" s="7">
        <v>45996</v>
      </c>
      <c r="B391" s="0" t="inlineStr">
        <is>
          <t xml:space="preserve">2025-S49</t>
        </is>
      </c>
      <c r="C391" s="0" t="inlineStr">
        <is>
          <t xml:space="preserve">2025-12</t>
        </is>
      </c>
      <c r="D391" s="0" t="inlineStr">
        <is>
          <t xml:space="preserve">2025</t>
        </is>
      </c>
      <c r="E391" s="6" t="inlineStr">
        <is>
          <t xml:space="preserve">512000</t>
        </is>
      </c>
      <c r="F391" s="6" t="inlineStr">
        <is>
          <t xml:space="preserve">BQ</t>
        </is>
      </c>
      <c r="G391" s="0" t="inlineStr">
        <is>
          <t xml:space="preserve">BQ00184</t>
        </is>
      </c>
      <c r="H391" s="6" t="inlineStr">
        <is>
          <t xml:space="preserve">401000</t>
        </is>
      </c>
      <c r="I391" s="0" t="inlineStr">
        <is>
          <t xml:space="preserve">Reglement fournisseur Energie Plus F005-202511</t>
        </is>
      </c>
      <c r="J391" s="0" t="inlineStr">
        <is>
          <t xml:space="preserve">Energie Plus</t>
        </is>
      </c>
      <c r="K391" s="8">
        <v>-3481.04</v>
      </c>
      <c r="L391" s="0" t="inlineStr">
        <is>
          <t xml:space="preserve">Fournisseurs et charges externes</t>
        </is>
      </c>
      <c r="M391" s="9"/>
      <c r="N391" s="0">
        <f>IF(M391&lt;&gt;"",M391,L391)</f>
      </c>
      <c r="O391" s="0">
        <f>IFERROR(INDEX(Categories!$B$5:$B$35,MATCH(N391,Categories!$A$5:$A$35,0)),"NA")</f>
      </c>
    </row>
    <row r="392">
      <c r="A392" s="7">
        <v>45996</v>
      </c>
      <c r="B392" s="0" t="inlineStr">
        <is>
          <t xml:space="preserve">2025-S49</t>
        </is>
      </c>
      <c r="C392" s="0" t="inlineStr">
        <is>
          <t xml:space="preserve">2025-12</t>
        </is>
      </c>
      <c r="D392" s="0" t="inlineStr">
        <is>
          <t xml:space="preserve">2025</t>
        </is>
      </c>
      <c r="E392" s="6" t="inlineStr">
        <is>
          <t xml:space="preserve">512000</t>
        </is>
      </c>
      <c r="F392" s="6" t="inlineStr">
        <is>
          <t xml:space="preserve">BQ</t>
        </is>
      </c>
      <c r="G392" s="0" t="inlineStr">
        <is>
          <t xml:space="preserve">BQ00185</t>
        </is>
      </c>
      <c r="H392" s="6" t="inlineStr">
        <is>
          <t xml:space="preserve">401000</t>
        </is>
      </c>
      <c r="I392" s="0" t="inlineStr">
        <is>
          <t xml:space="preserve">Reglement fournisseur Telecom Pro F008-202511</t>
        </is>
      </c>
      <c r="J392" s="0" t="inlineStr">
        <is>
          <t xml:space="preserve">Telecom Pro</t>
        </is>
      </c>
      <c r="K392" s="8">
        <v>-576</v>
      </c>
      <c r="L392" s="0" t="inlineStr">
        <is>
          <t xml:space="preserve">Fournisseurs et charges externes</t>
        </is>
      </c>
      <c r="M392" s="9"/>
      <c r="N392" s="0">
        <f>IF(M392&lt;&gt;"",M392,L392)</f>
      </c>
      <c r="O392" s="0">
        <f>IFERROR(INDEX(Categories!$B$5:$B$35,MATCH(N392,Categories!$A$5:$A$35,0)),"NA")</f>
      </c>
    </row>
    <row r="393">
      <c r="A393" s="7">
        <v>46001</v>
      </c>
      <c r="B393" s="0" t="inlineStr">
        <is>
          <t xml:space="preserve">2025-S50</t>
        </is>
      </c>
      <c r="C393" s="0" t="inlineStr">
        <is>
          <t xml:space="preserve">2025-12</t>
        </is>
      </c>
      <c r="D393" s="0" t="inlineStr">
        <is>
          <t xml:space="preserve">2025</t>
        </is>
      </c>
      <c r="E393" s="6" t="inlineStr">
        <is>
          <t xml:space="preserve">512000</t>
        </is>
      </c>
      <c r="F393" s="6" t="inlineStr">
        <is>
          <t xml:space="preserve">BQ</t>
        </is>
      </c>
      <c r="G393" s="0" t="inlineStr">
        <is>
          <t xml:space="preserve">BQ00035</t>
        </is>
      </c>
      <c r="H393" s="6" t="inlineStr">
        <is>
          <t xml:space="preserve">164000</t>
        </is>
      </c>
      <c r="I393" s="0" t="inlineStr">
        <is>
          <t xml:space="preserve">Echeance emprunt 12/2025</t>
        </is>
      </c>
      <c r="J393" s="0"/>
      <c r="K393" s="8">
        <v>-2000</v>
      </c>
      <c r="L393" s="0" t="inlineStr">
        <is>
          <t xml:space="preserve">Emprunts - capital</t>
        </is>
      </c>
      <c r="M393" s="9"/>
      <c r="N393" s="0">
        <f>IF(M393&lt;&gt;"",M393,L393)</f>
      </c>
      <c r="O393" s="0">
        <f>IFERROR(INDEX(Categories!$B$5:$B$35,MATCH(N393,Categories!$A$5:$A$35,0)),"NA")</f>
      </c>
    </row>
    <row r="394">
      <c r="A394" s="7">
        <v>46001</v>
      </c>
      <c r="B394" s="0" t="inlineStr">
        <is>
          <t xml:space="preserve">2025-S50</t>
        </is>
      </c>
      <c r="C394" s="0" t="inlineStr">
        <is>
          <t xml:space="preserve">2025-12</t>
        </is>
      </c>
      <c r="D394" s="0" t="inlineStr">
        <is>
          <t xml:space="preserve">2025</t>
        </is>
      </c>
      <c r="E394" s="6" t="inlineStr">
        <is>
          <t xml:space="preserve">512000</t>
        </is>
      </c>
      <c r="F394" s="6" t="inlineStr">
        <is>
          <t xml:space="preserve">BQ</t>
        </is>
      </c>
      <c r="G394" s="0" t="inlineStr">
        <is>
          <t xml:space="preserve">BQ00035</t>
        </is>
      </c>
      <c r="H394" s="6" t="inlineStr">
        <is>
          <t xml:space="preserve">661100</t>
        </is>
      </c>
      <c r="I394" s="0" t="inlineStr">
        <is>
          <t xml:space="preserve">Echeance emprunt 12/2025</t>
        </is>
      </c>
      <c r="J394" s="0"/>
      <c r="K394" s="8">
        <v>-146.67</v>
      </c>
      <c r="L394" s="0" t="inlineStr">
        <is>
          <t xml:space="preserve">Intérêts et charges financières</t>
        </is>
      </c>
      <c r="M394" s="9"/>
      <c r="N394" s="0">
        <f>IF(M394&lt;&gt;"",M394,L394)</f>
      </c>
      <c r="O394" s="0">
        <f>IFERROR(INDEX(Categories!$B$5:$B$35,MATCH(N394,Categories!$A$5:$A$35,0)),"NA")</f>
      </c>
    </row>
    <row r="395">
      <c r="A395" s="7">
        <v>46002</v>
      </c>
      <c r="B395" s="0" t="inlineStr">
        <is>
          <t xml:space="preserve">2025-S50</t>
        </is>
      </c>
      <c r="C395" s="0" t="inlineStr">
        <is>
          <t xml:space="preserve">2025-12</t>
        </is>
      </c>
      <c r="D395" s="0" t="inlineStr">
        <is>
          <t xml:space="preserve">2025</t>
        </is>
      </c>
      <c r="E395" s="6" t="inlineStr">
        <is>
          <t xml:space="preserve">512000</t>
        </is>
      </c>
      <c r="F395" s="6" t="inlineStr">
        <is>
          <t xml:space="preserve">BQ</t>
        </is>
      </c>
      <c r="G395" s="0" t="inlineStr">
        <is>
          <t xml:space="preserve">BQ00178</t>
        </is>
      </c>
      <c r="H395" s="6" t="inlineStr">
        <is>
          <t xml:space="preserve">401000</t>
        </is>
      </c>
      <c r="I395" s="0" t="inlineStr">
        <is>
          <t xml:space="preserve">Reglement fournisseur Scierie du Nord F001-2025103</t>
        </is>
      </c>
      <c r="J395" s="0" t="inlineStr">
        <is>
          <t xml:space="preserve">Scierie du Nord</t>
        </is>
      </c>
      <c r="K395" s="8">
        <v>-25031.63</v>
      </c>
      <c r="L395" s="0" t="inlineStr">
        <is>
          <t xml:space="preserve">Fournisseurs et charges externes</t>
        </is>
      </c>
      <c r="M395" s="9"/>
      <c r="N395" s="0">
        <f>IF(M395&lt;&gt;"",M395,L395)</f>
      </c>
      <c r="O395" s="0">
        <f>IFERROR(INDEX(Categories!$B$5:$B$35,MATCH(N395,Categories!$A$5:$A$35,0)),"NA")</f>
      </c>
    </row>
    <row r="396">
      <c r="A396" s="7">
        <v>46006</v>
      </c>
      <c r="B396" s="0" t="inlineStr">
        <is>
          <t xml:space="preserve">2025-S51</t>
        </is>
      </c>
      <c r="C396" s="0" t="inlineStr">
        <is>
          <t xml:space="preserve">2025-12</t>
        </is>
      </c>
      <c r="D396" s="0" t="inlineStr">
        <is>
          <t xml:space="preserve">2025</t>
        </is>
      </c>
      <c r="E396" s="6" t="inlineStr">
        <is>
          <t xml:space="preserve">512000</t>
        </is>
      </c>
      <c r="F396" s="6" t="inlineStr">
        <is>
          <t xml:space="preserve">BQ</t>
        </is>
      </c>
      <c r="G396" s="0" t="inlineStr">
        <is>
          <t xml:space="preserve">BQ00170</t>
        </is>
      </c>
      <c r="H396" s="6" t="inlineStr">
        <is>
          <t xml:space="preserve">401000</t>
        </is>
      </c>
      <c r="I396" s="0" t="inlineStr">
        <is>
          <t xml:space="preserve">Reglement fournisseur Scierie du Nord F001-2025091</t>
        </is>
      </c>
      <c r="J396" s="0" t="inlineStr">
        <is>
          <t xml:space="preserve">Scierie du Nord</t>
        </is>
      </c>
      <c r="K396" s="8">
        <v>-15005.32</v>
      </c>
      <c r="L396" s="0" t="inlineStr">
        <is>
          <t xml:space="preserve">Fournisseurs et charges externes</t>
        </is>
      </c>
      <c r="M396" s="9"/>
      <c r="N396" s="0">
        <f>IF(M396&lt;&gt;"",M396,L396)</f>
      </c>
      <c r="O396" s="0">
        <f>IFERROR(INDEX(Categories!$B$5:$B$35,MATCH(N396,Categories!$A$5:$A$35,0)),"NA")</f>
      </c>
    </row>
    <row r="397">
      <c r="A397" s="7">
        <v>46006</v>
      </c>
      <c r="B397" s="0" t="inlineStr">
        <is>
          <t xml:space="preserve">2025-S51</t>
        </is>
      </c>
      <c r="C397" s="0" t="inlineStr">
        <is>
          <t xml:space="preserve">2025-12</t>
        </is>
      </c>
      <c r="D397" s="0" t="inlineStr">
        <is>
          <t xml:space="preserve">2025</t>
        </is>
      </c>
      <c r="E397" s="6" t="inlineStr">
        <is>
          <t xml:space="preserve">512000</t>
        </is>
      </c>
      <c r="F397" s="6" t="inlineStr">
        <is>
          <t xml:space="preserve">BQ</t>
        </is>
      </c>
      <c r="G397" s="0" t="inlineStr">
        <is>
          <t xml:space="preserve">BQ00187</t>
        </is>
      </c>
      <c r="H397" s="6" t="inlineStr">
        <is>
          <t xml:space="preserve">635110</t>
        </is>
      </c>
      <c r="I397" s="0" t="inlineStr">
        <is>
          <t xml:space="preserve">CFE 2025</t>
        </is>
      </c>
      <c r="J397" s="0"/>
      <c r="K397" s="8">
        <v>-4500</v>
      </c>
      <c r="L397" s="0" t="inlineStr">
        <is>
          <t xml:space="preserve">Autres impôts et taxes</t>
        </is>
      </c>
      <c r="M397" s="9"/>
      <c r="N397" s="0">
        <f>IF(M397&lt;&gt;"",M397,L397)</f>
      </c>
      <c r="O397" s="0">
        <f>IFERROR(INDEX(Categories!$B$5:$B$35,MATCH(N397,Categories!$A$5:$A$35,0)),"NA")</f>
      </c>
    </row>
    <row r="398">
      <c r="A398" s="7">
        <v>46007</v>
      </c>
      <c r="B398" s="0" t="inlineStr">
        <is>
          <t xml:space="preserve">2025-S51</t>
        </is>
      </c>
      <c r="C398" s="0" t="inlineStr">
        <is>
          <t xml:space="preserve">2025-12</t>
        </is>
      </c>
      <c r="D398" s="0" t="inlineStr">
        <is>
          <t xml:space="preserve">2025</t>
        </is>
      </c>
      <c r="E398" s="6" t="inlineStr">
        <is>
          <t xml:space="preserve">512000</t>
        </is>
      </c>
      <c r="F398" s="6" t="inlineStr">
        <is>
          <t xml:space="preserve">BQ</t>
        </is>
      </c>
      <c r="G398" s="0" t="inlineStr">
        <is>
          <t xml:space="preserve">BQ00111</t>
        </is>
      </c>
      <c r="H398" s="6" t="inlineStr">
        <is>
          <t xml:space="preserve">411000</t>
        </is>
      </c>
      <c r="I398" s="0" t="inlineStr">
        <is>
          <t xml:space="preserve">Reglement client Hotel Les Tilleuls FA2025-0044</t>
        </is>
      </c>
      <c r="J398" s="0" t="inlineStr">
        <is>
          <t xml:space="preserve">Hotel Les Tilleuls</t>
        </is>
      </c>
      <c r="K398" s="8">
        <v>31139.5</v>
      </c>
      <c r="L398" s="0" t="inlineStr">
        <is>
          <t xml:space="preserve">Clients</t>
        </is>
      </c>
      <c r="M398" s="9"/>
      <c r="N398" s="0">
        <f>IF(M398&lt;&gt;"",M398,L398)</f>
      </c>
      <c r="O398" s="0">
        <f>IFERROR(INDEX(Categories!$B$5:$B$35,MATCH(N398,Categories!$A$5:$A$35,0)),"NA")</f>
      </c>
    </row>
    <row r="399">
      <c r="A399" s="7">
        <v>46011</v>
      </c>
      <c r="B399" s="0" t="inlineStr">
        <is>
          <t xml:space="preserve">2025-S51</t>
        </is>
      </c>
      <c r="C399" s="0" t="inlineStr">
        <is>
          <t xml:space="preserve">2025-12</t>
        </is>
      </c>
      <c r="D399" s="0" t="inlineStr">
        <is>
          <t xml:space="preserve">2025</t>
        </is>
      </c>
      <c r="E399" s="6" t="inlineStr">
        <is>
          <t xml:space="preserve">512000</t>
        </is>
      </c>
      <c r="F399" s="6" t="inlineStr">
        <is>
          <t xml:space="preserve">BQ</t>
        </is>
      </c>
      <c r="G399" s="0" t="inlineStr">
        <is>
          <t xml:space="preserve">BQ00058</t>
        </is>
      </c>
      <c r="H399" s="6" t="inlineStr">
        <is>
          <t xml:space="preserve">445510</t>
        </is>
      </c>
      <c r="I399" s="0" t="inlineStr">
        <is>
          <t xml:space="preserve">Reglement TVA 11/2025</t>
        </is>
      </c>
      <c r="J399" s="0"/>
      <c r="K399" s="8">
        <v>-11227.16</v>
      </c>
      <c r="L399" s="0" t="inlineStr">
        <is>
          <t xml:space="preserve">TVA</t>
        </is>
      </c>
      <c r="M399" s="9"/>
      <c r="N399" s="0">
        <f>IF(M399&lt;&gt;"",M399,L399)</f>
      </c>
      <c r="O399" s="0">
        <f>IFERROR(INDEX(Categories!$B$5:$B$35,MATCH(N399,Categories!$A$5:$A$35,0)),"NA")</f>
      </c>
    </row>
    <row r="400">
      <c r="A400" s="7">
        <v>46013</v>
      </c>
      <c r="B400" s="0" t="inlineStr">
        <is>
          <t xml:space="preserve">2025-S52</t>
        </is>
      </c>
      <c r="C400" s="0" t="inlineStr">
        <is>
          <t xml:space="preserve">2025-12</t>
        </is>
      </c>
      <c r="D400" s="0" t="inlineStr">
        <is>
          <t xml:space="preserve">2025</t>
        </is>
      </c>
      <c r="E400" s="6" t="inlineStr">
        <is>
          <t xml:space="preserve">512000</t>
        </is>
      </c>
      <c r="F400" s="6" t="inlineStr">
        <is>
          <t xml:space="preserve">BQ</t>
        </is>
      </c>
      <c r="G400" s="0" t="inlineStr">
        <is>
          <t xml:space="preserve">BQ00110</t>
        </is>
      </c>
      <c r="H400" s="6" t="inlineStr">
        <is>
          <t xml:space="preserve">411000</t>
        </is>
      </c>
      <c r="I400" s="0" t="inlineStr">
        <is>
          <t xml:space="preserve">Reglement client Hotel Les Tilleuls FA2025-0043</t>
        </is>
      </c>
      <c r="J400" s="0" t="inlineStr">
        <is>
          <t xml:space="preserve">Hotel Les Tilleuls</t>
        </is>
      </c>
      <c r="K400" s="8">
        <v>30225.71</v>
      </c>
      <c r="L400" s="0" t="inlineStr">
        <is>
          <t xml:space="preserve">Clients</t>
        </is>
      </c>
      <c r="M400" s="9"/>
      <c r="N400" s="0">
        <f>IF(M400&lt;&gt;"",M400,L400)</f>
      </c>
      <c r="O400" s="0">
        <f>IFERROR(INDEX(Categories!$B$5:$B$35,MATCH(N400,Categories!$A$5:$A$35,0)),"NA")</f>
      </c>
    </row>
    <row r="401">
      <c r="A401" s="7">
        <v>46020</v>
      </c>
      <c r="B401" s="0" t="inlineStr">
        <is>
          <t xml:space="preserve">2026-S01</t>
        </is>
      </c>
      <c r="C401" s="0" t="inlineStr">
        <is>
          <t xml:space="preserve">2025-12</t>
        </is>
      </c>
      <c r="D401" s="0" t="inlineStr">
        <is>
          <t xml:space="preserve">2025</t>
        </is>
      </c>
      <c r="E401" s="6" t="inlineStr">
        <is>
          <t xml:space="preserve">512000</t>
        </is>
      </c>
      <c r="F401" s="6" t="inlineStr">
        <is>
          <t xml:space="preserve">BQ</t>
        </is>
      </c>
      <c r="G401" s="0" t="inlineStr">
        <is>
          <t xml:space="preserve">BQ00177</t>
        </is>
      </c>
      <c r="H401" s="6" t="inlineStr">
        <is>
          <t xml:space="preserve">401000</t>
        </is>
      </c>
      <c r="I401" s="0" t="inlineStr">
        <is>
          <t xml:space="preserve">Reglement fournisseur Quincaillerie Pro Est F002-2025102</t>
        </is>
      </c>
      <c r="J401" s="0" t="inlineStr">
        <is>
          <t xml:space="preserve">Quincaillerie Pro Est</t>
        </is>
      </c>
      <c r="K401" s="8">
        <v>-26072.11</v>
      </c>
      <c r="L401" s="0" t="inlineStr">
        <is>
          <t xml:space="preserve">Fournisseurs et charges externes</t>
        </is>
      </c>
      <c r="M401" s="9"/>
      <c r="N401" s="0">
        <f>IF(M401&lt;&gt;"",M401,L401)</f>
      </c>
      <c r="O401" s="0">
        <f>IFERROR(INDEX(Categories!$B$5:$B$35,MATCH(N401,Categories!$A$5:$A$35,0)),"NA")</f>
      </c>
    </row>
    <row r="402">
      <c r="A402" s="7">
        <v>46022</v>
      </c>
      <c r="B402" s="0" t="inlineStr">
        <is>
          <t xml:space="preserve">2026-S01</t>
        </is>
      </c>
      <c r="C402" s="0" t="inlineStr">
        <is>
          <t xml:space="preserve">2025-12</t>
        </is>
      </c>
      <c r="D402" s="0" t="inlineStr">
        <is>
          <t xml:space="preserve">2025</t>
        </is>
      </c>
      <c r="E402" s="6" t="inlineStr">
        <is>
          <t xml:space="preserve">512000</t>
        </is>
      </c>
      <c r="F402" s="6" t="inlineStr">
        <is>
          <t xml:space="preserve">BQ</t>
        </is>
      </c>
      <c r="G402" s="0" t="inlineStr">
        <is>
          <t xml:space="preserve">BQ00034</t>
        </is>
      </c>
      <c r="H402" s="6" t="inlineStr">
        <is>
          <t xml:space="preserve">421000</t>
        </is>
      </c>
      <c r="I402" s="0" t="inlineStr">
        <is>
          <t xml:space="preserve">Virement salaires 12/2025</t>
        </is>
      </c>
      <c r="J402" s="0"/>
      <c r="K402" s="8">
        <v>-38416.44</v>
      </c>
      <c r="L402" s="0" t="inlineStr">
        <is>
          <t xml:space="preserve">Salaires et personnel</t>
        </is>
      </c>
      <c r="M402" s="9"/>
      <c r="N402" s="0">
        <f>IF(M402&lt;&gt;"",M402,L402)</f>
      </c>
      <c r="O402" s="0">
        <f>IFERROR(INDEX(Categories!$B$5:$B$35,MATCH(N402,Categories!$A$5:$A$35,0)),"NA")</f>
      </c>
    </row>
    <row r="403">
      <c r="A403" s="7">
        <v>46022</v>
      </c>
      <c r="B403" s="0" t="inlineStr">
        <is>
          <t xml:space="preserve">2026-S01</t>
        </is>
      </c>
      <c r="C403" s="0" t="inlineStr">
        <is>
          <t xml:space="preserve">2025-12</t>
        </is>
      </c>
      <c r="D403" s="0" t="inlineStr">
        <is>
          <t xml:space="preserve">2025</t>
        </is>
      </c>
      <c r="E403" s="6" t="inlineStr">
        <is>
          <t xml:space="preserve">512000</t>
        </is>
      </c>
      <c r="F403" s="6" t="inlineStr">
        <is>
          <t xml:space="preserve">BQ</t>
        </is>
      </c>
      <c r="G403" s="0" t="inlineStr">
        <is>
          <t xml:space="preserve">BQ00036</t>
        </is>
      </c>
      <c r="H403" s="6" t="inlineStr">
        <is>
          <t xml:space="preserve">627000</t>
        </is>
      </c>
      <c r="I403" s="0" t="inlineStr">
        <is>
          <t xml:space="preserve">Frais bancaires 12/2025</t>
        </is>
      </c>
      <c r="J403" s="0"/>
      <c r="K403" s="8">
        <v>-85</v>
      </c>
      <c r="L403" s="0" t="inlineStr">
        <is>
          <t xml:space="preserve">Frais bancaires</t>
        </is>
      </c>
      <c r="M403" s="9"/>
      <c r="N403" s="0">
        <f>IF(M403&lt;&gt;"",M403,L403)</f>
      </c>
      <c r="O403" s="0">
        <f>IFERROR(INDEX(Categories!$B$5:$B$35,MATCH(N403,Categories!$A$5:$A$35,0)),"NA")</f>
      </c>
    </row>
  </sheetData>
  <autoFilter ref="A1:O403"/>
</worksheet>
</file>